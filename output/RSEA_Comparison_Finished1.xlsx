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<sst xmlns="http://schemas.openxmlformats.org/spreadsheetml/2006/main" count="1511" uniqueCount="356">
  <si>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</si>
  <si>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</si>
  <si>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</si>
  <si>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</si>
  <si>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</si>
  <si>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</si>
  <si>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</si>
  <si>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</si>
  <si>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</si>
  <si>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</si>
  <si>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</si>
  <si>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</si>
  <si>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</si>
  <si>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</si>
  <si>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</si>
  <si>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</si>
  <si>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</si>
  <si>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</si>
  <si>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</si>
  <si>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</si>
  <si>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</si>
  <si>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</si>
  <si>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</si>
  <si>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</si>
  <si>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</si>
  <si>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</si>
  <si>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</si>
  <si>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</si>
  <si>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</si>
  <si>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</si>
  <si>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</si>
  <si>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</si>
  <si>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</si>
  <si>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</si>
  <si>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</si>
  <si>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</si>
  <si>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</si>
  <si>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</si>
  <si>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</si>
  <si>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</si>
  <si>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</si>
  <si>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</si>
  <si>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</si>
  <si>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</si>
  <si>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</si>
  <si>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</si>
  <si>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</si>
  <si>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</si>
  <si>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</si>
  <si>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</si>
  <si>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</si>
  <si>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</si>
  <si>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</si>
  <si>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</si>
  <si>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</si>
  <si>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</si>
  <si>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</si>
  <si>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</si>
  <si>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</si>
  <si>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</si>
  <si>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</si>
  <si>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</si>
  <si>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</si>
  <si>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</si>
  <si>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</si>
  <si>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</si>
  <si>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</si>
  <si>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</si>
  <si>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</si>
  <si>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</si>
  <si>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</si>
  <si>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</si>
  <si>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</si>
  <si>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</si>
  <si>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</si>
  <si>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</si>
  <si>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</si>
  <si>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</si>
  <si>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</si>
  <si>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</si>
  <si>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</si>
  <si>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</si>
  <si>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</si>
  <si>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</si>
  <si>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</si>
  <si>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</si>
  <si>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</si>
  <si>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</si>
  <si>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</si>
  <si>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</si>
  <si>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</si>
  <si>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</si>
  <si>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</si>
  <si>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</si>
  <si>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</si>
  <si>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</si>
  <si>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</si>
  <si>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</si>
  <si>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</si>
  <si>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</si>
  <si>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</si>
  <si>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</si>
  <si>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</si>
  <si>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</si>
  <si>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</si>
  <si>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</si>
  <si>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</si>
  <si>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</si>
  <si>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</si>
  <si>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</si>
  <si>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</si>
  <si>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</si>
  <si>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</si>
  <si>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</si>
  <si>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</si>
  <si>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</si>
  <si>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</si>
  <si>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</si>
  <si>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</si>
  <si>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</si>
  <si>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</si>
  <si>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</si>
  <si>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</si>
  <si>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</si>
  <si>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</si>
  <si>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</si>
  <si>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</si>
  <si>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</si>
  <si>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</si>
  <si>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</si>
  <si>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</si>
  <si>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</si>
  <si>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</si>
  <si>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</si>
  <si>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</si>
  <si>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</si>
  <si>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</si>
  <si>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</si>
  <si>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</si>
  <si>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</si>
  <si>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</si>
  <si>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</si>
  <si>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</si>
  <si>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</si>
  <si>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</si>
  <si>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</si>
  <si>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</si>
  <si>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</si>
  <si>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</si>
  <si>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</si>
  <si>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</si>
  <si>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</si>
  <si>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</si>
  <si>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</si>
  <si>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</si>
  <si>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</si>
  <si>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</si>
  <si>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</si>
  <si>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</si>
  <si>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</si>
  <si>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</si>
  <si>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</si>
  <si>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</si>
  <si>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</si>
  <si>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</si>
  <si>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</si>
  <si>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</si>
  <si>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</si>
  <si>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</si>
  <si>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</si>
  <si>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</si>
  <si>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</si>
  <si>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</si>
  <si>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</si>
  <si>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</si>
  <si>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</si>
  <si>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</si>
  <si>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</si>
  <si>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</si>
  <si>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</si>
  <si>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</si>
  <si>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</si>
  <si>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</si>
  <si>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</si>
  <si>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</si>
  <si>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</si>
  <si>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</si>
  <si>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</si>
  <si>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</si>
  <si>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</si>
  <si>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</si>
  <si>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</si>
  <si>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</si>
  <si>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</si>
  <si>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</si>
  <si>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</si>
  <si>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</si>
  <si>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</si>
  <si>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</si>
  <si>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</si>
  <si>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</si>
  <si>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</si>
  <si>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</si>
  <si>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</si>
  <si>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</si>
  <si>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</si>
  <si>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</si>
  <si>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</si>
  <si>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</si>
  <si>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</si>
  <si>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</si>
  <si>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</si>
  <si>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</si>
  <si>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</si>
  <si>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</si>
  <si>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</si>
  <si>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</si>
  <si>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</si>
  <si>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</si>
  <si>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</si>
  <si>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</si>
  <si>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</si>
  <si>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</si>
  <si>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</si>
  <si>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</si>
  <si>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</si>
  <si>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</si>
  <si>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</si>
  <si>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</si>
  <si>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</si>
  <si>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</si>
  <si>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</si>
  <si>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10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</si>
  <si>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 Advanced Group (advancedgroup.com.au) was added on 15 October 2026 as a 10th competitor: its per-item prices are individually labelled 'Inc GST' (a generic 'all prices are GST exclusive' banner also appears on some of its category pages but conflicts with every per-item label, so it is treated as boilerplate and the per-item Inc-GST label is used, same convention as the other as-shown-inc retailers above). Its catalogue runs to 200+ paginated categories, so research there was a representative sample, not exhaustive — rows with no Advanced Group price are genuinely unresearched (left blank), not confirmed-absent. A deeper re-check pass (16 October 2026) went beyond the retailers' obvious category pages and crawled each site's full product sitemap (or, where blocked, its native search) to re-test every cell that had been marked blank/N/A — this filled in 140 previously-missing price points across 8 of the 9 researched competitors (Seton excluded, bot-blocked). Where no exact size/material match exists, the closest equivalent is used and flagged in the Notes column, same convention as before. Cells still blank after this deeper pass are either genuinely confirmed absent by the retailer (e.g. a whole product line it doesn't stock, confirmed via full-catalogue search) or remain simply unresearched — Notes/the original research log should be checked before assuming either way.</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</si>
  <si>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 advancedgroup.com.au (Advanced Group, captured 15 October 2026, representative sample only — see methodology above). Captured 14 October 2026 unless noted.</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</si>
  <si>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</si>
  <si>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</si>
  <si>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</si>
  <si>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</si>
  <si>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</si>
  <si>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</si>
  <si>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</si>
  <si>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</si>
  <si>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</si>
  <si>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</si>
  <si>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</si>
  <si>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</si>
  <si>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</si>
  <si>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</si>
  <si>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</si>
  <si>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</si>
  <si>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</si>
  <si>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</si>
  <si>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Advanced Group
(inc GST, as shown)</t>
  </si>
  <si>
    <t xml:space="preserve">Advanced Group
(ex GST, calc.)</t>
  </si>
  <si>
    <t xml:space="preserve">Cheapest of RSEA +
10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</si>
  <si>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</si>
  <si>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</si>
  <si>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</si>
  <si>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</si>
  <si>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 | Advanced Group: Security Notice: This Building Under 24hr Surveillance, Metal 300x450(=450x300) (closest-equiv (wording)) https://www.advancedgroup.com.au/SURV-SIGN-THIS-BUILDING-IS-UNDER-24-MTL-p/843695.htm</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</si>
  <si>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</si>
  <si>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 | Advanced Group: generic 'Stop Sign - Class 1 Reflective on Aluminium' (R1-1 family); specific 600mm size/variant price not independently confirmed on listing page</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</si>
  <si>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 | Advanced Group: generic 'Give Way Sign' (R1-2 family, triangle); 750mm size/variant not independently 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</si>
  <si>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 | Advanced Group: Keep Left Sign A Size Aluminium 450x600mm (R2-3AL) (EXACT) https://www.advancedgroup.com.au/product-p/r2-3al.htm</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</si>
  <si>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 | Advanced Group: 'Pedestrian Crossing Sign - Fluoro Reflective' (R3-1); colour/size variant not independently confirmed (listed as 'multiple sizes to choose from')</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</si>
  <si>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 | Advanced Group: generic 'Speed Limit (Speed Restriction) Sign' (R4-1), exact 450x600 size match; specific km value chosen at checkout, not SKU-confirmed</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</si>
  <si>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 | Advanced Group: 'R2-4 No Entry Sign Reflective on Aluminium'; code matches (R2-4), exact size variant not stated on listing page</t>
  </si>
  <si>
    <t xml:space="preserve">Generic site/warehouse danger sign - no comparable product found at any of the 9 researched retailers (out of scope: these retailers focus on road/traffic signage). | Advanced Group: Danger Forklift Operating Area 300x225 Metal (EXACT) https://www.advancedgroup.com.au/DANGER-FORKLIFT-OPERATING-300X225-MTL-p/841659.htm | All Trades Group: Danger Forklift Operating Area Site Sign, 300x225 Metal (EXACT) https://alltradesgroup.net.au/products/danger-forklift-operating-area-site-sign | eSafety Supplies: Danger Forklift Operating Area, 300x450 Poly (closest-equiv, material Poly/ACP not Metal) https://esafetysupplies.com.au/products/danger-sign-forklift-operating-area | Safety Signs Australia: Danger Sign Forklift Operating Area, 225x300 Metal (EXACT) https://www.safetysigns.com.au/products/danger-forklift | National Safety Signs: Forklift Area D1076, 300x225 Aluminium (EXACT) https://nationalsafetysigns.com.au/safety-signs/forklift-area-d1076/</t>
  </si>
  <si>
    <t xml:space="preserve">Advanced Group: 'Confined Space Entry By Permit Only - Danger Signs - Metal (colorbond steel) - 450 x 300' (832249), $38.45 Inc GST; exact size and material match. | Jaybro: Confined Space Entry By Permit Only Danger Sign Metal (closest-equiv, size 225x300 (need 450x300)) https://www.jaybro.com.au/safety-signs/confined-space-entry-by-permit-only-danger-sign-metal-225x300mm/ | All Trades Group: Danger Confined Space Sign, 450x300 Metal (closest-equiv, wording (no "Entry By Permit")) https://alltradesgroup.net.au/products/danger-confined-space-sign | eSafety Supplies: Danger Confined Space Entry By Permit Only, 300x450(=450x300) Poly (closest-equiv, material Poly/ACP not Metal) https://esafetysupplies.com.au/products/danger-sign-confined-space-entry-by-permit-only-600-x-450mm | Safety Signs Australia: Danger Sign Confined Space Hazardous Atmosphere Entry By Permit, 300x450 Metal (closest-equiv, wording adds "Hazardous Atmosphere") https://www.safetysigns.com.au/products/danger-confined-space-permit | Traffic Control Products: Danger Confined Space Entry By Permit Only, Metal (closest-equiv, size 225x300 (need 450x300)) https://trafficcontrolproducts.com.au/products/danger-confined-space-300x225-metal | National Safety Signs: Confined Space Permit Only Sign D1037, 450x300 Aluminium (EXACT) https://nationalsafetysigns.com.au/safety-signs/danger-confined-space-d1037/</t>
  </si>
  <si>
    <t xml:space="preserve">Generic site/warehouse safety sign - no comparable product found at any of the 9 researched retailers. | Advanced Group: Emergency Eye Wash 300x225 Metal (size/material match) https://www.advancedgroup.com.au/EMERGENCY-EYE-WASH-300X225-MTL-p/841538.htm | Jaybro: Emergency Eye Wash Emergency Sign Metal 300x225mm (EXACT) https://www.jaybro.com.au/safety-signs/emergency-eye-wash-emergency-sign-metal-300x225mm/ | All Trades Group: Emergency Eyewash Sign, 300x225 Metal (closest-equiv, wording (no "First Aid" prefix)) https://alltradesgroup.net.au/products/emergency-eyewash-sign | eSafety Supplies: Emergency Eye Wash Sign, Poly (closest-equiv, material Poly not Metal, size 300x450) https://esafetysupplies.com.au/products/emergency-eye-wash-sign-300-x-450-mm | Safety Signs Australia: Emergency Sign Emergency Eye Wash, 225x300 Metal (EXACT) https://www.safetysigns.com.au/products/emergency-eye-wash | National Safety Signs: Emergency Eyewash E1212, 300x225 Metal (EXACT) https://nationalsafetysigns.com.au/safety-signs/emergency-eyewash-e1212/</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</si>
  <si>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 | Advanced Group: Speed Limit Sign Speed 5, Metal (closest-equiv, size differs (450x600 not 600x400)) https://www.advancedgroup.com.au/SPEED-LIMIT-SIGN-SPEED-5-450X600-MTL-p/832056.htm | All Trades Group: 5km/h Speed Limit Road Sign, Metal (closest-equiv, size 600x450 (need 600x400)) https://alltradesgroup.net.au/products/5-km-h-speed-limit-road-sign</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</si>
  <si>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 | Advanced Group: Speed Limit Sign Speed 10, Metal (closest-equiv, size differs (450x600 not 600x400)) https://www.advancedgroup.com.au/SPEED-LIMIT-SIGN-SPEED-10-450X600-MTL-p/832057.htm | Jaybro: 10km/h Class 1 Aluminium (closest-equiv, size 450x600 (need 600x400)) https://www.jaybro.com.au/regulatory-signs/10km-h-class-1-aluminium-450x600mm/</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</si>
  <si>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 | Advanced Group: Access Sign Disabled Parking 300x450 Metal (EXACT (size-order)) https://www.advancedgroup.com.au/ACCESS-SIGN-DISABLED-PARKING-300X450-MTL-p/842283.htm</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</si>
  <si>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 | Advanced Group: Restricted Area No Parking 600x450 Metal (closest-equiv, wording differs) https://www.advancedgroup.com.au/RESTRICTED-AREA-NO-PARKING-600X450-MTL-p/854975.htm | Safety Signs Australia: No Parking Sign (SKU R47A), Aluminium (closest-equiv, size 450x225 (need 600x450)) https://www.safetysigns.com.au/products/road-parking-no-parking</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</si>
  <si>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 | Advanced Group: No Standing Dbl Arr 300x450 Metal (EXACT) https://www.advancedgroup.com.au/NO-STANDING-DBL-ARR-300X450-MTL-p/843289.htm</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</si>
  <si>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 | Advanced Group: T&amp;P Sign No Parking 300x450 Metal (EXACT (SKU 840307 match)) https://www.advancedgroup.com.au/T-P-SIGN-NO-PARKING-300X450-MTL-p/840307.htm</t>
  </si>
  <si>
    <t xml:space="preserve">Generic site/warehouse safety sign - no comparable product found at any of the 9 researched retailers. | Advanced Group: No Smoking In This Area 300x225 Metal (EXACT (SKU 841090 match)) https://www.advancedgroup.com.au/NO-SMOKING-IN-THIS-AREA-300X225-MTL-p/841090.htm | Jaybro: No Smoking Prohibition Sign Metal 300x225mm (closest-equiv, wording) https://www.jaybro.com.au/safety-signs/no-smoking-prohibition-sign-metal-300x225mm/ | All Trades Group: No Smoking Sign, 300x225 Metal (closest-equiv, wording (generic, no "In This Area")) https://alltradesgroup.net.au/products/no-smoking-sign | eSafety Supplies: Prohibition Sign This Is A No Smoking Area, Poly (closest-equiv, material Poly/ACP not Metal) https://esafetysupplies.com.au/products/prohibition-sign-this-is-a-no-smoking-area | Safety Signs Australia: Prohibition Sign No Smoking In This Area, 225x300 Metal (EXACT) https://www.safetysigns.com.au/products/no-smoking-in-area-portrait | SafetyXpress: No Smoking In This Area Sign, 225x300 Metal (EXACT) https://www.safetyxpress.com.au/signs-posts-fixings/safety-signs/no-smoking-in-this-area-sign-225mm-x-300mm-metal/ | National Safety Signs: No Smoking In This Area P2223, Aluminium (closest-equiv, size 420x180 (need 300x225, no exact size exists)) https://nationalsafetysigns.com.au/safety-signs/no-smoking-in-this-area-p2223/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</si>
  <si>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 | Advanced Group: Restricted Area Authorised Persons - Admittance Sign (EXACT (SKU 832221 match)) https://www.advancedgroup.com.au/RESTR-AREA-AUTHORISED-450X300-MTL-p/832221.htm | Jaybro: No Entry Authorised Prohibition Sign Metal 450x300mm (closest-equiv, wording (currently OUT OF STOCK)) https://www.jaybro.com.au/safety-signs/no-entry-authorised-prohibition-sign-metal-450x300mm/</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</si>
  <si>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 | Advanced Group: Security Notice: These Premises Are Protected By.. Metal 300x450(=450x300) (closest-equiv (wording)) https://www.advancedgroup.com.au/SURV-SIGN-THESE-PREMISES-ARE-PROT-MTL-p/844010.htm</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</si>
  <si>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</si>
  <si>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 | Advanced Group: Reverse Parking Only Sign 300x450mm Metal (EXACT (size-order)) https://www.advancedgroup.com.au/Reverse-Parking-Only-Sign-300x450mm-MTL-p/856850.htm | Jaybro: Reverse Parking Only Notice Sign Poly 600x450mm (closest-equiv, material Poly not Metal, size 600x450 (need 450x300)) https://www.jaybro.com.au/safety-signs/reverse-parking-only-notice-sign-poly-600x450mm/</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</si>
  <si>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 | Advanced Group: same generic 'Speed Limit (Speed Restriction) Sign' (R4-1) as other speed items, 600x450 = 450x600 rotated</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</si>
  <si>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 | Advanced Group: same generic 'Speed Limit (Speed Restriction) Sign' (R4-1) as other speed items, 600x450 = 450x600 rotated</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</si>
  <si>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 | Advanced Group: 'On Side Road - Corflute Sign 1200x300mm' (M123-T1-19); exact size/type match</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</si>
  <si>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 | Traffic Control Products: Multi Message Corflute Blank 1200x300 Yellow (closest-equiv, plausible match for UNISAF blank) https://trafficcontrolproducts.com.au/products/multi-message-blank-1200x300mm-corflute-yellow-3m</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</si>
  <si>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 | Advanced Group: 'Workers Ahead (Symbolic Worker) 600x600mm Corflute Sign' (M66-T1-5); exact size match, wording 'Workers Ahead' vs our 'Symbolic Worker'</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</si>
  <si>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 | Advanced Group: Speed Limit (Speed Restriction) 60Kmh 600x600mm, Corflute (closest-equiv naming) https://www.advancedgroup.com.au/product-p/m66-t4-1-60.htm | All Trades Group: Multi Message Speed Limit Sign, 600x600 Corflute (closest-equiv naming ("60km/h Ahead")) https://alltradesgroup.net.au/products/multi-message-speed-limit-sign-reflective | Traffic Control Products: 60 (Speed) 600x600x5mm Corflute MMS Reflective (EXACT) https://trafficcontrolproducts.com.au/products/60-speed-600-x-600-sign-corflute</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</si>
  <si>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 | Advanced Group: Speed Limit (Speed Restriction) 40Kmh 600x600mm, Corflute (closest-equiv naming) https://www.advancedgroup.com.au/Speed-Limit-Speed-Restriction-40Kmh-p/m66-t4-1-40.htm</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</si>
  <si>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 | Advanced Group: 'Prepare To Stop - Corflute Sign 1200x300mm' (M123-T1-18); exact match</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</si>
  <si>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 | Advanced Group: 'Roadwork Ahead Sign 1200x300mm' (M123-T1-1); exact match</t>
  </si>
  <si>
    <t xml:space="preserve">Safety Signs Australia: 300x1200, 6mm Corflute - exact match | SafetyXpress: 1200x300 corflute - exact match | Traffic Control Products: 1200x300, 'White on Blue' corflute MMS - exact match | National Safety Signs: Not found | Advanced Group: Drive Safely Sign Corflute 1200x300mm (EXACT ("Safely" vs "Safety")) https://www.advancedgroup.com.au/Drive-Safely-Sign-Corflute-1200x300mm-p/m123-t2-101.htm</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</si>
  <si>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 | Advanced Group: Road Closed 1200x300mm Corflute Sign (EXACT) https://www.advancedgroup.com.au/Road-Closed-Corflute-Sign-p/m123-t2-4.htm</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</si>
  <si>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 | Advanced Group: Detour W Left Arrow 1200x300mm, Corflute (EXACT) https://www.advancedgroup.com.au/DETOUR-with-Left-Arrow-Sign-p/m123-t5-1(l).htm</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</si>
  <si>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 | Advanced Group: Detour W Right Arrow 1200x300mm, Corflute (EXACT) https://www.advancedgroup.com.au/DETOUR-with-Right-Arrow-Sign-p/m123-t5-1(r).htm</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</si>
  <si>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 | Advanced Group: Pedestrians with Right Arrow Corflute 1200x300mm (EXACT (not the aluminium variant)) https://www.advancedgroup.com.au/product-p/m123-t8-2r.htm</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</si>
  <si>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 | Advanced Group: Pedestrians with Left Arrow Corflute 1200x300mm (EXACT (not the aluminium variant)) https://www.advancedgroup.com.au/product-p/m123-t8-2l.htm</t>
  </si>
  <si>
    <t xml:space="preserve">No comparable product found at any of the 9 researched retailers - likely generic site-safety signage outside their core road/traffic-sign range. | Advanced Group: 'Security Sign This Area Is..450x300 Poly' (841756); exact size/material match, full wording truncated on listing (not independently confirmed as '24 hour surveillance') | eSafety Supplies: Security Notice This Area Is Under 24 Hour Surveillance, Poly (closest-equiv, size 300x450(=450x300)) https://esafetysupplies.com.au/products/security-notice-this-area-is-under-24-hour-surveillance | Safety Signs Australia: Security Sign This Area Is Under 24 Hour Surveillance, 300x450 Metal (closest-equiv, material Metal not Poly) https://www.safetysigns.com.au/products/security-24-hour-surveillance | National Safety Signs: Security CCTV Camera 24hr Surveillance S2883, 450x300 Poly (closest-equiv, wording) https://nationalsafetysigns.com.au/safety-signs/security-cctv-camera-24hr-surveillance-sign-s2883/</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</si>
  <si>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 | Advanced Group: Eye Protection Must Be Worn, 300x225 Poly (EXACT) https://www.advancedgroup.com.au/EYE-PROTECTION-MUST-BE-300X225-POLY-p/840599.htm | Safety Signs Australia: Mandatory Sign Eye Protection Must Be Worn In This Area, 225x300 Poly (closest-equiv, wording adds "In This Area") https://www.safetysigns.com.au/products/eye-protection-worn-area</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</si>
  <si>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 | Advanced Group: All Visitors Must Report To Site Office, 600x450 Poly (EXACT) https://www.advancedgroup.com.au/ALL-VISITORS-MUST-REPORT-600X450-POLY-p/844553.htm | National Safety Signs: All Visitors Report to Office N2005, 600x450 Poly (EXACT) https://nationalsafetysigns.com.au/safety-signs/all-visitors-report-to-office-n2005/</t>
  </si>
  <si>
    <t xml:space="preserve">No comparable product found at any of the 9 researched retailers - likely generic site-safety signage outside their core road/traffic-sign range. | Advanced Group: No Smoking No Naked Flame, 300x225 Poly (SKU 840750) (EXACT now) https://www.advancedgroup.com.au/NO-SMOKING-NO-NAKED-FLAM-300X225-POLY-p/840750.htm | Jaybro: Danger No Smoking No Naked Flames Poly 600x450mm (closest-equiv, size 600x450 (need 300x225)) https://www.jaybro.com.au/safety-signs/danger-no-smoking-no-naked-flames-danger-sign-poly-600x450mm/ | All Trades Group: Danger No Smoking No Naked Flames No Matches, 300x225 Poly (EXACT) https://alltradesgroup.net.au/products/danger-no-smoking-no-naked-flames-no-matches-sign | Safety Signs Australia: Danger Sign No Smoking No Naked Flames No Matches, 225x300 Poly (EXACT) https://www.safetysigns.com.au/products/danger-no-smoking | National Safety Signs: No Smoking No Naked Flame D10376, 300x225 Poly (EXACT) https://nationalsafetysigns.com.au/safety-signs/no-smoking-no-naked-flame-d10376/</t>
  </si>
  <si>
    <t xml:space="preserve">No comparable product found at any of the 9 researched retailers - likely generic site-safety signage outside their core road/traffic-sign range. | Advanced Group: 'Danger Construction..600x450 Polyp' (844510); size differs (600x450 vs our 600x400) | Jaybro: Construction Site Danger Sign Poly 600x450mm (closest-equiv, size 600x450 (need 600x400)) https://www.jaybro.com.au/safety-signs/construction-site-danger-sign-poly-600x450mm/ | All Trades Group: Danger Construction Site Sign, 600x450 Poly (closest-equiv, size+wording (no "Do Not Enter")) https://alltradesgroup.net.au/products/danger-construction-site-sign | eSafety Supplies: Danger Construction Site Do Not Enter, 600x450 Poly (closest-equiv, size 600x450 (need 600x400)) https://esafetysupplies.com.au/products/danger-sign-construction-site-do-not-enter | Safety Signs Australia: Danger Sign Construction Site Do Not Enter, 450x600 Poly (closest-equiv, size 450x600 (need 600x400)) https://www.safetysigns.com.au/products/danger-construction-site | SafetyXpress: Danger Sign Construction Site Do Not Enter, Poly (closest-equiv, size 450x600 (need 600x400)) https://www.safetyxpress.com.au/site-signage-posts-fixings/danger-sign-construction-site-do-not-enter-450mm-x-600mm-poly/ | Traffic Control Products: Danger Construction Site Do Not Enter, 600x450 Poly (closest-equiv, size 600x450 (need 600x400) - currently SOLD OUT) https://trafficcontrolproducts.com.au/products/danger-construct-site-do-not-enter-600x450-poly | National Safety Signs: Construction Site No Entry D10261, 600x450 Poly (closest-equiv, size 600x450 (need 600x400), wording "No Entry" vs "Do Not Enter") https://nationalsafetysigns.com.au/safety-signs/construction-site-no-entry-d10261/</t>
  </si>
  <si>
    <t xml:space="preserve">No comparable product found at any of the 9 researched retailers - likely generic site-safety signage outside their core road/traffic-sign range. | Advanced Group: Danger Demolition Work In Progress, 600x450 Poly (EXACT (SKU US-223LP match)) https://www.advancedgroup.com.au/Danger-Demolition-Work-in-Progress-600X450-POLY-p/us-223lp.htm | Jaybro: Danger Demolition Work In Progress 600x450mm Poly (EXACT) https://www.jaybro.com.au/safety-signs/danger-demolition-work-in-progress-600x450mm/ | All Trades Group: Danger Demolition Work In Progress, 600x450 Poly (EXACT) https://alltradesgroup.net.au/products/danger-demolition-work-in-progress-sign | eSafety Supplies: Danger Demolition Work In Progress, 600x450 Poly (EXACT) https://esafetysupplies.com.au/products/danger-sign-demolition-work-in-progress | Safety Signs Australia: Danger Sign Demolition Work In Progress, 450x600 Metal (closest-equiv, material Metal not Poly) https://www.safetysigns.com.au/products/danger-demolition | SafetyXpress: Danger Sign Demolition Work In Progress, 450x600 Poly (EXACT) https://www.safetyxpress.com.au/signs-posts-fixings/safety-signs/danger-sign-demolition-work-in-progress-450mm-x-600mm-poly/ | Traffic Control Products: Danger Demolition Work In Progress, 600x450mm Poly (EXACT) https://trafficcontrolproducts.com.au/products/danger-demolition-work-in-progress-600x450mm-poly</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</si>
  <si>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 | Advanced Group: 'Confined Space Entry By..450x300 Poly' (835604); exact size/material match | All Trades Group: Danger Confined Space Sign, 450x300 Poly (closest-equiv, wording (generic)) https://alltradesgroup.net.au/products/danger-confined-space-sign | eSafety Supplies: Danger Confined Space Entry By Permit Only, 300x450(=450x300) Poly (EXACT (size equiv via rotation)) https://esafetysupplies.com.au/products/danger-sign-confined-space-entry-by-permit-only-600-x-450mm | National Safety Signs: Confined Space Permit Only Sign D1037, 450x300 Poly (EXACT) https://nationalsafetysigns.com.au/safety-signs/danger-confined-space-d1037/</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</si>
  <si>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 | Advanced Group: First Aid 450x300 Poly (EXACT (SKU 835331 match)) https://www.advancedgroup.com.au/FIRST-AID-450X300-POLY-p/835331.htm</t>
  </si>
  <si>
    <t xml:space="preserve">No comparable product found at any of the 9 researched retailers - likely generic site-safety signage outside their core road/traffic-sign range. | Advanced Group: First Aid Station 300x225 Poly (EXACT) https://www.advancedgroup.com.au/FIRST-AID-STATION-300X225-POLY-p/840003.htm | Jaybro: First Aid Emergency Sign Poly 225x300mm (closest-equiv, wording "Emergency" not "Station") https://www.jaybro.com.au/safety-signs/first-aid-emergency-sign-poly-225x300mm/ | All Trades Group: First Aid Site Sign, 300x225 Poly (closest-equiv, wording "Site" vs "Station") https://alltradesgroup.net.au/products/first-aid-site-sign | eSafety Supplies: First Aid Sign, 300x450 Poly (closest-equiv, size 300x450 (need 300x225)) https://esafetysupplies.com.au/products/first-aid-sign-300-x-450-mm | Safety Signs Australia: Emergency Sign First Aid Station, 225x300 Poly (EXACT) https://www.safetysigns.com.au/products/first-aid-station | SafetyXpress: First Aid Sign Polypropylene, 225x300 (EXACT (confirmed default variant)) https://www.safetyxpress.com.au/signs-posts-fixings/safety-signs/first-aid-sign-polypropylene/ | Traffic Control Products: First Aid Sign, 300x225 Poly (closest-equiv, wording "Sign" vs "Station") https://trafficcontrolproducts.com.au/products/first-aid-sign-300-x-225-poly</t>
  </si>
  <si>
    <t xml:space="preserve">No comparable product found at any of the 9 researched retailers - likely generic site-safety signage outside their core road/traffic-sign range. | Jaybro: Emergency Assembly Point Emergency Sign Poly 600x450mm (closest-equiv, size 600x450 (need 600x400), wording "Point" not "Area") https://www.jaybro.com.au/safety-signs/emergency-assembly-point-emergency-sign-poly-600x450mm/ | All Trades Group: Emergency Assembly Point Sign, 600x450 Poly (closest-equiv, size+wording ("Point" not "Area")) https://alltradesgroup.net.au/products/emergency-assembly-point-sign | eSafety Supplies: Information Sign Emergency Assembly Point, 450x600 Aluminium (closest-equiv, material Aluminium not Poly) https://esafetysupplies.com.au/products/information-sign-emergency-assembly-point-450-x-600mm | Safety Signs Australia: Emergency Sign Emergency Assembly Area, Metal (closest-equiv, material Metal not Poly, size 450x600 (need 600x400)) https://www.safetysigns.com.au/products/emergency-assembly-area | Traffic Control Products: Emergency Assembly Point, 600x450mm Poly (closest-equiv, wording "Point" vs "Area", size needs 600x400) https://trafficcontrolproducts.com.au/products/emergency-assembly-point-600mm-x-450mm-poly | National Safety Signs: Emergency Assembly Area E1266, 600x450 Poly (closest-equiv, size 600x450 (need 600x400)) https://nationalsafetysigns.com.au/safety-signs/emergency-assembly-area-e1266/</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</si>
  <si>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</si>
  <si>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No comparable product found at any of the 9 researched retailers - likely generic site-safety signage outside their core road/traffic-sign range. | Advanced Group: Fire Sign Fire Hose Reel Poly, 300x225 (closest-equiv ("&amp;Picto" unconfirmed)) https://www.advancedgroup.com.au/FIRE-SIGN-FIRE-HOSE-REEL-POLY-p/840698.htm | Jaybro: Fire Hose Reel Sign Poly 225x300mm (EXACT (225x300=300x225)) https://www.jaybro.com.au/safety-signs/fire-hose-reel-sign-poly-225x300mm/ | All Trades Group: Fire Hose Reel Sign, 300x225 Poly (EXACT) https://alltradesgroup.net.au/products/fire-hose-reel-sign | Safety Signs Australia: Fire Hose Reel Sign, 225x300 Poly (EXACT) https://www.safetysigns.com.au/products/fire-hose-reel-portrait | National Safety Signs: Fire Hose Reel Sign F1433, 300x225 Poly (EXACT) https://nationalsafetysigns.com.au/safety-signs/fire-hose-reel-sign-f1433/</t>
  </si>
  <si>
    <t xml:space="preserve">n/a</t>
  </si>
  <si>
    <t xml:space="preserve">No comparable product found at any of the 9 researched retailers - likely generic site-safety signage outside their core road/traffic-sign range. | Safety Signs Australia: Arrow Sign, 200x450 Poly (EXACT) https://www.safetysigns.com.au/products/arrow</t>
  </si>
  <si>
    <t xml:space="preserve">No comparable product found at any of the 9 researched retailers - likely generic site-safety signage outside their core road/traffic-sign range. | eSafety Supplies: Car Park Sign Forklift Speed Limit 5km/h, 600x450 Poly (size/material match, wording differs slightly) https://esafetysupplies.com.au/products/carpark-sign-forklift-speed-limit-5 | Safety Signs Australia: Speed Limit Sign 5km, 450x600 Metal (closest-equiv, material Metal not Poly) https://www.safetysigns.com.au/products/speed-limit-5 | National Safety Signs: Speed Limit 5 KPH Sign R2402, 600x450 Poly (EXACT) https://nationalsafetysigns.com.au/safety-signs/speed-limit-5-kph-sign-r2402/</t>
  </si>
  <si>
    <t xml:space="preserve">No comparable product found at any of the 9 researched retailers - likely generic site-safety signage outside their core road/traffic-sign range. | Advanced Group: Watch Out For Pedestrians 600x450 Poly (closest-equiv wording differs) https://www.advancedgroup.com.au/WATCH-OUT-FOR-PEDESTRIANS-600X450-POLY-p/844439.htm | Jaybro: Beware Of Pedestrians Warning Sign Poly 600x450mm (EXACT) https://www.jaybro.com.au/safety-signs/beware-of-pedestrians-warning-sign-poly-600x450mm/ | Safety Signs Australia: Warning Sign Watch Out For Pedestrians, 450x600 Poly (closest-equiv, wording) https://www.safetysigns.com.au/products/watch-for-pedestrians | National Safety Signs: Watch Out For Pedestrians RD126, 600x450 Poly (closest-equiv, wording) https://nationalsafetysigns.com.au/safety-signs/watch-out-for-pedestrians-rd126/</t>
  </si>
  <si>
    <t xml:space="preserve">No comparable product found at any of the 9 researched retailers - likely generic site-safety signage outside their core road/traffic-sign range. | Advanced Group: Authorised Personnel, 600x450 Poly (SKU 835253) (better wording match) https://www.advancedgroup.com.au/AUTHORISED-PERSONNEL-600X450-POLY-p/835253.htm | All Trades Group: Authorised Personnel Only Prohibition Sign, 600x450 Poly (closest-equiv, category label) https://alltradesgroup.net.au/products/authorised-personnel-only-prohibition-sign | eSafety Supplies: Danger No Entry Authorised Personnel Only, 600x450 Poly (size/material match, "Danger" vs "Warning") https://esafetysupplies.com.au/products/danger-sign-no-entry-authorised-personnel-only-600-x-450mm | Safety Signs Australia: Prohibition Sign Authorised Personnel Only, 450x600 Poly (closest-equiv, category "Prohibition" vs "Warning") https://www.safetysigns.com.au/products/authorised-personnel-only | National Safety Signs: Restricted Area Authorised Personnel Only W30286, 600x450 Poly (closest-equiv, wording adds "Restricted Area") https://nationalsafetysigns.com.au/safety-signs/restricted-area-authorised-personnel-only-sign-w30286/</t>
  </si>
  <si>
    <t xml:space="preserve">No comparable product found at any of the 9 researched retailers - likely generic site-safety signage outside their core road/traffic-sign range. | Advanced Group: Corrosive 8 Labels 270mm Poly (EXACT (SKU 835630 match)) https://www.advancedgroup.com.au/CORROSIVE-8-LABELS-270MM-POLY-p/835630.htm | All Trades Group: Corrosive Dangerous Goods Sign, 270x270 Poly (closest-equiv (AS1216 Class 8, not labelled "Hazchem")) https://alltradesgroup.net.au/products/corrosive-dangerous-goods-sign | Safety Signs Australia: Hazchem Sign 8 Corrosive, 270x270 Poly (EXACT) https://www.safetysigns.com.au/products/dg-corrosive</t>
  </si>
  <si>
    <t xml:space="preserve">No comparable product found at any of the 9 researched retailers - likely generic site-safety signage outside their core road/traffic-sign range. | Advanced Group: Exit &amp; Evac Sign Arr/DL Exit Lum Poly (closest-equiv, size differs (350x180 not 350x140)) https://www.advancedgroup.com.au/EXIT-EVAC-SIGN-ARR-DL-EXIT-LUM-POLY-p/843034.htm | National Safety Signs: Luminous Emergency Exit Sign With Symbol E12137, Poly (closest-equiv, size 270x135 (need 350x140, reasonably close)) https://nationalsafetysigns.com.au/safety-signs/luminous-emergency-exit-sign-with-symbol-e12137/</t>
  </si>
  <si>
    <t xml:space="preserve">No comparable product found at any of the 9 researched retailers - likely generic site-safety signage outside their core road/traffic-sign range. | Advanced Group: Danger Workers Above, 600x450 Poly (EXACT) https://www.advancedgroup.com.au/DANGER-WORKERS-ABOVE-600X450-POLY-p/835818.htm | Jaybro: Danger Workers Overhead Danger Sign 600x450mm Poly (closest-equiv, wording "Overhead" vs "Above") https://www.jaybro.com.au/safety-signs/danger-workers-overhead-danger-sign-600x450mm/ | All Trades Group: Danger Workers Above, 600x450 Poly (EXACT) https://alltradesgroup.net.au/products/danger-workers-above-sign | Safety Signs Australia: Danger Sign Workers Above, 450x600 Poly (EXACT) https://www.safetysigns.com.au/products/danger-workers-above | National Safety Signs: Workers Above D10181, 600x450 Poly (EXACT) https://nationalsafetysigns.com.au/safety-signs/workers-above-d10181/</t>
  </si>
  <si>
    <t xml:space="preserve">No comparable product found at any of the 9 researched retailers - likely generic site-safety signage outside their core road/traffic-sign range. | Advanced Group: No Pedestrian Access, 300x225 Poly (EXACT (SKU 840223 match)) https://www.advancedgroup.com.au/NO-PEDESTRIAN-ACCESS-300X225-POLY-p/840223.htm | Jaybro: No Pedestrian Access Prohibition Sign Poly 600x450mm (closest-equiv, size 600x450 (need 300x225)) https://www.jaybro.com.au/safety-signs/no-pedestrian-access-prohibition-sign-poly-600x450mm/ | All Trades Group: No Pedestrian Access Prohibition Sign, 300x225 Poly (EXACT) https://alltradesgroup.net.au/products/no-pedestrian-access-prohibition-sign | eSafety Supplies: Prohibition Sign No Pedestrian Access, Poly (closest-equiv, size 300x450/600x450 (need 300x225)) https://esafetysupplies.com.au/products/prohibition-sign-no-pedestrian-access | Safety Signs Australia: Prohibition Sign No Pedestrian Access, 225x300 Poly (EXACT) https://www.safetysigns.com.au/products/no-pedestrian-access | National Safety Signs: No Pedestrian Access P22102, 300x225 Poly (EXACT) https://nationalsafetysigns.com.au/safety-signs/no-pedestrian-access-sign-p22102/</t>
  </si>
  <si>
    <t xml:space="preserve">No comparable product found at any of the 9 researched retailers - likely generic site-safety signage outside their core road/traffic-sign range. | Advanced Group: Lunch Room, 450x180 Poly (closest-equiv, size differs (450x180 not 450x300)) https://www.advancedgroup.com.au/LUNCH-ROOM-450X180-POLY-p/840023.htm | Jaybro: Lunch Room Information Sign Poly 600x450mm (closest-equiv, size 600x450 (need 450x300)) https://www.jaybro.com.au/safety-signs/lunch-room-information-sign-poly-600x450mm/ | eSafety Supplies: General Sign Lunch Room, 300x450(=450x300) Poly (EXACT (size equiv via rotation)) https://esafetysupplies.com.au/products/lunch-room-sign | Safety Signs Australia: Construction Sign Lunch Room, 200x450 Poly (closest-equiv, size 200x450 (need 450x300)) https://www.safetysigns.com.au/products/lunch-room | National Safety Signs: Lunch Room S2802, 450x300 Poly (EXACT) https://nationalsafetysigns.com.au/safety-signs/lunch-room-s2802/</t>
  </si>
  <si>
    <t xml:space="preserve">No comparable product found at any of the 9 researched retailers - likely generic site-safety signage outside their core road/traffic-sign range. | Advanced Group: Flammable Material Storage, 300x225 Poly (SKU 840747) (EXACT now) https://www.advancedgroup.com.au/FLAMMABLE-MATERIAL-STORAGE-300X225-POLY-p/840747.htm | Jaybro: Danger Flammable Materials Danger Sign Poly 600x450mm (closest-equiv, size 600x450 (need 300x225)) https://www.jaybro.com.au/safety-signs/danger-flammable-materials-danger-sign-poly-600x450mm/ | All Trades Group: Danger Flammable Materials Sign, 300x225 Poly (closest-equiv, wording (no "Storage Area")) https://alltradesgroup.net.au/products/danger-flammable-materials-sign | eSafety Supplies: Danger Sign Flammable Materials, Poly (closest-equiv, size+wording (no "Storage Area")) https://esafetysupplies.com.au/products/danger-sign-flammable-materials | Safety Signs Australia: Danger Sign Flammable Material Storage Keep Heat Away, 225x300 Poly (closest-equiv, wording adds "Keep Heat Away") https://www.safetysigns.com.au/products/danger-flammable-storage | National Safety Signs: Flammable Material D10324, 300x225 Poly (closest-equiv, wording (no "Storage Area")) https://nationalsafetysigns.com.au/safety-signs/flammable-material-sign-d10324/</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</si>
  <si>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 | Advanced Group: 'Danger Overhead Power Lines 450x600mm' (850599); size matches (rotated), material not stated on listing | Jaybro: Overhead Powerlines Danger Sign Poly 450x600mm (closest-equiv, material Poly not Corflute) https://www.jaybro.com.au/safety-signs/overhead-powerlines-danger-sign-poly-450x600mm/</t>
  </si>
  <si>
    <t xml:space="preserve">Items compared (60 total line items)</t>
  </si>
  <si>
    <t xml:space="preserve">Total numeric price points captured across these 10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</si>
  <si>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</si>
  <si>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</si>
  <si>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</si>
  <si>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</si>
  <si>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</si>
  <si>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</si>
  <si>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</si>
  <si>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</si>
  <si>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</si>
  <si>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 Difference" is expressed as Us − Them: a positive (red) figure means we are MORE expensive than that competitor; a negative (green) figure means we are cheaper. "% Difference" is that $ gap as a percentage of THEIR price (not ours). Figures pulled from the 'Market Comparison' tab, now including Advanced Group (advancedgroup.com.au) as a 10th competitor (added 15 October 2026) — re-run this summary if competitor prices there change. All $ / % figures compare ex-GST prices.</t>
  </si>
  <si>
    <t xml:space="preserve">Closest-Priced
Competitor (or RSEA)</t>
  </si>
  <si>
    <t xml:space="preserve">Their Price
(ex GST)</t>
  </si>
  <si>
    <t xml:space="preserve">Our Price
(ex GST, higher of 1200/1220)</t>
  </si>
  <si>
    <t xml:space="preserve">$ Difference
(Us − Them)</t>
  </si>
  <si>
    <t xml:space="preserve">% Difference
(vs Their Price)</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</si>
  <si>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</si>
  <si>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</si>
  <si>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</si>
  <si>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</si>
  <si>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</si>
  <si>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</si>
  <si>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</si>
  <si>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</si>
  <si>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</si>
  <si>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</si>
  <si>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Safety Signs Australia</t>
  </si>
  <si>
    <t xml:space="preserve">National Safety Signs</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</si>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</sst>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25">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C00000"/>
      <name val="Calibri"/>
      <family val="0"/>
      <charset val="1"/>
    </font>
    <font>
      <sz val="11"/>
      <name val="Calibri"/>
      <family val="2"/>
      <charset val="1"/>
    </font>
    <font>
      <i val="true"/>
      <sz val="11"/>
      <color rgb="FF9B9B9B"/>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sz val="11"/>
      <color rgb="FF1B7A4D"/>
      <name val="Calibri"/>
      <family val="0"/>
      <charset val="1"/>
    </font>
    <font>
      <sz val="11"/>
      <color rgb="FF000000"/>
      <name val="Calibri"/>
      <family val="0"/>
      <charset val="1"/>
    </font>
    <font>
      <b val="true"/>
      <sz val="11"/>
      <color rgb="FFC00000"/>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6"/>
      </left>
      <right/>
      <top style="thin">
        <color theme="4" tint="0.3996"/>
      </top>
      <bottom style="thin">
        <color theme="4" tint="0.3996"/>
      </bottom>
      <diagonal/>
    </border>
    <border diagonalUp="false" diagonalDown="false">
      <left/>
      <right/>
      <top style="thin">
        <color theme="4" tint="0.3996"/>
      </top>
      <bottom style="thin">
        <color theme="4" tint="0.399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6" fillId="0"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9" fillId="2" borderId="0" xfId="0" applyFont="true" applyBorder="false" applyAlignment="true" applyProtection="false">
      <alignment horizontal="center" vertical="center" textRotation="0" wrapText="tru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5" fontId="22"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5" fontId="0" fillId="7" borderId="0" xfId="0" applyFont="false" applyBorder="false" applyAlignment="true" applyProtection="false">
      <alignment horizontal="general" vertical="bottom" textRotation="0" wrapText="false" indent="0" shrinkToFit="false"/>
      <protection locked="true" hidden="false"/>
    </xf>
    <xf numFmtId="165" fontId="20" fillId="7" borderId="0" xfId="0" applyFont="true" applyBorder="false" applyAlignment="true" applyProtection="false">
      <alignment horizontal="general" vertical="bottom" textRotation="0" wrapText="false" indent="0" shrinkToFit="false"/>
      <protection locked="true" hidden="false"/>
    </xf>
    <xf numFmtId="165" fontId="23" fillId="7" borderId="0" xfId="0" applyFont="true" applyBorder="false" applyAlignment="true" applyProtection="false">
      <alignment horizontal="general" vertical="bottom" textRotation="0" wrapText="false" indent="0" shrinkToFit="false"/>
      <protection locked="true" hidden="false"/>
    </xf>
    <xf numFmtId="168" fontId="23" fillId="7" borderId="0" xfId="0" applyFont="true" applyBorder="false" applyAlignment="true" applyProtection="false">
      <alignment horizontal="general" vertical="bottom" textRotation="0" wrapText="false" indent="0" shrinkToFit="false"/>
      <protection locked="true" hidden="false"/>
    </xf>
    <xf numFmtId="164" fontId="23" fillId="7"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0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401040</xdr:colOff>
      <xdr:row>57</xdr:row>
      <xdr:rowOff>257400</xdr:rowOff>
    </xdr:to>
    <xdr:pic>
      <xdr:nvPicPr>
        <xdr:cNvPr id="0" name="Picture 1" descr=""/>
        <xdr:cNvPicPr/>
      </xdr:nvPicPr>
      <xdr:blipFill>
        <a:blip r:embed="rId1"/>
        <a:stretch/>
      </xdr:blipFill>
      <xdr:spPr>
        <a:xfrm>
          <a:off x="17428680" y="22115880"/>
          <a:ext cx="2188800" cy="233496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c r="AF5" s="25" t="s">
        <v>257</v>
      </c>
      <c r="AG5" s="25" t="s">
        <v>258</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259</v>
      </c>
      <c r="K6" s="42" t="s">
        <v>259</v>
      </c>
      <c r="L6" s="42" t="s">
        <v>259</v>
      </c>
      <c r="M6" s="42" t="s">
        <v>259</v>
      </c>
      <c r="N6" s="11" t="n">
        <v>42.5</v>
      </c>
      <c r="O6" s="11" t="n">
        <f aca="false">N6/1.1</f>
        <v>38.6363636363636</v>
      </c>
      <c r="P6" s="11" t="n">
        <v>22.05</v>
      </c>
      <c r="Q6" s="11" t="n">
        <v>20.05</v>
      </c>
      <c r="R6" s="11" t="n">
        <v>30</v>
      </c>
      <c r="S6" s="11" t="n">
        <f aca="false">R6/1.1</f>
        <v>27.2727272727273</v>
      </c>
      <c r="T6" s="11" t="n">
        <v>31.19</v>
      </c>
      <c r="U6" s="11" t="n">
        <f aca="false">T6/1.1</f>
        <v>28.3545454545455</v>
      </c>
      <c r="V6" s="42" t="s">
        <v>259</v>
      </c>
      <c r="W6" s="42" t="s">
        <v>259</v>
      </c>
      <c r="X6" s="11" t="n">
        <v>10.29</v>
      </c>
      <c r="Y6" s="11" t="n">
        <f aca="false">X6/1.1</f>
        <v>9.35454545454545</v>
      </c>
      <c r="Z6" s="11" t="n">
        <v>65.63</v>
      </c>
      <c r="AA6" s="11" t="n">
        <f aca="false">Z6/1.1</f>
        <v>59.6636363636364</v>
      </c>
      <c r="AB6" s="11" t="n">
        <v>38.45</v>
      </c>
      <c r="AC6" s="11" t="n">
        <f aca="false">AB6/1.1</f>
        <v>34.9545454545455</v>
      </c>
      <c r="AD6" s="11" t="n">
        <f aca="false">IF(COUNT(I6,J6,M6,O6,Q6,S6,U6,V6,Y6,AA6,AC6)=0,"N/A",MIN(I6,J6,M6,O6,Q6,S6,U6,V6,Y6,AA6,AC6))</f>
        <v>9.35454545454545</v>
      </c>
      <c r="AE6" s="43" t="n">
        <f aca="false">IF(OR(D6="",AD6="",AD6="N/A"),"N/A",D6/AD6-1)</f>
        <v>0.786297376093295</v>
      </c>
      <c r="AF6" s="43" t="n">
        <f aca="false">IF(OR(F6="",AD6="",AD6="N/A"),"N/A",F6/AD6-1)</f>
        <v>0.810109329446064</v>
      </c>
      <c r="AG6" s="41" t="s">
        <v>260</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259</v>
      </c>
      <c r="K7" s="42" t="s">
        <v>259</v>
      </c>
      <c r="L7" s="42" t="s">
        <v>259</v>
      </c>
      <c r="M7" s="42" t="s">
        <v>259</v>
      </c>
      <c r="N7" s="42" t="s">
        <v>259</v>
      </c>
      <c r="O7" s="42" t="s">
        <v>259</v>
      </c>
      <c r="P7" s="42" t="s">
        <v>259</v>
      </c>
      <c r="Q7" s="42" t="s">
        <v>259</v>
      </c>
      <c r="R7" s="42" t="s">
        <v>259</v>
      </c>
      <c r="S7" s="42" t="s">
        <v>259</v>
      </c>
      <c r="T7" s="42" t="s">
        <v>259</v>
      </c>
      <c r="U7" s="42" t="s">
        <v>259</v>
      </c>
      <c r="V7" s="42" t="s">
        <v>259</v>
      </c>
      <c r="W7" s="42" t="s">
        <v>259</v>
      </c>
      <c r="X7" s="42" t="s">
        <v>259</v>
      </c>
      <c r="Y7" s="42" t="s">
        <v>259</v>
      </c>
      <c r="Z7" s="45" t="n">
        <f aca="false">AA7*1.1</f>
        <v>141.625</v>
      </c>
      <c r="AA7" s="45" t="n">
        <v>128.75</v>
      </c>
      <c r="AB7" s="45"/>
      <c r="AC7" s="45"/>
      <c r="AD7" s="11" t="n">
        <f aca="false">IF(COUNT(I7,J7,M7,O7,Q7,S7,U7,V7,Y7,AA7,AC7)=0,"N/A",MIN(I7,J7,M7,O7,Q7,S7,U7,V7,Y7,AA7,AC7))</f>
        <v>122.718181818182</v>
      </c>
      <c r="AE7" s="43" t="n">
        <f aca="false">IF(OR(D7="",AD7="",AD7="N/A"),"N/A",D7/AD7-1)</f>
        <v>-0.455418919919994</v>
      </c>
      <c r="AF7" s="43" t="str">
        <f aca="false">IF(OR(F7="",AD7="",AD7="N/A"),"N/A",F7/AD7-1)</f>
        <v>N/A</v>
      </c>
      <c r="AG7" s="41" t="s">
        <v>261</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259</v>
      </c>
      <c r="K8" s="42" t="s">
        <v>259</v>
      </c>
      <c r="L8" s="42" t="s">
        <v>259</v>
      </c>
      <c r="M8" s="42" t="s">
        <v>259</v>
      </c>
      <c r="N8" s="42" t="s">
        <v>259</v>
      </c>
      <c r="O8" s="42" t="s">
        <v>259</v>
      </c>
      <c r="P8" s="42" t="s">
        <v>259</v>
      </c>
      <c r="Q8" s="42" t="s">
        <v>259</v>
      </c>
      <c r="R8" s="42" t="s">
        <v>259</v>
      </c>
      <c r="S8" s="42" t="s">
        <v>259</v>
      </c>
      <c r="T8" s="42" t="s">
        <v>259</v>
      </c>
      <c r="U8" s="42" t="s">
        <v>259</v>
      </c>
      <c r="V8" s="42" t="s">
        <v>259</v>
      </c>
      <c r="W8" s="42" t="s">
        <v>259</v>
      </c>
      <c r="X8" s="42" t="s">
        <v>259</v>
      </c>
      <c r="Y8" s="42" t="s">
        <v>259</v>
      </c>
      <c r="Z8" s="45" t="n">
        <f aca="false">AA8*1.1</f>
        <v>141.625</v>
      </c>
      <c r="AA8" s="45" t="n">
        <v>128.75</v>
      </c>
      <c r="AB8" s="45"/>
      <c r="AC8" s="45"/>
      <c r="AD8" s="11" t="n">
        <f aca="false">IF(COUNT(I8,J8,M8,O8,Q8,S8,U8,V8,Y8,AA8,AC8)=0,"N/A",MIN(I8,J8,M8,O8,Q8,S8,U8,V8,Y8,AA8,AC8))</f>
        <v>128.75</v>
      </c>
      <c r="AE8" s="43" t="n">
        <f aca="false">IF(OR(D8="",AD8="",AD8="N/A"),"N/A",D8/AD8-1)</f>
        <v>-0.653980582524272</v>
      </c>
      <c r="AF8" s="43" t="str">
        <f aca="false">IF(OR(F8="",AD8="",AD8="N/A"),"N/A",F8/AD8-1)</f>
        <v>N/A</v>
      </c>
      <c r="AG8" s="41" t="s">
        <v>261</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v>121</v>
      </c>
      <c r="AC9" s="11" t="n">
        <f aca="false">AB9/1.1</f>
        <v>110</v>
      </c>
      <c r="AD9" s="11" t="n">
        <f aca="false">IF(COUNT(I9,J9,M9,O9,Q9,S9,U9,V9,Y9,AA9,AC9)=0,"N/A",MIN(I9,J9,M9,O9,Q9,S9,U9,V9,Y9,AA9,AC9))</f>
        <v>69.245</v>
      </c>
      <c r="AE9" s="43" t="n">
        <f aca="false">IF(OR(D9="",AD9="",AD9="N/A"),"N/A",D9/AD9-1)</f>
        <v>-0.356632247815727</v>
      </c>
      <c r="AF9" s="43" t="n">
        <f aca="false">IF(OR(F9="",AD9="",AD9="N/A"),"N/A",F9/AD9-1)</f>
        <v>-0.348054011119937</v>
      </c>
      <c r="AG9" s="41" t="s">
        <v>262</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v>137.5</v>
      </c>
      <c r="AC10" s="11" t="n">
        <f aca="false">AB10/1.1</f>
        <v>125</v>
      </c>
      <c r="AD10" s="11" t="n">
        <f aca="false">IF(COUNT(I10,J10,M10,O10,Q10,S10,U10,V10,Y10,AA10,AC10)=0,"N/A",MIN(I10,J10,M10,O10,Q10,S10,U10,V10,Y10,AA10,AC10))</f>
        <v>81.4</v>
      </c>
      <c r="AE10" s="43" t="n">
        <f aca="false">IF(OR(D10="",AD10="",AD10="N/A"),"N/A",D10/AD10-1)</f>
        <v>-0.144840294840295</v>
      </c>
      <c r="AF10" s="43" t="n">
        <f aca="false">IF(OR(F10="",AD10="",AD10="N/A"),"N/A",F10/AD10-1)</f>
        <v>-0.133438267813268</v>
      </c>
      <c r="AG10" s="41" t="s">
        <v>263</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v>85.7</v>
      </c>
      <c r="AC11" s="11" t="n">
        <f aca="false">AB11/1.1</f>
        <v>77.9090909090909</v>
      </c>
      <c r="AD11" s="11" t="n">
        <f aca="false">IF(COUNT(I11,J11,M11,O11,Q11,S11,U11,V11,Y11,AA11,AC11)=0,"N/A",MIN(I11,J11,M11,O11,Q11,S11,U11,V11,Y11,AA11,AC11))</f>
        <v>44.209</v>
      </c>
      <c r="AE11" s="43" t="n">
        <f aca="false">IF(OR(D11="",AD11="",AD11="N/A"),"N/A",D11/AD11-1)</f>
        <v>-0.244271528421815</v>
      </c>
      <c r="AF11" s="43" t="n">
        <f aca="false">IF(OR(F11="",AD11="",AD11="N/A"),"N/A",F11/AD11-1)</f>
        <v>-0.234194394806487</v>
      </c>
      <c r="AG11" s="41" t="s">
        <v>264</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v>130.79</v>
      </c>
      <c r="AC12" s="11" t="n">
        <f aca="false">AB12/1.1</f>
        <v>118.9</v>
      </c>
      <c r="AD12" s="11" t="n">
        <f aca="false">IF(COUNT(I12,J12,M12,O12,Q12,S12,U12,V12,Y12,AA12,AC12)=0,"N/A",MIN(I12,J12,M12,O12,Q12,S12,U12,V12,Y12,AA12,AC12))</f>
        <v>70.36</v>
      </c>
      <c r="AE12" s="43" t="n">
        <f aca="false">IF(OR(D12="",AD12="",AD12="N/A"),"N/A",D12/AD12-1)</f>
        <v>-0.366827743035816</v>
      </c>
      <c r="AF12" s="43" t="n">
        <f aca="false">IF(OR(F12="",AD12="",AD12="N/A"),"N/A",F12/AD12-1)</f>
        <v>-0.358385446276293</v>
      </c>
      <c r="AG12" s="41" t="s">
        <v>265</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259</v>
      </c>
      <c r="W13" s="42" t="s">
        <v>259</v>
      </c>
      <c r="X13" s="11" t="n">
        <v>110.1</v>
      </c>
      <c r="Y13" s="11" t="n">
        <f aca="false">X13/1.1</f>
        <v>100.090909090909</v>
      </c>
      <c r="Z13" s="11" t="n">
        <v>44</v>
      </c>
      <c r="AA13" s="11" t="n">
        <f aca="false">Z13/1.1</f>
        <v>40</v>
      </c>
      <c r="AB13" s="11" t="n">
        <v>90.08</v>
      </c>
      <c r="AC13" s="11" t="n">
        <f aca="false">AB13/1.1</f>
        <v>81.8909090909091</v>
      </c>
      <c r="AD13" s="11" t="n">
        <f aca="false">IF(COUNT(I13,J13,M13,O13,Q13,S13,U13,V13,Y13,AA13,AC13)=0,"N/A",MIN(I13,J13,M13,O13,Q13,S13,U13,V13,Y13,AA13,AC13))</f>
        <v>28.3545454545455</v>
      </c>
      <c r="AE13" s="43" t="n">
        <f aca="false">IF(OR(D13="",AD13="",AD13="N/A"),"N/A",D13/AD13-1)</f>
        <v>0.1782943251042</v>
      </c>
      <c r="AF13" s="43" t="n">
        <f aca="false">IF(OR(F13="",AD13="",AD13="N/A"),"N/A",F13/AD13-1)</f>
        <v>0.194006091696056</v>
      </c>
      <c r="AG13" s="41" t="s">
        <v>266</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v>82.5</v>
      </c>
      <c r="AC14" s="11" t="n">
        <f aca="false">AB14/1.1</f>
        <v>75</v>
      </c>
      <c r="AD14" s="11" t="n">
        <f aca="false">IF(COUNT(I14,J14,M14,O14,Q14,S14,U14,V14,Y14,AA14,AC14)=0,"N/A",MIN(I14,J14,M14,O14,Q14,S14,U14,V14,Y14,AA14,AC14))</f>
        <v>43.09</v>
      </c>
      <c r="AE14" s="43" t="n">
        <f aca="false">IF(OR(D14="",AD14="",AD14="N/A"),"N/A",D14/AD14-1)</f>
        <v>-0.418426549083314</v>
      </c>
      <c r="AF14" s="43" t="n">
        <f aca="false">IF(OR(F14="",AD14="",AD14="N/A"),"N/A",F14/AD14-1)</f>
        <v>-0.410672429798097</v>
      </c>
      <c r="AG14" s="41" t="s">
        <v>267</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259</v>
      </c>
      <c r="K15" s="42" t="s">
        <v>259</v>
      </c>
      <c r="L15" s="42" t="s">
        <v>259</v>
      </c>
      <c r="M15" s="42" t="s">
        <v>259</v>
      </c>
      <c r="N15" s="46" t="n">
        <v>35.7</v>
      </c>
      <c r="O15" s="46" t="n">
        <f aca="false">N15/1.1</f>
        <v>32.4545454545455</v>
      </c>
      <c r="P15" s="46" t="n">
        <v>24.2</v>
      </c>
      <c r="Q15" s="46" t="n">
        <v>22</v>
      </c>
      <c r="R15" s="46" t="n">
        <v>25</v>
      </c>
      <c r="S15" s="46" t="n">
        <f aca="false">R15/1.1</f>
        <v>22.7272727272727</v>
      </c>
      <c r="T15" s="42" t="s">
        <v>259</v>
      </c>
      <c r="U15" s="42" t="s">
        <v>259</v>
      </c>
      <c r="V15" s="42" t="s">
        <v>259</v>
      </c>
      <c r="W15" s="42" t="s">
        <v>259</v>
      </c>
      <c r="X15" s="46" t="n">
        <v>35.07</v>
      </c>
      <c r="Y15" s="46" t="n">
        <f aca="false">X15/1.1</f>
        <v>31.8818181818182</v>
      </c>
      <c r="Z15" s="45" t="n">
        <f aca="false">AA15*1.1</f>
        <v>46.134</v>
      </c>
      <c r="AA15" s="45" t="n">
        <v>41.94</v>
      </c>
      <c r="AB15" s="45" t="n">
        <v>35.06</v>
      </c>
      <c r="AC15" s="45" t="n">
        <f aca="false">AB15/1.1</f>
        <v>31.8727272727273</v>
      </c>
      <c r="AD15" s="11" t="n">
        <f aca="false">IF(COUNT(I15,J15,M15,O15,Q15,S15,U15,V15,Y15,AA15,AC15)=0,"N/A",MIN(I15,J15,M15,O15,Q15,S15,U15,V15,Y15,AA15,AC15))</f>
        <v>22</v>
      </c>
      <c r="AE15" s="43" t="n">
        <f aca="false">IF(OR(D15="",AD15="",AD15="N/A"),"N/A",D15/AD15-1)</f>
        <v>-0.620454545454546</v>
      </c>
      <c r="AF15" s="43" t="n">
        <f aca="false">IF(OR(F15="",AD15="",AD15="N/A"),"N/A",F15/AD15-1)</f>
        <v>-0.615392045454545</v>
      </c>
      <c r="AG15" s="41" t="s">
        <v>268</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259</v>
      </c>
      <c r="K16" s="42" t="s">
        <v>259</v>
      </c>
      <c r="L16" s="46" t="n">
        <v>48.29</v>
      </c>
      <c r="M16" s="46" t="n">
        <v>43.9</v>
      </c>
      <c r="N16" s="46" t="n">
        <v>39.95</v>
      </c>
      <c r="O16" s="46" t="n">
        <f aca="false">N16/1.1</f>
        <v>36.3181818181818</v>
      </c>
      <c r="P16" s="46" t="n">
        <v>24.2</v>
      </c>
      <c r="Q16" s="46" t="n">
        <v>22</v>
      </c>
      <c r="R16" s="46" t="n">
        <v>27.5</v>
      </c>
      <c r="S16" s="46" t="n">
        <f aca="false">R16/1.1</f>
        <v>25</v>
      </c>
      <c r="T16" s="42" t="s">
        <v>259</v>
      </c>
      <c r="U16" s="42" t="s">
        <v>259</v>
      </c>
      <c r="V16" s="46" t="n">
        <v>21.9</v>
      </c>
      <c r="W16" s="46" t="n">
        <f aca="false">V16*1.1</f>
        <v>24.09</v>
      </c>
      <c r="X16" s="46" t="n">
        <v>42.75</v>
      </c>
      <c r="Y16" s="46" t="n">
        <f aca="false">X16/1.1</f>
        <v>38.8636363636364</v>
      </c>
      <c r="Z16" s="45" t="n">
        <f aca="false">AA16*1.1</f>
        <v>48.851</v>
      </c>
      <c r="AA16" s="45" t="n">
        <v>44.41</v>
      </c>
      <c r="AB16" s="45" t="n">
        <v>38.45</v>
      </c>
      <c r="AC16" s="45" t="n">
        <f aca="false">AB16/1.1</f>
        <v>34.9545454545455</v>
      </c>
      <c r="AD16" s="11" t="n">
        <f aca="false">IF(COUNT(I16,J16,M16,O16,Q16,S16,U16,V16,Y16,AA16,AC16)=0,"N/A",MIN(I16,J16,M16,O16,Q16,S16,U16,V16,Y16,AA16,AC16))</f>
        <v>21.9</v>
      </c>
      <c r="AE16" s="43" t="n">
        <f aca="false">IF(OR(D16="",AD16="",AD16="N/A"),"N/A",D16/AD16-1)</f>
        <v>-0.288127853881279</v>
      </c>
      <c r="AF16" s="43" t="n">
        <f aca="false">IF(OR(F16="",AD16="",AD16="N/A"),"N/A",F16/AD16-1)</f>
        <v>-0.277956621004566</v>
      </c>
      <c r="AG16" s="41" t="s">
        <v>269</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259</v>
      </c>
      <c r="K17" s="42" t="s">
        <v>259</v>
      </c>
      <c r="L17" s="46" t="n">
        <v>53.63</v>
      </c>
      <c r="M17" s="46" t="n">
        <v>48.75</v>
      </c>
      <c r="N17" s="46" t="n">
        <v>35.7</v>
      </c>
      <c r="O17" s="46" t="n">
        <f aca="false">N17/1.1</f>
        <v>32.4545454545455</v>
      </c>
      <c r="P17" s="46" t="n">
        <v>11.55</v>
      </c>
      <c r="Q17" s="46" t="n">
        <v>10.5</v>
      </c>
      <c r="R17" s="46" t="n">
        <v>25</v>
      </c>
      <c r="S17" s="46" t="n">
        <f aca="false">R17/1.1</f>
        <v>22.7272727272727</v>
      </c>
      <c r="T17" s="42" t="s">
        <v>259</v>
      </c>
      <c r="U17" s="42" t="s">
        <v>259</v>
      </c>
      <c r="V17" s="42" t="s">
        <v>259</v>
      </c>
      <c r="W17" s="42" t="s">
        <v>259</v>
      </c>
      <c r="X17" s="46" t="n">
        <v>35.07</v>
      </c>
      <c r="Y17" s="46" t="n">
        <f aca="false">X17/1.1</f>
        <v>31.8818181818182</v>
      </c>
      <c r="Z17" s="45" t="n">
        <f aca="false">AA17*1.1</f>
        <v>46.134</v>
      </c>
      <c r="AA17" s="45" t="n">
        <v>41.94</v>
      </c>
      <c r="AB17" s="45" t="n">
        <v>35.06</v>
      </c>
      <c r="AC17" s="45" t="n">
        <f aca="false">AB17/1.1</f>
        <v>31.8727272727273</v>
      </c>
      <c r="AD17" s="11" t="n">
        <f aca="false">IF(COUNT(I17,J17,M17,O17,Q17,S17,U17,V17,Y17,AA17,AC17)=0,"N/A",MIN(I17,J17,M17,O17,Q17,S17,U17,V17,Y17,AA17,AC17))</f>
        <v>10.5</v>
      </c>
      <c r="AE17" s="43" t="n">
        <f aca="false">IF(OR(D17="",AD17="",AD17="N/A"),"N/A",D17/AD17-1)</f>
        <v>-0.204761904761905</v>
      </c>
      <c r="AF17" s="43" t="n">
        <f aca="false">IF(OR(F17="",AD17="",AD17="N/A"),"N/A",F17/AD17-1)</f>
        <v>-0.194154761904762</v>
      </c>
      <c r="AG17" s="41" t="s">
        <v>270</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259</v>
      </c>
      <c r="K18" s="42" t="s">
        <v>259</v>
      </c>
      <c r="L18" s="42" t="s">
        <v>259</v>
      </c>
      <c r="M18" s="42" t="s">
        <v>259</v>
      </c>
      <c r="N18" s="46" t="n">
        <v>49.5</v>
      </c>
      <c r="O18" s="46" t="n">
        <f aca="false">N18/1.1</f>
        <v>45</v>
      </c>
      <c r="P18" s="11" t="n">
        <v>57</v>
      </c>
      <c r="Q18" s="11" t="n">
        <v>51.82</v>
      </c>
      <c r="R18" s="11" t="n">
        <v>74.8</v>
      </c>
      <c r="S18" s="11" t="n">
        <f aca="false">R18/1.1</f>
        <v>68</v>
      </c>
      <c r="T18" s="11" t="n">
        <v>41.13</v>
      </c>
      <c r="U18" s="11" t="n">
        <f aca="false">T18/1.1</f>
        <v>37.3909090909091</v>
      </c>
      <c r="V18" s="42" t="s">
        <v>259</v>
      </c>
      <c r="W18" s="42" t="s">
        <v>259</v>
      </c>
      <c r="X18" s="11" t="n">
        <v>110.1</v>
      </c>
      <c r="Y18" s="11" t="n">
        <f aca="false">X18/1.1</f>
        <v>100.090909090909</v>
      </c>
      <c r="Z18" s="45" t="n">
        <f aca="false">AA18*1.1</f>
        <v>56.65</v>
      </c>
      <c r="AA18" s="45" t="n">
        <v>51.5</v>
      </c>
      <c r="AB18" s="45" t="n">
        <v>46.99</v>
      </c>
      <c r="AC18" s="45" t="n">
        <f aca="false">AB18/1.1</f>
        <v>42.7181818181818</v>
      </c>
      <c r="AD18" s="11" t="n">
        <f aca="false">IF(COUNT(I18,J18,M18,O18,Q18,S18,U18,V18,Y18,AA18,AC18)=0,"N/A",MIN(I18,J18,M18,O18,Q18,S18,U18,V18,Y18,AA18,AC18))</f>
        <v>37.3909090909091</v>
      </c>
      <c r="AE18" s="43" t="n">
        <f aca="false">IF(OR(D18="",AD18="",AD18="N/A"),"N/A",D18/AD18-1)</f>
        <v>-0.205689277899344</v>
      </c>
      <c r="AF18" s="43" t="n">
        <f aca="false">IF(OR(F18="",AD18="",AD18="N/A"),"N/A",F18/AD18-1)</f>
        <v>-0.193774617067834</v>
      </c>
      <c r="AG18" s="41" t="s">
        <v>271</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6" t="n">
        <v>61.59</v>
      </c>
      <c r="M19" s="46" t="n">
        <v>55.99</v>
      </c>
      <c r="N19" s="11" t="n">
        <v>36.5</v>
      </c>
      <c r="O19" s="11" t="n">
        <f aca="false">N19/1.1</f>
        <v>33.1818181818182</v>
      </c>
      <c r="P19" s="11" t="n">
        <v>57</v>
      </c>
      <c r="Q19" s="11" t="n">
        <v>51.82</v>
      </c>
      <c r="R19" s="11" t="n">
        <v>74.8</v>
      </c>
      <c r="S19" s="11" t="n">
        <f aca="false">R19/1.1</f>
        <v>68</v>
      </c>
      <c r="T19" s="11" t="n">
        <v>31.19</v>
      </c>
      <c r="U19" s="11" t="n">
        <f aca="false">T19/1.1</f>
        <v>28.3545454545455</v>
      </c>
      <c r="V19" s="42" t="s">
        <v>259</v>
      </c>
      <c r="W19" s="42" t="s">
        <v>259</v>
      </c>
      <c r="X19" s="11" t="n">
        <v>110.1</v>
      </c>
      <c r="Y19" s="11" t="n">
        <f aca="false">X19/1.1</f>
        <v>100.090909090909</v>
      </c>
      <c r="Z19" s="45" t="n">
        <f aca="false">AA19*1.1</f>
        <v>56.65</v>
      </c>
      <c r="AA19" s="45" t="n">
        <v>51.5</v>
      </c>
      <c r="AB19" s="45" t="n">
        <v>46.99</v>
      </c>
      <c r="AC19" s="45" t="n">
        <f aca="false">AB19/1.1</f>
        <v>42.7181818181818</v>
      </c>
      <c r="AD19" s="11" t="n">
        <f aca="false">IF(COUNT(I19,J19,M19,O19,Q19,S19,U19,V19,Y19,AA19,AC19)=0,"N/A",MIN(I19,J19,M19,O19,Q19,S19,U19,V19,Y19,AA19,AC19))</f>
        <v>28.3545454545455</v>
      </c>
      <c r="AE19" s="43" t="n">
        <f aca="false">IF(OR(D19="",AD19="",AD19="N/A"),"N/A",D19/AD19-1)</f>
        <v>0.0474511061237577</v>
      </c>
      <c r="AF19" s="43" t="n">
        <f aca="false">IF(OR(F19="",AD19="",AD19="N/A"),"N/A",F19/AD19-1)</f>
        <v>0.0631628727156139</v>
      </c>
      <c r="AG19" s="41" t="s">
        <v>272</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259</v>
      </c>
      <c r="W20" s="42" t="s">
        <v>259</v>
      </c>
      <c r="X20" s="11" t="n">
        <v>26.77</v>
      </c>
      <c r="Y20" s="11" t="n">
        <f aca="false">X20/1.1</f>
        <v>24.3363636363636</v>
      </c>
      <c r="Z20" s="11" t="n">
        <v>49.78</v>
      </c>
      <c r="AA20" s="11" t="n">
        <f aca="false">Z20/1.1</f>
        <v>45.2545454545455</v>
      </c>
      <c r="AB20" s="11" t="n">
        <v>38.45</v>
      </c>
      <c r="AC20" s="11" t="n">
        <f aca="false">AB20/1.1</f>
        <v>34.9545454545455</v>
      </c>
      <c r="AD20" s="11" t="n">
        <f aca="false">IF(COUNT(I20,J20,M20,O20,Q20,S20,U20,V20,Y20,AA20,AC20)=0,"N/A",MIN(I20,J20,M20,O20,Q20,S20,U20,V20,Y20,AA20,AC20))</f>
        <v>23.3090909090909</v>
      </c>
      <c r="AE20" s="43" t="n">
        <f aca="false">IF(OR(D20="",AD20="",AD20="N/A"),"N/A",D20/AD20-1)</f>
        <v>-0.28311232449298</v>
      </c>
      <c r="AF20" s="43" t="n">
        <f aca="false">IF(OR(F20="",AD20="",AD20="N/A"),"N/A",F20/AD20-1)</f>
        <v>-0.27355596723869</v>
      </c>
      <c r="AG20" s="41" t="s">
        <v>273</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6" t="n">
        <v>37.07</v>
      </c>
      <c r="S21" s="46" t="n">
        <f aca="false">R21/1.1</f>
        <v>33.7</v>
      </c>
      <c r="T21" s="11" t="n">
        <v>82.82</v>
      </c>
      <c r="U21" s="11" t="n">
        <f aca="false">T21/1.1</f>
        <v>75.2909090909091</v>
      </c>
      <c r="V21" s="42" t="s">
        <v>259</v>
      </c>
      <c r="W21" s="42" t="s">
        <v>259</v>
      </c>
      <c r="X21" s="11" t="n">
        <v>23.32</v>
      </c>
      <c r="Y21" s="11" t="n">
        <f aca="false">X21/1.1</f>
        <v>21.2</v>
      </c>
      <c r="Z21" s="45" t="n">
        <f aca="false">AA21*1.1</f>
        <v>48.851</v>
      </c>
      <c r="AA21" s="45" t="n">
        <v>44.41</v>
      </c>
      <c r="AB21" s="45" t="n">
        <v>46.99</v>
      </c>
      <c r="AC21" s="45" t="n">
        <f aca="false">AB21/1.1</f>
        <v>42.7181818181818</v>
      </c>
      <c r="AD21" s="11" t="n">
        <f aca="false">IF(COUNT(I21,J21,M21,O21,Q21,S21,U21,V21,Y21,AA21,AC21)=0,"N/A",MIN(I21,J21,M21,O21,Q21,S21,U21,V21,Y21,AA21,AC21))</f>
        <v>21.2</v>
      </c>
      <c r="AE21" s="43" t="n">
        <f aca="false">IF(OR(D21="",AD21="",AD21="N/A"),"N/A",D21/AD21-1)</f>
        <v>0.575943396226415</v>
      </c>
      <c r="AF21" s="43" t="n">
        <f aca="false">IF(OR(F21="",AD21="",AD21="N/A"),"N/A",F21/AD21-1)</f>
        <v>0.596957547169811</v>
      </c>
      <c r="AG21" s="41" t="s">
        <v>274</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259</v>
      </c>
      <c r="K22" s="42" t="s">
        <v>259</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259</v>
      </c>
      <c r="W22" s="42" t="s">
        <v>259</v>
      </c>
      <c r="X22" s="11" t="n">
        <v>23.32</v>
      </c>
      <c r="Y22" s="11" t="n">
        <f aca="false">X22/1.1</f>
        <v>21.2</v>
      </c>
      <c r="Z22" s="11" t="n">
        <v>48.85</v>
      </c>
      <c r="AA22" s="11" t="n">
        <f aca="false">Z22/1.1</f>
        <v>44.4090909090909</v>
      </c>
      <c r="AB22" s="11" t="n">
        <v>38.45</v>
      </c>
      <c r="AC22" s="11" t="n">
        <f aca="false">AB22/1.1</f>
        <v>34.9545454545455</v>
      </c>
      <c r="AD22" s="11" t="n">
        <f aca="false">IF(COUNT(I22,J22,M22,O22,Q22,S22,U22,V22,Y22,AA22,AC22)=0,"N/A",MIN(I22,J22,M22,O22,Q22,S22,U22,V22,Y22,AA22,AC22))</f>
        <v>21.2</v>
      </c>
      <c r="AE22" s="43" t="n">
        <f aca="false">IF(OR(D22="",AD22="",AD22="N/A"),"N/A",D22/AD22-1)</f>
        <v>-0.442924528301887</v>
      </c>
      <c r="AF22" s="43" t="n">
        <f aca="false">IF(OR(F22="",AD22="",AD22="N/A"),"N/A",F22/AD22-1)</f>
        <v>-0.432417452830189</v>
      </c>
      <c r="AG22" s="41" t="s">
        <v>275</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259</v>
      </c>
      <c r="W23" s="42" t="s">
        <v>259</v>
      </c>
      <c r="X23" s="11" t="n">
        <v>23.32</v>
      </c>
      <c r="Y23" s="11" t="n">
        <f aca="false">X23/1.1</f>
        <v>21.2</v>
      </c>
      <c r="Z23" s="45" t="n">
        <v>48.85</v>
      </c>
      <c r="AA23" s="45" t="n">
        <v>44.41</v>
      </c>
      <c r="AB23" s="45" t="n">
        <v>38.45</v>
      </c>
      <c r="AC23" s="45" t="n">
        <f aca="false">AB23/1.1</f>
        <v>34.9545454545455</v>
      </c>
      <c r="AD23" s="11" t="n">
        <f aca="false">IF(COUNT(I23,J23,M23,O23,Q23,S23,U23,V23,Y23,AA23,AC23)=0,"N/A",MIN(I23,J23,M23,O23,Q23,S23,U23,V23,Y23,AA23,AC23))</f>
        <v>21.2</v>
      </c>
      <c r="AE23" s="43" t="n">
        <f aca="false">IF(OR(D23="",AD23="",AD23="N/A"),"N/A",D23/AD23-1)</f>
        <v>-0.442924528301887</v>
      </c>
      <c r="AF23" s="43" t="n">
        <f aca="false">IF(OR(F23="",AD23="",AD23="N/A"),"N/A",F23/AD23-1)</f>
        <v>-0.432417452830189</v>
      </c>
      <c r="AG23" s="41" t="s">
        <v>276</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259</v>
      </c>
      <c r="K24" s="42" t="s">
        <v>259</v>
      </c>
      <c r="L24" s="46" t="n">
        <v>43.15</v>
      </c>
      <c r="M24" s="46" t="n">
        <v>39.23</v>
      </c>
      <c r="N24" s="46" t="n">
        <v>35.75</v>
      </c>
      <c r="O24" s="46" t="n">
        <f aca="false">N24/1.1</f>
        <v>32.5</v>
      </c>
      <c r="P24" s="46" t="n">
        <v>24.2</v>
      </c>
      <c r="Q24" s="46" t="n">
        <v>22</v>
      </c>
      <c r="R24" s="46" t="n">
        <v>25</v>
      </c>
      <c r="S24" s="46" t="n">
        <f aca="false">R24/1.1</f>
        <v>22.7272727272727</v>
      </c>
      <c r="T24" s="46" t="n">
        <v>33.19</v>
      </c>
      <c r="U24" s="46" t="n">
        <f aca="false">T24/1.1</f>
        <v>30.1727272727273</v>
      </c>
      <c r="V24" s="42" t="s">
        <v>259</v>
      </c>
      <c r="W24" s="42" t="s">
        <v>259</v>
      </c>
      <c r="X24" s="46" t="n">
        <v>35.9</v>
      </c>
      <c r="Y24" s="46" t="n">
        <f aca="false">X24/1.1</f>
        <v>32.6363636363636</v>
      </c>
      <c r="Z24" s="45" t="n">
        <v>46.13</v>
      </c>
      <c r="AA24" s="45" t="n">
        <v>41.94</v>
      </c>
      <c r="AB24" s="45" t="n">
        <v>35.06</v>
      </c>
      <c r="AC24" s="45" t="n">
        <f aca="false">AB24/1.1</f>
        <v>31.8727272727273</v>
      </c>
      <c r="AD24" s="11" t="n">
        <f aca="false">IF(COUNT(I24,J24,M24,O24,Q24,S24,U24,V24,Y24,AA24,AC24)=0,"N/A",MIN(I24,J24,M24,O24,Q24,S24,U24,V24,Y24,AA24,AC24))</f>
        <v>22</v>
      </c>
      <c r="AE24" s="43" t="n">
        <f aca="false">IF(OR(D24="",AD24="",AD24="N/A"),"N/A",D24/AD24-1)</f>
        <v>-0.731818181818182</v>
      </c>
      <c r="AF24" s="43" t="n">
        <f aca="false">IF(OR(F24="",AD24="",AD24="N/A"),"N/A",F24/AD24-1)</f>
        <v>-0.726755681818182</v>
      </c>
      <c r="AG24" s="41" t="s">
        <v>277</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259</v>
      </c>
      <c r="K25" s="42" t="s">
        <v>259</v>
      </c>
      <c r="L25" s="46" t="n">
        <v>46.29</v>
      </c>
      <c r="M25" s="46" t="n">
        <v>42.08</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45" t="n">
        <v>38.45</v>
      </c>
      <c r="AC25" s="45" t="n">
        <f aca="false">AB25/1.1</f>
        <v>34.9545454545455</v>
      </c>
      <c r="AD25" s="11" t="n">
        <f aca="false">IF(COUNT(I25,J25,M25,O25,Q25,S25,U25,V25,Y25,AA25,AC25)=0,"N/A",MIN(I25,J25,M25,O25,Q25,S25,U25,V25,Y25,AA25,AC25))</f>
        <v>9.35454545454545</v>
      </c>
      <c r="AE25" s="43" t="n">
        <f aca="false">IF(OR(D25="",AD25="",AD25="N/A"),"N/A",D25/AD25-1)</f>
        <v>0.262487852283771</v>
      </c>
      <c r="AF25" s="43" t="n">
        <f aca="false">IF(OR(F25="",AD25="",AD25="N/A"),"N/A",F25/AD25-1)</f>
        <v>0.28629980563654</v>
      </c>
      <c r="AG25" s="41" t="s">
        <v>278</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259</v>
      </c>
      <c r="K26" s="42" t="s">
        <v>259</v>
      </c>
      <c r="L26" s="42" t="s">
        <v>259</v>
      </c>
      <c r="M26" s="42" t="s">
        <v>259</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259</v>
      </c>
      <c r="W26" s="42" t="s">
        <v>259</v>
      </c>
      <c r="X26" s="11" t="n">
        <v>10.29</v>
      </c>
      <c r="Y26" s="11" t="n">
        <f aca="false">X26/1.1</f>
        <v>9.35454545454545</v>
      </c>
      <c r="Z26" s="11" t="n">
        <v>65.63</v>
      </c>
      <c r="AA26" s="11" t="n">
        <f aca="false">Z26/1.1</f>
        <v>59.6636363636364</v>
      </c>
      <c r="AB26" s="11" t="n">
        <v>38.45</v>
      </c>
      <c r="AC26" s="11" t="n">
        <f aca="false">AB26/1.1</f>
        <v>34.9545454545455</v>
      </c>
      <c r="AD26" s="11" t="n">
        <f aca="false">IF(COUNT(I26,J26,M26,O26,Q26,S26,U26,V26,Y26,AA26,AC26)=0,"N/A",MIN(I26,J26,M26,O26,Q26,S26,U26,V26,Y26,AA26,AC26))</f>
        <v>9.35454545454545</v>
      </c>
      <c r="AE26" s="43" t="n">
        <f aca="false">IF(OR(D26="",AD26="",AD26="N/A"),"N/A",D26/AD26-1)</f>
        <v>0.262487852283771</v>
      </c>
      <c r="AF26" s="43" t="n">
        <f aca="false">IF(OR(F26="",AD26="",AD26="N/A"),"N/A",F26/AD26-1)</f>
        <v>0.28629980563654</v>
      </c>
      <c r="AG26" s="41" t="s">
        <v>279</v>
      </c>
    </row>
    <row r="27" customFormat="false" ht="108.75" hidden="false" customHeight="true" outlineLevel="0" collapsed="false">
      <c r="A27" s="1" t="s">
        <v>222</v>
      </c>
      <c r="B27" s="1" t="s">
        <v>280</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259</v>
      </c>
      <c r="K27" s="42" t="s">
        <v>259</v>
      </c>
      <c r="L27" s="46" t="n">
        <v>39.58</v>
      </c>
      <c r="M27" s="46" t="n">
        <v>35.98</v>
      </c>
      <c r="N27" s="11" t="n">
        <v>35.75</v>
      </c>
      <c r="O27" s="11" t="n">
        <f aca="false">N27/1.1</f>
        <v>32.5</v>
      </c>
      <c r="P27" s="11" t="n">
        <v>42.5</v>
      </c>
      <c r="Q27" s="11" t="n">
        <v>38.64</v>
      </c>
      <c r="R27" s="11" t="n">
        <v>27.5</v>
      </c>
      <c r="S27" s="11" t="n">
        <f aca="false">R27/1.1</f>
        <v>25</v>
      </c>
      <c r="T27" s="11" t="n">
        <v>30.11</v>
      </c>
      <c r="U27" s="11" t="n">
        <f aca="false">T27/1.1</f>
        <v>27.3727272727273</v>
      </c>
      <c r="V27" s="42" t="s">
        <v>259</v>
      </c>
      <c r="W27" s="42" t="s">
        <v>259</v>
      </c>
      <c r="X27" s="11" t="n">
        <v>23.32</v>
      </c>
      <c r="Y27" s="11" t="n">
        <f aca="false">X27/1.1</f>
        <v>21.2</v>
      </c>
      <c r="Z27" s="11" t="n">
        <v>49.78</v>
      </c>
      <c r="AA27" s="11" t="n">
        <f aca="false">Z27/1.1</f>
        <v>45.2545454545455</v>
      </c>
      <c r="AB27" s="11" t="n">
        <v>38.45</v>
      </c>
      <c r="AC27" s="11" t="n">
        <f aca="false">AB27/1.1</f>
        <v>34.9545454545455</v>
      </c>
      <c r="AD27" s="11" t="n">
        <f aca="false">IF(COUNT(I27,J27,M27,O27,Q27,S27,U27,V27,Y27,AA27,AC27)=0,"N/A",MIN(I27,J27,M27,O27,Q27,S27,U27,V27,Y27,AA27,AC27))</f>
        <v>21.2</v>
      </c>
      <c r="AE27" s="43" t="n">
        <f aca="false">IF(OR(D27="",AD27="",AD27="N/A"),"N/A",D27/AD27-1)</f>
        <v>-0.442924528301887</v>
      </c>
      <c r="AF27" s="43" t="n">
        <f aca="false">IF(OR(F27="",AD27="",AD27="N/A"),"N/A",F27/AD27-1)</f>
        <v>-0.432417452830189</v>
      </c>
      <c r="AG27" s="41" t="s">
        <v>281</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259</v>
      </c>
      <c r="K28" s="42" t="s">
        <v>259</v>
      </c>
      <c r="L28" s="42" t="s">
        <v>259</v>
      </c>
      <c r="M28" s="42" t="s">
        <v>259</v>
      </c>
      <c r="N28" s="11" t="n">
        <v>35.75</v>
      </c>
      <c r="O28" s="11" t="n">
        <f aca="false">N28/1.1</f>
        <v>32.5</v>
      </c>
      <c r="P28" s="11" t="n">
        <v>57</v>
      </c>
      <c r="Q28" s="11" t="n">
        <v>51.82</v>
      </c>
      <c r="R28" s="11" t="n">
        <v>74.8</v>
      </c>
      <c r="S28" s="11" t="n">
        <f aca="false">R28/1.1</f>
        <v>68</v>
      </c>
      <c r="T28" s="11" t="n">
        <v>98.07</v>
      </c>
      <c r="U28" s="11" t="n">
        <f aca="false">T28/1.1</f>
        <v>89.1545454545454</v>
      </c>
      <c r="V28" s="42" t="s">
        <v>259</v>
      </c>
      <c r="W28" s="42" t="s">
        <v>259</v>
      </c>
      <c r="X28" s="11" t="n">
        <v>110.1</v>
      </c>
      <c r="Y28" s="11" t="n">
        <f aca="false">X28/1.1</f>
        <v>100.090909090909</v>
      </c>
      <c r="Z28" s="42" t="s">
        <v>259</v>
      </c>
      <c r="AA28" s="42" t="s">
        <v>259</v>
      </c>
      <c r="AB28" s="46" t="n">
        <v>90.08</v>
      </c>
      <c r="AC28" s="46" t="n">
        <f aca="false">AB28/1.1</f>
        <v>81.8909090909091</v>
      </c>
      <c r="AD28" s="11" t="n">
        <f aca="false">IF(COUNT(I28,J28,M28,O28,Q28,S28,U28,V28,Y28,AA28,AC28)=0,"N/A",MIN(I28,J28,M28,O28,Q28,S28,U28,V28,Y28,AA28,AC28))</f>
        <v>32.5</v>
      </c>
      <c r="AE28" s="43" t="n">
        <f aca="false">IF(OR(D28="",AD28="",AD28="N/A"),"N/A",D28/AD28-1)</f>
        <v>0.0279999999999998</v>
      </c>
      <c r="AF28" s="43" t="n">
        <f aca="false">IF(OR(F28="",AD28="",AD28="N/A"),"N/A",F28/AD28-1)</f>
        <v>0.0417076923076922</v>
      </c>
      <c r="AG28" s="41" t="s">
        <v>282</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259</v>
      </c>
      <c r="W29" s="42" t="s">
        <v>259</v>
      </c>
      <c r="X29" s="11" t="n">
        <v>110.1</v>
      </c>
      <c r="Y29" s="11" t="n">
        <f aca="false">X29/1.1</f>
        <v>100.090909090909</v>
      </c>
      <c r="Z29" s="45" t="n">
        <f aca="false">AA29*1.1</f>
        <v>133.386</v>
      </c>
      <c r="AA29" s="45" t="n">
        <v>121.26</v>
      </c>
      <c r="AB29" s="45" t="n">
        <v>90.08</v>
      </c>
      <c r="AC29" s="45" t="n">
        <f aca="false">AB29/1.1</f>
        <v>81.8909090909091</v>
      </c>
      <c r="AD29" s="11" t="n">
        <f aca="false">IF(COUNT(I29,J29,M29,O29,Q29,S29,U29,V29,Y29,AA29,AC29)=0,"N/A",MIN(I29,J29,M29,O29,Q29,S29,U29,V29,Y29,AA29,AC29))</f>
        <v>45</v>
      </c>
      <c r="AE29" s="43" t="n">
        <f aca="false">IF(OR(D29="",AD29="",AD29="N/A"),"N/A",D29/AD29-1)</f>
        <v>-0.257555555555556</v>
      </c>
      <c r="AF29" s="43" t="n">
        <f aca="false">IF(OR(F29="",AD29="",AD29="N/A"),"N/A",F29/AD29-1)</f>
        <v>-0.247655555555555</v>
      </c>
      <c r="AG29" s="41" t="s">
        <v>283</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259</v>
      </c>
      <c r="M30" s="42" t="s">
        <v>259</v>
      </c>
      <c r="N30" s="42" t="s">
        <v>259</v>
      </c>
      <c r="O30" s="42" t="s">
        <v>259</v>
      </c>
      <c r="P30" s="42" t="s">
        <v>259</v>
      </c>
      <c r="Q30" s="42" t="s">
        <v>259</v>
      </c>
      <c r="R30" s="11" t="n">
        <v>34.1</v>
      </c>
      <c r="S30" s="11" t="n">
        <f aca="false">R30/1.1</f>
        <v>31</v>
      </c>
      <c r="T30" s="11" t="n">
        <v>61.04</v>
      </c>
      <c r="U30" s="11" t="n">
        <f aca="false">T30/1.1</f>
        <v>55.4909090909091</v>
      </c>
      <c r="V30" s="11" t="n">
        <f aca="false">W30*1.1</f>
        <v>30.8</v>
      </c>
      <c r="W30" s="11" t="n">
        <v>28</v>
      </c>
      <c r="X30" s="42" t="s">
        <v>259</v>
      </c>
      <c r="Y30" s="42" t="s">
        <v>259</v>
      </c>
      <c r="Z30" s="42" t="s">
        <v>259</v>
      </c>
      <c r="AA30" s="42" t="s">
        <v>259</v>
      </c>
      <c r="AB30" s="46" t="n">
        <v>40.83</v>
      </c>
      <c r="AC30" s="46" t="n">
        <f aca="false">AB30/1.1</f>
        <v>37.1181818181818</v>
      </c>
      <c r="AD30" s="11" t="n">
        <f aca="false">IF(COUNT(I30,J30,M30,O30,Q30,S30,U30,V30,Y30,AA30,AC30)=0,"N/A",MIN(I30,J30,M30,O30,Q30,S30,U30,V30,Y30,AA30,AC30))</f>
        <v>30.8</v>
      </c>
      <c r="AE30" s="43" t="n">
        <f aca="false">IF(OR(D30="",AD30="",AD30="N/A"),"N/A",D30/AD30-1)</f>
        <v>-0.575649350649351</v>
      </c>
      <c r="AF30" s="43" t="str">
        <f aca="false">IF(OR(F30="",AD30="",AD30="N/A"),"N/A",F30/AD30-1)</f>
        <v>N/A</v>
      </c>
      <c r="AG30" s="41" t="s">
        <v>284</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259</v>
      </c>
      <c r="K31" s="42" t="s">
        <v>259</v>
      </c>
      <c r="L31" s="42" t="s">
        <v>259</v>
      </c>
      <c r="M31" s="42" t="s">
        <v>259</v>
      </c>
      <c r="N31" s="42" t="s">
        <v>259</v>
      </c>
      <c r="O31" s="42" t="s">
        <v>259</v>
      </c>
      <c r="P31" s="42" t="s">
        <v>259</v>
      </c>
      <c r="Q31" s="42" t="s">
        <v>259</v>
      </c>
      <c r="R31" s="11" t="n">
        <v>34.1</v>
      </c>
      <c r="S31" s="11" t="n">
        <f aca="false">R31/1.1</f>
        <v>31</v>
      </c>
      <c r="T31" s="11" t="n">
        <v>47.14</v>
      </c>
      <c r="U31" s="11" t="n">
        <f aca="false">T31/1.1</f>
        <v>42.8545454545455</v>
      </c>
      <c r="V31" s="46" t="n">
        <v>28</v>
      </c>
      <c r="W31" s="46" t="n">
        <f aca="false">V31*1.1</f>
        <v>30.8</v>
      </c>
      <c r="X31" s="11" t="n">
        <v>53.22</v>
      </c>
      <c r="Y31" s="11" t="n">
        <f aca="false">X31/1.1</f>
        <v>48.3818181818182</v>
      </c>
      <c r="Z31" s="42" t="s">
        <v>259</v>
      </c>
      <c r="AA31" s="42" t="s">
        <v>259</v>
      </c>
      <c r="AB31" s="47"/>
      <c r="AC31" s="47"/>
      <c r="AD31" s="11" t="n">
        <f aca="false">IF(COUNT(I31,J31,M31,O31,Q31,S31,U31,V31,Y31,AA31,AC31)=0,"N/A",MIN(I31,J31,M31,O31,Q31,S31,U31,V31,Y31,AA31,AC31))</f>
        <v>28</v>
      </c>
      <c r="AE31" s="43" t="n">
        <f aca="false">IF(OR(D31="",AD31="",AD31="N/A"),"N/A",D31/AD31-1)</f>
        <v>-0.533214285714286</v>
      </c>
      <c r="AF31" s="43" t="str">
        <f aca="false">IF(OR(F31="",AD31="",AD31="N/A"),"N/A",F31/AD31-1)</f>
        <v>N/A</v>
      </c>
      <c r="AG31" s="41" t="s">
        <v>285</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259</v>
      </c>
      <c r="M32" s="42" t="s">
        <v>259</v>
      </c>
      <c r="N32" s="42" t="s">
        <v>259</v>
      </c>
      <c r="O32" s="42" t="s">
        <v>259</v>
      </c>
      <c r="P32" s="42" t="s">
        <v>259</v>
      </c>
      <c r="Q32" s="42" t="s">
        <v>259</v>
      </c>
      <c r="R32" s="11" t="n">
        <v>34.1</v>
      </c>
      <c r="S32" s="11" t="n">
        <f aca="false">R32/1.1</f>
        <v>31</v>
      </c>
      <c r="T32" s="11" t="n">
        <v>86.85</v>
      </c>
      <c r="U32" s="11" t="n">
        <f aca="false">T32/1.1</f>
        <v>78.9545454545454</v>
      </c>
      <c r="V32" s="11" t="n">
        <f aca="false">W32*1.1</f>
        <v>56.65</v>
      </c>
      <c r="W32" s="11" t="n">
        <v>51.5</v>
      </c>
      <c r="X32" s="42" t="s">
        <v>259</v>
      </c>
      <c r="Y32" s="42" t="s">
        <v>259</v>
      </c>
      <c r="Z32" s="42" t="s">
        <v>259</v>
      </c>
      <c r="AA32" s="42" t="s">
        <v>259</v>
      </c>
      <c r="AB32" s="46" t="n">
        <v>40.83</v>
      </c>
      <c r="AC32" s="46" t="n">
        <f aca="false">AB32/1.1</f>
        <v>37.1181818181818</v>
      </c>
      <c r="AD32" s="11" t="n">
        <f aca="false">IF(COUNT(I32,J32,M32,O32,Q32,S32,U32,V32,Y32,AA32,AC32)=0,"N/A",MIN(I32,J32,M32,O32,Q32,S32,U32,V32,Y32,AA32,AC32))</f>
        <v>31</v>
      </c>
      <c r="AE32" s="43" t="n">
        <f aca="false">IF(OR(D32="",AD32="",AD32="N/A"),"N/A",D32/AD32-1)</f>
        <v>-0.48258064516129</v>
      </c>
      <c r="AF32" s="43" t="str">
        <f aca="false">IF(OR(F32="",AD32="",AD32="N/A"),"N/A",F32/AD32-1)</f>
        <v>N/A</v>
      </c>
      <c r="AG32" s="41" t="s">
        <v>286</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259</v>
      </c>
      <c r="M33" s="42" t="s">
        <v>259</v>
      </c>
      <c r="N33" s="46" t="n">
        <v>51</v>
      </c>
      <c r="O33" s="46" t="n">
        <f aca="false">N33/1.1</f>
        <v>46.3636363636364</v>
      </c>
      <c r="P33" s="42" t="s">
        <v>259</v>
      </c>
      <c r="Q33" s="42" t="s">
        <v>259</v>
      </c>
      <c r="R33" s="11" t="n">
        <v>34.1</v>
      </c>
      <c r="S33" s="11" t="n">
        <f aca="false">R33/1.1</f>
        <v>31</v>
      </c>
      <c r="T33" s="11" t="n">
        <v>58.84</v>
      </c>
      <c r="U33" s="11" t="n">
        <f aca="false">T33/1.1</f>
        <v>53.4909090909091</v>
      </c>
      <c r="V33" s="46" t="n">
        <v>51.5</v>
      </c>
      <c r="W33" s="46" t="n">
        <f aca="false">V33*1.1</f>
        <v>56.65</v>
      </c>
      <c r="X33" s="11" t="n">
        <v>53.22</v>
      </c>
      <c r="Y33" s="11" t="n">
        <f aca="false">X33/1.1</f>
        <v>48.3818181818182</v>
      </c>
      <c r="Z33" s="42" t="s">
        <v>259</v>
      </c>
      <c r="AA33" s="42" t="s">
        <v>259</v>
      </c>
      <c r="AB33" s="46" t="n">
        <v>40.83</v>
      </c>
      <c r="AC33" s="46" t="n">
        <f aca="false">AB33/1.1</f>
        <v>37.1181818181818</v>
      </c>
      <c r="AD33" s="11" t="n">
        <f aca="false">IF(COUNT(I33,J33,M33,O33,Q33,S33,U33,V33,Y33,AA33,AC33)=0,"N/A",MIN(I33,J33,M33,O33,Q33,S33,U33,V33,Y33,AA33,AC33))</f>
        <v>31</v>
      </c>
      <c r="AE33" s="43" t="n">
        <f aca="false">IF(OR(D33="",AD33="",AD33="N/A"),"N/A",D33/AD33-1)</f>
        <v>-0.48258064516129</v>
      </c>
      <c r="AF33" s="43" t="str">
        <f aca="false">IF(OR(F33="",AD33="",AD33="N/A"),"N/A",F33/AD33-1)</f>
        <v>N/A</v>
      </c>
      <c r="AG33" s="41" t="s">
        <v>287</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259</v>
      </c>
      <c r="M34" s="42" t="s">
        <v>259</v>
      </c>
      <c r="N34" s="42" t="s">
        <v>259</v>
      </c>
      <c r="O34" s="42" t="s">
        <v>259</v>
      </c>
      <c r="P34" s="42" t="s">
        <v>259</v>
      </c>
      <c r="Q34" s="42" t="s">
        <v>259</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259</v>
      </c>
      <c r="AA34" s="42" t="s">
        <v>259</v>
      </c>
      <c r="AB34" s="46" t="n">
        <v>40.83</v>
      </c>
      <c r="AC34" s="46" t="n">
        <f aca="false">AB34/1.1</f>
        <v>37.1181818181818</v>
      </c>
      <c r="AD34" s="11" t="n">
        <f aca="false">IF(COUNT(I34,J34,M34,O34,Q34,S34,U34,V34,Y34,AA34,AC34)=0,"N/A",MIN(I34,J34,M34,O34,Q34,S34,U34,V34,Y34,AA34,AC34))</f>
        <v>31</v>
      </c>
      <c r="AE34" s="43" t="n">
        <f aca="false">IF(OR(D34="",AD34="",AD34="N/A"),"N/A",D34/AD34-1)</f>
        <v>-0.48258064516129</v>
      </c>
      <c r="AF34" s="43" t="str">
        <f aca="false">IF(OR(F34="",AD34="",AD34="N/A"),"N/A",F34/AD34-1)</f>
        <v>N/A</v>
      </c>
      <c r="AG34" s="41" t="s">
        <v>288</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259</v>
      </c>
      <c r="M35" s="42" t="s">
        <v>259</v>
      </c>
      <c r="N35" s="42" t="s">
        <v>259</v>
      </c>
      <c r="O35" s="42" t="s">
        <v>259</v>
      </c>
      <c r="P35" s="42" t="s">
        <v>259</v>
      </c>
      <c r="Q35" s="42" t="s">
        <v>259</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259</v>
      </c>
      <c r="AA35" s="42" t="s">
        <v>259</v>
      </c>
      <c r="AB35" s="46" t="n">
        <v>40.83</v>
      </c>
      <c r="AC35" s="46" t="n">
        <f aca="false">AB35/1.1</f>
        <v>37.1181818181818</v>
      </c>
      <c r="AD35" s="11" t="n">
        <f aca="false">IF(COUNT(I35,J35,M35,O35,Q35,S35,U35,V35,Y35,AA35,AC35)=0,"N/A",MIN(I35,J35,M35,O35,Q35,S35,U35,V35,Y35,AA35,AC35))</f>
        <v>31</v>
      </c>
      <c r="AE35" s="43" t="n">
        <f aca="false">IF(OR(D35="",AD35="",AD35="N/A"),"N/A",D35/AD35-1)</f>
        <v>-0.48258064516129</v>
      </c>
      <c r="AF35" s="43" t="str">
        <f aca="false">IF(OR(F35="",AD35="",AD35="N/A"),"N/A",F35/AD35-1)</f>
        <v>N/A</v>
      </c>
      <c r="AG35" s="41" t="s">
        <v>289</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259</v>
      </c>
      <c r="M36" s="42" t="s">
        <v>259</v>
      </c>
      <c r="N36" s="11" t="n">
        <v>46.6</v>
      </c>
      <c r="O36" s="11" t="n">
        <f aca="false">N36/1.1</f>
        <v>42.3636363636364</v>
      </c>
      <c r="P36" s="42" t="s">
        <v>259</v>
      </c>
      <c r="Q36" s="42" t="s">
        <v>259</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259</v>
      </c>
      <c r="AA36" s="42" t="s">
        <v>259</v>
      </c>
      <c r="AB36" s="46" t="n">
        <v>40.83</v>
      </c>
      <c r="AC36" s="46" t="n">
        <f aca="false">AB36/1.1</f>
        <v>37.1181818181818</v>
      </c>
      <c r="AD36" s="11" t="n">
        <f aca="false">IF(COUNT(I36,J36,M36,O36,Q36,S36,U36,V36,Y36,AA36,AC36)=0,"N/A",MIN(I36,J36,M36,O36,Q36,S36,U36,V36,Y36,AA36,AC36))</f>
        <v>31</v>
      </c>
      <c r="AE36" s="43" t="n">
        <f aca="false">IF(OR(D36="",AD36="",AD36="N/A"),"N/A",D36/AD36-1)</f>
        <v>-0.578387096774194</v>
      </c>
      <c r="AF36" s="43" t="str">
        <f aca="false">IF(OR(F36="",AD36="",AD36="N/A"),"N/A",F36/AD36-1)</f>
        <v>N/A</v>
      </c>
      <c r="AG36" s="41" t="s">
        <v>290</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259</v>
      </c>
      <c r="K37" s="42" t="s">
        <v>259</v>
      </c>
      <c r="L37" s="42" t="s">
        <v>259</v>
      </c>
      <c r="M37" s="42" t="s">
        <v>259</v>
      </c>
      <c r="N37" s="42" t="s">
        <v>259</v>
      </c>
      <c r="O37" s="42" t="s">
        <v>259</v>
      </c>
      <c r="P37" s="42" t="s">
        <v>259</v>
      </c>
      <c r="Q37" s="42" t="s">
        <v>259</v>
      </c>
      <c r="R37" s="11" t="n">
        <v>34.1</v>
      </c>
      <c r="S37" s="11" t="n">
        <f aca="false">R37/1.1</f>
        <v>31</v>
      </c>
      <c r="T37" s="11" t="n">
        <v>61.03</v>
      </c>
      <c r="U37" s="11" t="n">
        <f aca="false">T37/1.1</f>
        <v>55.4818181818182</v>
      </c>
      <c r="V37" s="11" t="n">
        <f aca="false">W37*1.1</f>
        <v>52.25</v>
      </c>
      <c r="W37" s="11" t="n">
        <v>47.5</v>
      </c>
      <c r="X37" s="42" t="s">
        <v>259</v>
      </c>
      <c r="Y37" s="42" t="s">
        <v>259</v>
      </c>
      <c r="Z37" s="42" t="s">
        <v>259</v>
      </c>
      <c r="AA37" s="42" t="s">
        <v>259</v>
      </c>
      <c r="AB37" s="46" t="n">
        <v>40.83</v>
      </c>
      <c r="AC37" s="46" t="n">
        <f aca="false">AB37/1.1</f>
        <v>37.1181818181818</v>
      </c>
      <c r="AD37" s="11" t="n">
        <f aca="false">IF(COUNT(I37,J37,M37,O37,Q37,S37,U37,V37,Y37,AA37,AC37)=0,"N/A",MIN(I37,J37,M37,O37,Q37,S37,U37,V37,Y37,AA37,AC37))</f>
        <v>31</v>
      </c>
      <c r="AE37" s="43" t="n">
        <f aca="false">IF(OR(D37="",AD37="",AD37="N/A"),"N/A",D37/AD37-1)</f>
        <v>-0.48258064516129</v>
      </c>
      <c r="AF37" s="43" t="str">
        <f aca="false">IF(OR(F37="",AD37="",AD37="N/A"),"N/A",F37/AD37-1)</f>
        <v>N/A</v>
      </c>
      <c r="AG37" s="41" t="s">
        <v>291</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259</v>
      </c>
      <c r="M38" s="42" t="s">
        <v>259</v>
      </c>
      <c r="N38" s="42" t="s">
        <v>259</v>
      </c>
      <c r="O38" s="42" t="s">
        <v>259</v>
      </c>
      <c r="P38" s="42" t="s">
        <v>259</v>
      </c>
      <c r="Q38" s="42" t="s">
        <v>259</v>
      </c>
      <c r="R38" s="11" t="n">
        <v>34.1</v>
      </c>
      <c r="S38" s="11" t="n">
        <f aca="false">R38/1.1</f>
        <v>31</v>
      </c>
      <c r="T38" s="11" t="n">
        <v>59.05</v>
      </c>
      <c r="U38" s="11" t="n">
        <f aca="false">T38/1.1</f>
        <v>53.6818181818182</v>
      </c>
      <c r="V38" s="42" t="s">
        <v>259</v>
      </c>
      <c r="W38" s="42" t="s">
        <v>259</v>
      </c>
      <c r="X38" s="11" t="n">
        <v>53.22</v>
      </c>
      <c r="Y38" s="11" t="n">
        <f aca="false">X38/1.1</f>
        <v>48.3818181818182</v>
      </c>
      <c r="Z38" s="42" t="s">
        <v>259</v>
      </c>
      <c r="AA38" s="42" t="s">
        <v>259</v>
      </c>
      <c r="AB38" s="46" t="n">
        <v>40.83</v>
      </c>
      <c r="AC38" s="46" t="n">
        <f aca="false">AB38/1.1</f>
        <v>37.1181818181818</v>
      </c>
      <c r="AD38" s="11" t="n">
        <f aca="false">IF(COUNT(I38,J38,M38,O38,Q38,S38,U38,V38,Y38,AA38,AC38)=0,"N/A",MIN(I38,J38,M38,O38,Q38,S38,U38,V38,Y38,AA38,AC38))</f>
        <v>31</v>
      </c>
      <c r="AE38" s="43" t="n">
        <f aca="false">IF(OR(D38="",AD38="",AD38="N/A"),"N/A",D38/AD38-1)</f>
        <v>-0.578387096774194</v>
      </c>
      <c r="AF38" s="43" t="str">
        <f aca="false">IF(OR(F38="",AD38="",AD38="N/A"),"N/A",F38/AD38-1)</f>
        <v>N/A</v>
      </c>
      <c r="AG38" s="41" t="s">
        <v>292</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259</v>
      </c>
      <c r="M39" s="42" t="s">
        <v>259</v>
      </c>
      <c r="N39" s="11" t="n">
        <v>115.9</v>
      </c>
      <c r="O39" s="11" t="n">
        <f aca="false">N39/1.1</f>
        <v>105.363636363636</v>
      </c>
      <c r="P39" s="42" t="s">
        <v>259</v>
      </c>
      <c r="Q39" s="42" t="s">
        <v>259</v>
      </c>
      <c r="R39" s="11" t="n">
        <v>34.1</v>
      </c>
      <c r="S39" s="11" t="n">
        <f aca="false">R39/1.1</f>
        <v>31</v>
      </c>
      <c r="T39" s="11" t="n">
        <v>61.04</v>
      </c>
      <c r="U39" s="11" t="n">
        <f aca="false">T39/1.1</f>
        <v>55.4909090909091</v>
      </c>
      <c r="V39" s="42" t="s">
        <v>259</v>
      </c>
      <c r="W39" s="42" t="s">
        <v>259</v>
      </c>
      <c r="X39" s="11" t="n">
        <v>124.21</v>
      </c>
      <c r="Y39" s="11" t="n">
        <f aca="false">X39/1.1</f>
        <v>112.918181818182</v>
      </c>
      <c r="Z39" s="42" t="s">
        <v>259</v>
      </c>
      <c r="AA39" s="42" t="s">
        <v>259</v>
      </c>
      <c r="AB39" s="46" t="n">
        <v>40.83</v>
      </c>
      <c r="AC39" s="46" t="n">
        <f aca="false">AB39/1.1</f>
        <v>37.1181818181818</v>
      </c>
      <c r="AD39" s="11" t="n">
        <f aca="false">IF(COUNT(I39,J39,M39,O39,Q39,S39,U39,V39,Y39,AA39,AC39)=0,"N/A",MIN(I39,J39,M39,O39,Q39,S39,U39,V39,Y39,AA39,AC39))</f>
        <v>31</v>
      </c>
      <c r="AE39" s="43" t="n">
        <f aca="false">IF(OR(D39="",AD39="",AD39="N/A"),"N/A",D39/AD39-1)</f>
        <v>-0.578387096774194</v>
      </c>
      <c r="AF39" s="43" t="str">
        <f aca="false">IF(OR(F39="",AD39="",AD39="N/A"),"N/A",F39/AD39-1)</f>
        <v>N/A</v>
      </c>
      <c r="AG39" s="41" t="s">
        <v>293</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259</v>
      </c>
      <c r="M40" s="42" t="s">
        <v>259</v>
      </c>
      <c r="N40" s="11" t="n">
        <v>115.9</v>
      </c>
      <c r="O40" s="11" t="n">
        <f aca="false">N40/1.1</f>
        <v>105.363636363636</v>
      </c>
      <c r="P40" s="42" t="s">
        <v>259</v>
      </c>
      <c r="Q40" s="42" t="s">
        <v>259</v>
      </c>
      <c r="R40" s="11" t="n">
        <v>34.1</v>
      </c>
      <c r="S40" s="11" t="n">
        <f aca="false">R40/1.1</f>
        <v>31</v>
      </c>
      <c r="T40" s="11" t="n">
        <v>61.04</v>
      </c>
      <c r="U40" s="11" t="n">
        <f aca="false">T40/1.1</f>
        <v>55.4909090909091</v>
      </c>
      <c r="V40" s="42" t="s">
        <v>259</v>
      </c>
      <c r="W40" s="42" t="s">
        <v>259</v>
      </c>
      <c r="X40" s="11" t="n">
        <v>124.21</v>
      </c>
      <c r="Y40" s="11" t="n">
        <f aca="false">X40/1.1</f>
        <v>112.918181818182</v>
      </c>
      <c r="Z40" s="42" t="s">
        <v>259</v>
      </c>
      <c r="AA40" s="42" t="s">
        <v>259</v>
      </c>
      <c r="AB40" s="46" t="n">
        <v>40.83</v>
      </c>
      <c r="AC40" s="46" t="n">
        <f aca="false">AB40/1.1</f>
        <v>37.1181818181818</v>
      </c>
      <c r="AD40" s="11" t="n">
        <f aca="false">IF(COUNT(I40,J40,M40,O40,Q40,S40,U40,V40,Y40,AA40,AC40)=0,"N/A",MIN(I40,J40,M40,O40,Q40,S40,U40,V40,Y40,AA40,AC40))</f>
        <v>31</v>
      </c>
      <c r="AE40" s="43" t="n">
        <f aca="false">IF(OR(D40="",AD40="",AD40="N/A"),"N/A",D40/AD40-1)</f>
        <v>-0.578387096774194</v>
      </c>
      <c r="AF40" s="43" t="str">
        <f aca="false">IF(OR(F40="",AD40="",AD40="N/A"),"N/A",F40/AD40-1)</f>
        <v>N/A</v>
      </c>
      <c r="AG40" s="41" t="s">
        <v>294</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259</v>
      </c>
      <c r="M41" s="42" t="s">
        <v>259</v>
      </c>
      <c r="N41" s="42" t="s">
        <v>259</v>
      </c>
      <c r="O41" s="42" t="s">
        <v>259</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259</v>
      </c>
      <c r="AA41" s="42" t="s">
        <v>259</v>
      </c>
      <c r="AB41" s="46" t="n">
        <v>40.83</v>
      </c>
      <c r="AC41" s="46" t="n">
        <f aca="false">AB41/1.1</f>
        <v>37.1181818181818</v>
      </c>
      <c r="AD41" s="11" t="n">
        <f aca="false">IF(COUNT(I41,J41,M41,O41,Q41,S41,U41,V41,Y41,AA41,AC41)=0,"N/A",MIN(I41,J41,M41,O41,Q41,S41,U41,V41,Y41,AA41,AC41))</f>
        <v>31</v>
      </c>
      <c r="AE41" s="43" t="n">
        <f aca="false">IF(OR(D41="",AD41="",AD41="N/A"),"N/A",D41/AD41-1)</f>
        <v>-0.578387096774194</v>
      </c>
      <c r="AF41" s="43" t="str">
        <f aca="false">IF(OR(F41="",AD41="",AD41="N/A"),"N/A",F41/AD41-1)</f>
        <v>N/A</v>
      </c>
      <c r="AG41" s="41" t="s">
        <v>295</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259</v>
      </c>
      <c r="M42" s="42" t="s">
        <v>259</v>
      </c>
      <c r="N42" s="42" t="s">
        <v>259</v>
      </c>
      <c r="O42" s="42" t="s">
        <v>259</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259</v>
      </c>
      <c r="AA42" s="42" t="s">
        <v>259</v>
      </c>
      <c r="AB42" s="46" t="n">
        <v>40.83</v>
      </c>
      <c r="AC42" s="46" t="n">
        <f aca="false">AB42/1.1</f>
        <v>37.1181818181818</v>
      </c>
      <c r="AD42" s="11" t="n">
        <f aca="false">IF(COUNT(I42,J42,M42,O42,Q42,S42,U42,V42,Y42,AA42,AC42)=0,"N/A",MIN(I42,J42,M42,O42,Q42,S42,U42,V42,Y42,AA42,AC42))</f>
        <v>31</v>
      </c>
      <c r="AE42" s="43" t="n">
        <f aca="false">IF(OR(D42="",AD42="",AD42="N/A"),"N/A",D42/AD42-1)</f>
        <v>-0.578387096774194</v>
      </c>
      <c r="AF42" s="43" t="str">
        <f aca="false">IF(OR(F42="",AD42="",AD42="N/A"),"N/A",F42/AD42-1)</f>
        <v>N/A</v>
      </c>
      <c r="AG42" s="41" t="s">
        <v>296</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259</v>
      </c>
      <c r="K43" s="42" t="s">
        <v>259</v>
      </c>
      <c r="L43" s="42" t="s">
        <v>259</v>
      </c>
      <c r="M43" s="42" t="s">
        <v>259</v>
      </c>
      <c r="N43" s="42" t="s">
        <v>259</v>
      </c>
      <c r="O43" s="42" t="s">
        <v>259</v>
      </c>
      <c r="P43" s="46" t="n">
        <v>22.05</v>
      </c>
      <c r="Q43" s="46" t="n">
        <v>20.05</v>
      </c>
      <c r="R43" s="46" t="n">
        <v>27.5</v>
      </c>
      <c r="S43" s="46" t="n">
        <f aca="false">R43/1.1</f>
        <v>25</v>
      </c>
      <c r="T43" s="42" t="s">
        <v>259</v>
      </c>
      <c r="U43" s="42" t="s">
        <v>259</v>
      </c>
      <c r="V43" s="42" t="s">
        <v>259</v>
      </c>
      <c r="W43" s="42" t="s">
        <v>259</v>
      </c>
      <c r="X43" s="46" t="n">
        <v>31.96</v>
      </c>
      <c r="Y43" s="46" t="n">
        <f aca="false">X43/1.1</f>
        <v>29.0545454545455</v>
      </c>
      <c r="Z43" s="47"/>
      <c r="AA43" s="47"/>
      <c r="AB43" s="46" t="n">
        <v>35.9</v>
      </c>
      <c r="AC43" s="46" t="n">
        <f aca="false">AB43/1.1</f>
        <v>32.6363636363636</v>
      </c>
      <c r="AD43" s="11" t="n">
        <f aca="false">IF(COUNT(I43,J43,M43,O43,Q43,S43,U43,V43,Y43,AA43,AC43)=0,"N/A",MIN(I43,J43,M43,O43,Q43,S43,U43,V43,Y43,AA43,AC43))</f>
        <v>20.05</v>
      </c>
      <c r="AE43" s="43" t="n">
        <f aca="false">IF(OR(D43="",AD43="",AD43="N/A"),"N/A",D43/AD43-1)</f>
        <v>-0.733167082294264</v>
      </c>
      <c r="AF43" s="43" t="str">
        <f aca="false">IF(OR(F43="",AD43="",AD43="N/A"),"N/A",F43/AD43-1)</f>
        <v>N/A</v>
      </c>
      <c r="AG43" s="41" t="s">
        <v>297</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259</v>
      </c>
      <c r="K44" s="42" t="s">
        <v>259</v>
      </c>
      <c r="L44" s="11" t="n">
        <v>34.67</v>
      </c>
      <c r="M44" s="11" t="n">
        <v>31.52</v>
      </c>
      <c r="N44" s="11" t="n">
        <v>42.5</v>
      </c>
      <c r="O44" s="11" t="n">
        <f aca="false">N44/1.1</f>
        <v>38.6363636363636</v>
      </c>
      <c r="P44" s="11" t="n">
        <v>24.2</v>
      </c>
      <c r="Q44" s="11" t="n">
        <v>22</v>
      </c>
      <c r="R44" s="46" t="n">
        <v>22.5</v>
      </c>
      <c r="S44" s="46" t="n">
        <f aca="false">R44/1.1</f>
        <v>20.4545454545455</v>
      </c>
      <c r="T44" s="11" t="n">
        <v>21.12</v>
      </c>
      <c r="U44" s="11" t="n">
        <f aca="false">T44/1.1</f>
        <v>19.2</v>
      </c>
      <c r="V44" s="42" t="s">
        <v>259</v>
      </c>
      <c r="W44" s="42" t="s">
        <v>259</v>
      </c>
      <c r="X44" s="11" t="n">
        <v>10.29</v>
      </c>
      <c r="Y44" s="11" t="n">
        <f aca="false">X44/1.1</f>
        <v>9.35454545454545</v>
      </c>
      <c r="Z44" s="11" t="n">
        <v>32.72</v>
      </c>
      <c r="AA44" s="11" t="n">
        <f aca="false">Z44/1.1</f>
        <v>29.7454545454545</v>
      </c>
      <c r="AB44" s="11" t="n">
        <v>30.77</v>
      </c>
      <c r="AC44" s="11" t="n">
        <f aca="false">AB44/1.1</f>
        <v>27.9727272727273</v>
      </c>
      <c r="AD44" s="11" t="n">
        <f aca="false">IF(COUNT(I44,J44,M44,O44,Q44,S44,U44,V44,Y44,AA44,AC44)=0,"N/A",MIN(I44,J44,M44,O44,Q44,S44,U44,V44,Y44,AA44,AC44))</f>
        <v>9.35454545454545</v>
      </c>
      <c r="AE44" s="43" t="n">
        <f aca="false">IF(OR(D44="",AD44="",AD44="N/A"),"N/A",D44/AD44-1)</f>
        <v>-0.714577259475219</v>
      </c>
      <c r="AF44" s="43" t="str">
        <f aca="false">IF(OR(F44="",AD44="",AD44="N/A"),"N/A",F44/AD44-1)</f>
        <v>N/A</v>
      </c>
      <c r="AG44" s="41" t="s">
        <v>298</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259</v>
      </c>
      <c r="K45" s="42" t="s">
        <v>259</v>
      </c>
      <c r="L45" s="11" t="n">
        <v>39.58</v>
      </c>
      <c r="M45" s="11" t="n">
        <v>35.98</v>
      </c>
      <c r="N45" s="11" t="n">
        <v>42.5</v>
      </c>
      <c r="O45" s="11" t="n">
        <f aca="false">N45/1.1</f>
        <v>38.6363636363636</v>
      </c>
      <c r="P45" s="11" t="n">
        <v>51</v>
      </c>
      <c r="Q45" s="11" t="n">
        <v>46.36</v>
      </c>
      <c r="R45" s="11" t="n">
        <v>25.75</v>
      </c>
      <c r="S45" s="11" t="n">
        <f aca="false">R45/1.1</f>
        <v>23.4090909090909</v>
      </c>
      <c r="T45" s="42" t="s">
        <v>259</v>
      </c>
      <c r="U45" s="42" t="s">
        <v>259</v>
      </c>
      <c r="V45" s="11" t="n">
        <f aca="false">W45*1.1</f>
        <v>29.15</v>
      </c>
      <c r="W45" s="11" t="n">
        <v>26.5</v>
      </c>
      <c r="X45" s="46" t="n">
        <v>45.76</v>
      </c>
      <c r="Y45" s="46" t="n">
        <f aca="false">X45/1.1</f>
        <v>41.6</v>
      </c>
      <c r="Z45" s="45" t="n">
        <f aca="false">AA45*1.1</f>
        <v>72.204</v>
      </c>
      <c r="AA45" s="45" t="n">
        <v>65.64</v>
      </c>
      <c r="AB45" s="45" t="n">
        <v>42.75</v>
      </c>
      <c r="AC45" s="45" t="n">
        <f aca="false">AB45/1.1</f>
        <v>38.8636363636364</v>
      </c>
      <c r="AD45" s="11" t="n">
        <f aca="false">IF(COUNT(I45,J45,M45,O45,Q45,S45,U45,V45,Y45,AA45,AC45)=0,"N/A",MIN(I45,J45,M45,O45,Q45,S45,U45,V45,Y45,AA45,AC45))</f>
        <v>23.4090909090909</v>
      </c>
      <c r="AE45" s="43" t="n">
        <f aca="false">IF(OR(D45="",AD45="",AD45="N/A"),"N/A",D45/AD45-1)</f>
        <v>-0.543339805825243</v>
      </c>
      <c r="AF45" s="43" t="str">
        <f aca="false">IF(OR(F45="",AD45="",AD45="N/A"),"N/A",F45/AD45-1)</f>
        <v>N/A</v>
      </c>
      <c r="AG45" s="41" t="s">
        <v>299</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259</v>
      </c>
      <c r="K46" s="42" t="s">
        <v>259</v>
      </c>
      <c r="L46" s="46" t="n">
        <v>39.58</v>
      </c>
      <c r="M46" s="46" t="n">
        <v>35.98</v>
      </c>
      <c r="N46" s="46" t="n">
        <v>27.5</v>
      </c>
      <c r="O46" s="46" t="n">
        <f aca="false">N46/1.1</f>
        <v>25</v>
      </c>
      <c r="P46" s="42" t="s">
        <v>259</v>
      </c>
      <c r="Q46" s="42" t="s">
        <v>259</v>
      </c>
      <c r="R46" s="46" t="n">
        <v>22.5</v>
      </c>
      <c r="S46" s="46" t="n">
        <f aca="false">R46/1.1</f>
        <v>20.4545454545455</v>
      </c>
      <c r="T46" s="42" t="s">
        <v>259</v>
      </c>
      <c r="U46" s="42" t="s">
        <v>259</v>
      </c>
      <c r="V46" s="42" t="s">
        <v>259</v>
      </c>
      <c r="W46" s="42" t="s">
        <v>259</v>
      </c>
      <c r="X46" s="46" t="n">
        <v>24.96</v>
      </c>
      <c r="Y46" s="46" t="n">
        <f aca="false">X46/1.1</f>
        <v>22.6909090909091</v>
      </c>
      <c r="Z46" s="45" t="n">
        <f aca="false">AA46*1.1</f>
        <v>46.134</v>
      </c>
      <c r="AA46" s="45" t="n">
        <v>41.94</v>
      </c>
      <c r="AB46" s="45" t="n">
        <v>30.77</v>
      </c>
      <c r="AC46" s="45" t="n">
        <f aca="false">AB46/1.1</f>
        <v>27.9727272727273</v>
      </c>
      <c r="AD46" s="11" t="n">
        <f aca="false">IF(COUNT(I46,J46,M46,O46,Q46,S46,U46,V46,Y46,AA46,AC46)=0,"N/A",MIN(I46,J46,M46,O46,Q46,S46,U46,V46,Y46,AA46,AC46))</f>
        <v>20.4545454545455</v>
      </c>
      <c r="AE46" s="43" t="n">
        <f aca="false">IF(OR(D46="",AD46="",AD46="N/A"),"N/A",D46/AD46-1)</f>
        <v>-0.869466666666667</v>
      </c>
      <c r="AF46" s="43" t="str">
        <f aca="false">IF(OR(F46="",AD46="",AD46="N/A"),"N/A",F46/AD46-1)</f>
        <v>N/A</v>
      </c>
      <c r="AG46" s="41" t="s">
        <v>300</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259</v>
      </c>
      <c r="K47" s="42" t="s">
        <v>259</v>
      </c>
      <c r="L47" s="46" t="n">
        <v>39.58</v>
      </c>
      <c r="M47" s="46" t="n">
        <v>35.98</v>
      </c>
      <c r="N47" s="46" t="n">
        <v>42.5</v>
      </c>
      <c r="O47" s="46" t="n">
        <f aca="false">N47/1.1</f>
        <v>38.6363636363636</v>
      </c>
      <c r="P47" s="46" t="n">
        <v>24.2</v>
      </c>
      <c r="Q47" s="46" t="n">
        <v>22</v>
      </c>
      <c r="R47" s="46" t="n">
        <v>30</v>
      </c>
      <c r="S47" s="46" t="n">
        <f aca="false">R47/1.1</f>
        <v>27.2727272727273</v>
      </c>
      <c r="T47" s="46" t="n">
        <v>28.66</v>
      </c>
      <c r="U47" s="46" t="n">
        <f aca="false">T47/1.1</f>
        <v>26.0545454545455</v>
      </c>
      <c r="V47" s="46" t="n">
        <v>36.5</v>
      </c>
      <c r="W47" s="46" t="n">
        <f aca="false">V47*1.1</f>
        <v>40.15</v>
      </c>
      <c r="X47" s="46" t="n">
        <v>45.76</v>
      </c>
      <c r="Y47" s="46" t="n">
        <f aca="false">X47/1.1</f>
        <v>41.6</v>
      </c>
      <c r="Z47" s="45" t="n">
        <f aca="false">AA47*1.1</f>
        <v>48.191</v>
      </c>
      <c r="AA47" s="45" t="n">
        <v>43.81</v>
      </c>
      <c r="AB47" s="45" t="n">
        <v>28.14</v>
      </c>
      <c r="AC47" s="45" t="n">
        <f aca="false">AB47/1.1</f>
        <v>25.5818181818182</v>
      </c>
      <c r="AD47" s="11" t="n">
        <f aca="false">IF(COUNT(I47,J47,M47,O47,Q47,S47,U47,V47,Y47,AA47,AC47)=0,"N/A",MIN(I47,J47,M47,O47,Q47,S47,U47,V47,Y47,AA47,AC47))</f>
        <v>22</v>
      </c>
      <c r="AE47" s="43" t="n">
        <f aca="false">IF(OR(D47="",AD47="",AD47="N/A"),"N/A",D47/AD47-1)</f>
        <v>-0.568181818181818</v>
      </c>
      <c r="AF47" s="43" t="str">
        <f aca="false">IF(OR(F47="",AD47="",AD47="N/A"),"N/A",F47/AD47-1)</f>
        <v>N/A</v>
      </c>
      <c r="AG47" s="41" t="s">
        <v>301</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259</v>
      </c>
      <c r="K48" s="42" t="s">
        <v>259</v>
      </c>
      <c r="L48" s="46" t="n">
        <v>39.58</v>
      </c>
      <c r="M48" s="46" t="n">
        <v>35.98</v>
      </c>
      <c r="N48" s="46" t="n">
        <v>42.5</v>
      </c>
      <c r="O48" s="46" t="n">
        <f aca="false">N48/1.1</f>
        <v>38.6363636363636</v>
      </c>
      <c r="P48" s="46" t="n">
        <v>24.2</v>
      </c>
      <c r="Q48" s="46" t="n">
        <v>22</v>
      </c>
      <c r="R48" s="46" t="n">
        <v>33.5</v>
      </c>
      <c r="S48" s="46" t="n">
        <f aca="false">R48/1.1</f>
        <v>30.4545454545455</v>
      </c>
      <c r="T48" s="46" t="n">
        <v>18.41</v>
      </c>
      <c r="U48" s="46" t="n">
        <f aca="false">T48/1.1</f>
        <v>16.7363636363636</v>
      </c>
      <c r="V48" s="46" t="n">
        <v>28.5</v>
      </c>
      <c r="W48" s="46" t="n">
        <f aca="false">V48*1.1</f>
        <v>31.35</v>
      </c>
      <c r="X48" s="42" t="s">
        <v>259</v>
      </c>
      <c r="Y48" s="42" t="s">
        <v>259</v>
      </c>
      <c r="Z48" s="45" t="n">
        <f aca="false">AA48*1.1</f>
        <v>165.242</v>
      </c>
      <c r="AA48" s="45" t="n">
        <v>150.22</v>
      </c>
      <c r="AB48" s="45" t="n">
        <v>37.29</v>
      </c>
      <c r="AC48" s="45" t="n">
        <f aca="false">AB48/1.1</f>
        <v>33.9</v>
      </c>
      <c r="AD48" s="11" t="n">
        <f aca="false">IF(COUNT(I48,J48,M48,O48,Q48,S48,U48,V48,Y48,AA48,AC48)=0,"N/A",MIN(I48,J48,M48,O48,Q48,S48,U48,V48,Y48,AA48,AC48))</f>
        <v>16.7363636363636</v>
      </c>
      <c r="AE48" s="43" t="n">
        <f aca="false">IF(OR(D48="",AD48="",AD48="N/A"),"N/A",D48/AD48-1)</f>
        <v>-0.361271048343292</v>
      </c>
      <c r="AF48" s="43" t="str">
        <f aca="false">IF(OR(F48="",AD48="",AD48="N/A"),"N/A",F48/AD48-1)</f>
        <v>N/A</v>
      </c>
      <c r="AG48" s="41" t="s">
        <v>302</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259</v>
      </c>
      <c r="K49" s="42" t="s">
        <v>259</v>
      </c>
      <c r="L49" s="11" t="n">
        <v>34.67</v>
      </c>
      <c r="M49" s="11" t="n">
        <v>31.52</v>
      </c>
      <c r="N49" s="46" t="n">
        <v>35.4</v>
      </c>
      <c r="O49" s="46" t="n">
        <f aca="false">N49/1.1</f>
        <v>32.1818181818182</v>
      </c>
      <c r="P49" s="46" t="n">
        <v>24.2</v>
      </c>
      <c r="Q49" s="46" t="n">
        <v>22</v>
      </c>
      <c r="R49" s="11" t="n">
        <v>23</v>
      </c>
      <c r="S49" s="11" t="n">
        <f aca="false">R49/1.1</f>
        <v>20.9090909090909</v>
      </c>
      <c r="T49" s="11" t="n">
        <v>35.73</v>
      </c>
      <c r="U49" s="11" t="n">
        <f aca="false">T49/1.1</f>
        <v>32.4818181818182</v>
      </c>
      <c r="V49" s="11" t="n">
        <f aca="false">W49*1.1</f>
        <v>24.09</v>
      </c>
      <c r="W49" s="11" t="n">
        <v>21.9</v>
      </c>
      <c r="X49" s="46" t="n">
        <v>31.96</v>
      </c>
      <c r="Y49" s="46" t="n">
        <f aca="false">X49/1.1</f>
        <v>29.0545454545455</v>
      </c>
      <c r="Z49" s="45" t="n">
        <f aca="false">AA49*1.1</f>
        <v>48.851</v>
      </c>
      <c r="AA49" s="45" t="n">
        <v>44.41</v>
      </c>
      <c r="AB49" s="45" t="n">
        <v>35.9</v>
      </c>
      <c r="AC49" s="45" t="n">
        <f aca="false">AB49/1.1</f>
        <v>32.6363636363636</v>
      </c>
      <c r="AD49" s="11" t="n">
        <f aca="false">IF(COUNT(I49,J49,M49,O49,Q49,S49,U49,V49,Y49,AA49,AC49)=0,"N/A",MIN(I49,J49,M49,O49,Q49,S49,U49,V49,Y49,AA49,AC49))</f>
        <v>20.9090909090909</v>
      </c>
      <c r="AE49" s="43" t="n">
        <f aca="false">IF(OR(D49="",AD49="",AD49="N/A"),"N/A",D49/AD49-1)</f>
        <v>-0.744130434782609</v>
      </c>
      <c r="AF49" s="43" t="str">
        <f aca="false">IF(OR(F49="",AD49="",AD49="N/A"),"N/A",F49/AD49-1)</f>
        <v>N/A</v>
      </c>
      <c r="AG49" s="41" t="s">
        <v>303</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259</v>
      </c>
      <c r="K50" s="42" t="s">
        <v>259</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45" t="n">
        <v>35.9</v>
      </c>
      <c r="AC50" s="45" t="n">
        <f aca="false">AB50/1.1</f>
        <v>32.6363636363636</v>
      </c>
      <c r="AD50" s="11" t="n">
        <f aca="false">IF(COUNT(I50,J50,M50,O50,Q50,S50,U50,V50,Y50,AA50,AC50)=0,"N/A",MIN(I50,J50,M50,O50,Q50,S50,U50,V50,Y50,AA50,AC50))</f>
        <v>9.35454545454545</v>
      </c>
      <c r="AE50" s="43" t="n">
        <f aca="false">IF(OR(D50="",AD50="",AD50="N/A"),"N/A",D50/AD50-1)</f>
        <v>-0.428085519922255</v>
      </c>
      <c r="AF50" s="43" t="str">
        <f aca="false">IF(OR(F50="",AD50="",AD50="N/A"),"N/A",F50/AD50-1)</f>
        <v>N/A</v>
      </c>
      <c r="AG50" s="41" t="s">
        <v>304</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259</v>
      </c>
      <c r="K51" s="42" t="s">
        <v>259</v>
      </c>
      <c r="L51" s="46" t="n">
        <v>34.67</v>
      </c>
      <c r="M51" s="46" t="n">
        <v>31.52</v>
      </c>
      <c r="N51" s="46" t="n">
        <v>28.3</v>
      </c>
      <c r="O51" s="46" t="n">
        <f aca="false">N51/1.1</f>
        <v>25.7272727272727</v>
      </c>
      <c r="P51" s="46" t="n">
        <v>11.55</v>
      </c>
      <c r="Q51" s="46" t="n">
        <v>10.5</v>
      </c>
      <c r="R51" s="46" t="n">
        <v>22.5</v>
      </c>
      <c r="S51" s="46" t="n">
        <f aca="false">R51/1.1</f>
        <v>20.4545454545455</v>
      </c>
      <c r="T51" s="46" t="n">
        <v>33.04</v>
      </c>
      <c r="U51" s="46" t="n">
        <f aca="false">T51/1.1</f>
        <v>30.0363636363636</v>
      </c>
      <c r="V51" s="46" t="n">
        <v>19.5</v>
      </c>
      <c r="W51" s="46" t="n">
        <f aca="false">V51*1.1</f>
        <v>21.45</v>
      </c>
      <c r="X51" s="42" t="s">
        <v>259</v>
      </c>
      <c r="Y51" s="42" t="s">
        <v>259</v>
      </c>
      <c r="Z51" s="45" t="n">
        <f aca="false">AA51*1.1</f>
        <v>63.712</v>
      </c>
      <c r="AA51" s="45" t="n">
        <v>57.92</v>
      </c>
      <c r="AB51" s="45" t="n">
        <v>30.77</v>
      </c>
      <c r="AC51" s="45" t="n">
        <f aca="false">AB51/1.1</f>
        <v>27.9727272727273</v>
      </c>
      <c r="AD51" s="11" t="n">
        <f aca="false">IF(COUNT(I51,J51,M51,O51,Q51,S51,U51,V51,Y51,AA51,AC51)=0,"N/A",MIN(I51,J51,M51,O51,Q51,S51,U51,V51,Y51,AA51,AC51))</f>
        <v>10.5</v>
      </c>
      <c r="AE51" s="43" t="n">
        <f aca="false">IF(OR(D51="",AD51="",AD51="N/A"),"N/A",D51/AD51-1)</f>
        <v>-0.745714285714286</v>
      </c>
      <c r="AF51" s="43" t="str">
        <f aca="false">IF(OR(F51="",AD51="",AD51="N/A"),"N/A",F51/AD51-1)</f>
        <v>N/A</v>
      </c>
      <c r="AG51" s="41" t="s">
        <v>305</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259</v>
      </c>
      <c r="K52" s="42" t="s">
        <v>259</v>
      </c>
      <c r="L52" s="46" t="n">
        <v>39.58</v>
      </c>
      <c r="M52" s="46" t="n">
        <v>35.98</v>
      </c>
      <c r="N52" s="46" t="n">
        <v>42.5</v>
      </c>
      <c r="O52" s="46" t="n">
        <f aca="false">N52/1.1</f>
        <v>38.6363636363636</v>
      </c>
      <c r="P52" s="46" t="n">
        <v>45.15</v>
      </c>
      <c r="Q52" s="46" t="n">
        <v>41.05</v>
      </c>
      <c r="R52" s="46" t="n">
        <v>33.5</v>
      </c>
      <c r="S52" s="46" t="n">
        <f aca="false">R52/1.1</f>
        <v>30.4545454545455</v>
      </c>
      <c r="T52" s="42" t="s">
        <v>259</v>
      </c>
      <c r="U52" s="42" t="s">
        <v>259</v>
      </c>
      <c r="V52" s="46" t="n">
        <v>26.5</v>
      </c>
      <c r="W52" s="46" t="n">
        <f aca="false">V52*1.1</f>
        <v>29.15</v>
      </c>
      <c r="X52" s="46" t="n">
        <v>45.76</v>
      </c>
      <c r="Y52" s="46" t="n">
        <f aca="false">X52/1.1</f>
        <v>41.6</v>
      </c>
      <c r="Z52" s="45" t="n">
        <f aca="false">AA52*1.1</f>
        <v>77.275</v>
      </c>
      <c r="AA52" s="45" t="n">
        <v>70.25</v>
      </c>
      <c r="AB52" s="45"/>
      <c r="AC52" s="45"/>
      <c r="AD52" s="11" t="n">
        <f aca="false">IF(COUNT(I52,J52,M52,O52,Q52,S52,U52,V52,Y52,AA52,AC52)=0,"N/A",MIN(I52,J52,M52,O52,Q52,S52,U52,V52,Y52,AA52,AC52))</f>
        <v>26.5</v>
      </c>
      <c r="AE52" s="43" t="n">
        <f aca="false">IF(OR(D52="",AD52="",AD52="N/A"),"N/A",D52/AD52-1)</f>
        <v>-0.641509433962264</v>
      </c>
      <c r="AF52" s="43" t="str">
        <f aca="false">IF(OR(F52="",AD52="",AD52="N/A"),"N/A",F52/AD52-1)</f>
        <v>N/A</v>
      </c>
      <c r="AG52" s="41" t="s">
        <v>306</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259</v>
      </c>
      <c r="K53" s="42" t="s">
        <v>259</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259</v>
      </c>
      <c r="W53" s="42" t="s">
        <v>259</v>
      </c>
      <c r="X53" s="11" t="n">
        <v>10.29</v>
      </c>
      <c r="Y53" s="11" t="n">
        <f aca="false">X53/1.1</f>
        <v>9.35454545454545</v>
      </c>
      <c r="Z53" s="11" t="n">
        <v>61.33</v>
      </c>
      <c r="AA53" s="11" t="n">
        <f aca="false">Z53/1.1</f>
        <v>55.7545454545455</v>
      </c>
      <c r="AB53" s="11"/>
      <c r="AC53" s="11"/>
      <c r="AD53" s="11" t="n">
        <f aca="false">IF(COUNT(I53,J53,M53,O53,Q53,S53,U53,V53,Y53,AA53,AC53)=0,"N/A",MIN(I53,J53,M53,O53,Q53,S53,U53,V53,Y53,AA53,AC53))</f>
        <v>7.81818181818182</v>
      </c>
      <c r="AE53" s="43" t="n">
        <f aca="false">IF(OR(D53="",AD53="",AD53="N/A"),"N/A",D53/AD53-1)</f>
        <v>-0.744186046511628</v>
      </c>
      <c r="AF53" s="43" t="str">
        <f aca="false">IF(OR(F53="",AD53="",AD53="N/A"),"N/A",F53/AD53-1)</f>
        <v>N/A</v>
      </c>
      <c r="AG53" s="41" t="s">
        <v>307</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259</v>
      </c>
      <c r="K54" s="42" t="s">
        <v>259</v>
      </c>
      <c r="L54" s="46" t="n">
        <v>34.67</v>
      </c>
      <c r="M54" s="46" t="n">
        <v>31.52</v>
      </c>
      <c r="N54" s="46" t="n">
        <v>28.3</v>
      </c>
      <c r="O54" s="46" t="n">
        <f aca="false">N54/1.1</f>
        <v>25.7272727272727</v>
      </c>
      <c r="P54" s="42" t="s">
        <v>259</v>
      </c>
      <c r="Q54" s="42" t="s">
        <v>259</v>
      </c>
      <c r="R54" s="46" t="n">
        <v>22.5</v>
      </c>
      <c r="S54" s="46" t="n">
        <f aca="false">R54/1.1</f>
        <v>20.4545454545455</v>
      </c>
      <c r="T54" s="42" t="s">
        <v>259</v>
      </c>
      <c r="U54" s="42" t="s">
        <v>259</v>
      </c>
      <c r="V54" s="42" t="s">
        <v>259</v>
      </c>
      <c r="W54" s="42" t="s">
        <v>259</v>
      </c>
      <c r="X54" s="46" t="n">
        <v>24.96</v>
      </c>
      <c r="Y54" s="46" t="n">
        <f aca="false">X54/1.1</f>
        <v>22.6909090909091</v>
      </c>
      <c r="Z54" s="45" t="n">
        <f aca="false">1.1*AA54</f>
        <v>56.397</v>
      </c>
      <c r="AA54" s="45" t="n">
        <v>51.27</v>
      </c>
      <c r="AB54" s="45" t="n">
        <v>30.77</v>
      </c>
      <c r="AC54" s="45" t="n">
        <f aca="false">AB54/1.1</f>
        <v>27.9727272727273</v>
      </c>
      <c r="AD54" s="11" t="n">
        <f aca="false">IF(COUNT(I54,J54,M54,O54,Q54,S54,U54,V54,Y54,AA54,AC54)=0,"N/A",MIN(I54,J54,M54,O54,Q54,S54,U54,V54,Y54,AA54,AC54))</f>
        <v>20.4545454545455</v>
      </c>
      <c r="AE54" s="43" t="n">
        <f aca="false">IF(OR(D54="",AD54="",AD54="N/A"),"N/A",D54/AD54-1)</f>
        <v>-0.869466666666667</v>
      </c>
      <c r="AF54" s="43" t="str">
        <f aca="false">IF(OR(F54="",AD54="",AD54="N/A"),"N/A",F54/AD54-1)</f>
        <v>N/A</v>
      </c>
      <c r="AG54" s="41" t="s">
        <v>308</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259</v>
      </c>
      <c r="K55" s="42" t="s">
        <v>259</v>
      </c>
      <c r="L55" s="42" t="s">
        <v>259</v>
      </c>
      <c r="M55" s="42" t="s">
        <v>259</v>
      </c>
      <c r="N55" s="42" t="s">
        <v>259</v>
      </c>
      <c r="O55" s="42" t="s">
        <v>259</v>
      </c>
      <c r="P55" s="42" t="s">
        <v>259</v>
      </c>
      <c r="Q55" s="42" t="s">
        <v>259</v>
      </c>
      <c r="R55" s="46" t="n">
        <v>23</v>
      </c>
      <c r="S55" s="46" t="n">
        <f aca="false">R55/1.1</f>
        <v>20.9090909090909</v>
      </c>
      <c r="T55" s="42" t="s">
        <v>259</v>
      </c>
      <c r="U55" s="42" t="s">
        <v>259</v>
      </c>
      <c r="V55" s="42" t="s">
        <v>259</v>
      </c>
      <c r="W55" s="42" t="s">
        <v>259</v>
      </c>
      <c r="X55" s="42" t="s">
        <v>259</v>
      </c>
      <c r="Y55" s="42" t="s">
        <v>259</v>
      </c>
      <c r="Z55" s="42" t="s">
        <v>259</v>
      </c>
      <c r="AA55" s="42" t="s">
        <v>309</v>
      </c>
      <c r="AB55" s="47"/>
      <c r="AC55" s="47"/>
      <c r="AD55" s="11" t="n">
        <f aca="false">IF(COUNT(I55,J55,M55,O55,Q55,S55,U55,V55,Y55,AA55,AC55)=0,"N/A",MIN(I55,J55,M55,O55,Q55,S55,U55,V55,Y55,AA55,AC55))</f>
        <v>20.9090909090909</v>
      </c>
      <c r="AE55" s="43" t="n">
        <f aca="false">IF(OR(D55="",AD55="",AD55="N/A"),"N/A",D55/AD55-1)</f>
        <v>-0.808217391304348</v>
      </c>
      <c r="AF55" s="43" t="str">
        <f aca="false">IF(OR(F55="",AD55="",AD55="N/A"),"N/A",F55/AD55-1)</f>
        <v>N/A</v>
      </c>
      <c r="AG55" s="41" t="s">
        <v>310</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259</v>
      </c>
      <c r="K56" s="42" t="s">
        <v>259</v>
      </c>
      <c r="L56" s="42" t="s">
        <v>259</v>
      </c>
      <c r="M56" s="42" t="s">
        <v>259</v>
      </c>
      <c r="N56" s="42" t="s">
        <v>259</v>
      </c>
      <c r="O56" s="42" t="s">
        <v>259</v>
      </c>
      <c r="P56" s="46" t="n">
        <v>24.2</v>
      </c>
      <c r="Q56" s="46" t="n">
        <v>22</v>
      </c>
      <c r="R56" s="46" t="n">
        <v>33.5</v>
      </c>
      <c r="S56" s="46" t="n">
        <f aca="false">R56/1.1</f>
        <v>30.4545454545455</v>
      </c>
      <c r="T56" s="42" t="s">
        <v>259</v>
      </c>
      <c r="U56" s="42" t="s">
        <v>259</v>
      </c>
      <c r="V56" s="42" t="s">
        <v>259</v>
      </c>
      <c r="W56" s="42" t="s">
        <v>259</v>
      </c>
      <c r="X56" s="46" t="n">
        <v>45.76</v>
      </c>
      <c r="Y56" s="46" t="n">
        <f aca="false">X56/1.1</f>
        <v>41.6</v>
      </c>
      <c r="Z56" s="42" t="s">
        <v>259</v>
      </c>
      <c r="AA56" s="42" t="s">
        <v>259</v>
      </c>
      <c r="AB56" s="47"/>
      <c r="AC56" s="47"/>
      <c r="AD56" s="11" t="n">
        <f aca="false">IF(COUNT(I56,J56,M56,O56,Q56,S56,U56,V56,Y56,AA56,AC56)=0,"N/A",MIN(I56,J56,M56,O56,Q56,S56,U56,V56,Y56,AA56,AC56))</f>
        <v>22</v>
      </c>
      <c r="AE56" s="43" t="n">
        <f aca="false">IF(OR(D56="",AD56="",AD56="N/A"),"N/A",D56/AD56-1)</f>
        <v>-0.514090909090909</v>
      </c>
      <c r="AF56" s="43" t="str">
        <f aca="false">IF(OR(F56="",AD56="",AD56="N/A"),"N/A",F56/AD56-1)</f>
        <v>N/A</v>
      </c>
      <c r="AG56" s="41" t="s">
        <v>311</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259</v>
      </c>
      <c r="K57" s="42" t="s">
        <v>259</v>
      </c>
      <c r="L57" s="46" t="n">
        <v>39.47</v>
      </c>
      <c r="M57" s="46" t="n">
        <v>35.88</v>
      </c>
      <c r="N57" s="42" t="s">
        <v>259</v>
      </c>
      <c r="O57" s="42" t="s">
        <v>259</v>
      </c>
      <c r="P57" s="42" t="s">
        <v>259</v>
      </c>
      <c r="Q57" s="42" t="s">
        <v>259</v>
      </c>
      <c r="R57" s="46" t="n">
        <v>30</v>
      </c>
      <c r="S57" s="46" t="n">
        <f aca="false">R57/1.1</f>
        <v>27.2727272727273</v>
      </c>
      <c r="T57" s="42" t="s">
        <v>259</v>
      </c>
      <c r="U57" s="42" t="s">
        <v>259</v>
      </c>
      <c r="V57" s="42" t="s">
        <v>259</v>
      </c>
      <c r="W57" s="42" t="s">
        <v>259</v>
      </c>
      <c r="X57" s="46" t="n">
        <v>45.76</v>
      </c>
      <c r="Y57" s="46" t="n">
        <f aca="false">X57/1.1</f>
        <v>41.6</v>
      </c>
      <c r="Z57" s="45" t="n">
        <f aca="false">1.1*AA57</f>
        <v>77.275</v>
      </c>
      <c r="AA57" s="45" t="n">
        <v>70.25</v>
      </c>
      <c r="AB57" s="45" t="n">
        <v>42.75</v>
      </c>
      <c r="AC57" s="45" t="n">
        <f aca="false">AB57/1.1</f>
        <v>38.8636363636364</v>
      </c>
      <c r="AD57" s="11" t="n">
        <f aca="false">IF(COUNT(I57,J57,M57,O57,Q57,S57,U57,V57,Y57,AA57,AC57)=0,"N/A",MIN(I57,J57,M57,O57,Q57,S57,U57,V57,Y57,AA57,AC57))</f>
        <v>27.2727272727273</v>
      </c>
      <c r="AE57" s="43" t="n">
        <f aca="false">IF(OR(D57="",AD57="",AD57="N/A"),"N/A",D57/AD57-1)</f>
        <v>-0.608033333333333</v>
      </c>
      <c r="AF57" s="43" t="str">
        <f aca="false">IF(OR(F57="",AD57="",AD57="N/A"),"N/A",F57/AD57-1)</f>
        <v>N/A</v>
      </c>
      <c r="AG57" s="41" t="s">
        <v>312</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259</v>
      </c>
      <c r="K58" s="42" t="s">
        <v>259</v>
      </c>
      <c r="L58" s="42" t="s">
        <v>259</v>
      </c>
      <c r="M58" s="42" t="s">
        <v>259</v>
      </c>
      <c r="N58" s="46" t="n">
        <v>42.5</v>
      </c>
      <c r="O58" s="46" t="n">
        <f aca="false">N58/1.1</f>
        <v>38.6363636363636</v>
      </c>
      <c r="P58" s="46" t="n">
        <v>24.2</v>
      </c>
      <c r="Q58" s="46" t="n">
        <v>22</v>
      </c>
      <c r="R58" s="46" t="n">
        <v>30</v>
      </c>
      <c r="S58" s="46" t="n">
        <f aca="false">R58/1.1</f>
        <v>27.2727272727273</v>
      </c>
      <c r="T58" s="42" t="s">
        <v>259</v>
      </c>
      <c r="U58" s="42" t="s">
        <v>259</v>
      </c>
      <c r="V58" s="42" t="s">
        <v>259</v>
      </c>
      <c r="W58" s="42" t="s">
        <v>259</v>
      </c>
      <c r="X58" s="46" t="n">
        <v>45.76</v>
      </c>
      <c r="Y58" s="46" t="n">
        <f aca="false">X58/1.1</f>
        <v>41.6</v>
      </c>
      <c r="Z58" s="45" t="n">
        <f aca="false">1.1*AA58</f>
        <v>48.191</v>
      </c>
      <c r="AA58" s="45" t="n">
        <v>43.81</v>
      </c>
      <c r="AB58" s="45" t="n">
        <v>42.75</v>
      </c>
      <c r="AC58" s="45" t="n">
        <f aca="false">AB58/1.1</f>
        <v>38.8636363636364</v>
      </c>
      <c r="AD58" s="11" t="n">
        <f aca="false">IF(COUNT(I58,J58,M58,O58,Q58,S58,U58,V58,Y58,AA58,AC58)=0,"N/A",MIN(I58,J58,M58,O58,Q58,S58,U58,V58,Y58,AA58,AC58))</f>
        <v>22</v>
      </c>
      <c r="AE58" s="43" t="n">
        <f aca="false">IF(OR(D58="",AD58="",AD58="N/A"),"N/A",D58/AD58-1)</f>
        <v>-0.514090909090909</v>
      </c>
      <c r="AF58" s="43" t="str">
        <f aca="false">IF(OR(F58="",AD58="",AD58="N/A"),"N/A",F58/AD58-1)</f>
        <v>N/A</v>
      </c>
      <c r="AG58" s="41" t="s">
        <v>313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259</v>
      </c>
      <c r="K59" s="42" t="s">
        <v>259</v>
      </c>
      <c r="L59" s="42" t="s">
        <v>259</v>
      </c>
      <c r="M59" s="42" t="s">
        <v>259</v>
      </c>
      <c r="N59" s="46" t="n">
        <v>27.5</v>
      </c>
      <c r="O59" s="46" t="n">
        <f aca="false">N59/1.1</f>
        <v>25</v>
      </c>
      <c r="P59" s="42" t="s">
        <v>259</v>
      </c>
      <c r="Q59" s="42" t="s">
        <v>259</v>
      </c>
      <c r="R59" s="46" t="n">
        <v>22</v>
      </c>
      <c r="S59" s="46" t="n">
        <f aca="false">R59/1.1</f>
        <v>20</v>
      </c>
      <c r="T59" s="42" t="s">
        <v>259</v>
      </c>
      <c r="U59" s="42" t="s">
        <v>259</v>
      </c>
      <c r="V59" s="42" t="s">
        <v>259</v>
      </c>
      <c r="W59" s="42" t="s">
        <v>259</v>
      </c>
      <c r="X59" s="42" t="s">
        <v>259</v>
      </c>
      <c r="Y59" s="42" t="s">
        <v>259</v>
      </c>
      <c r="Z59" s="45" t="n">
        <f aca="false">1.1*AA59</f>
        <v>52.184</v>
      </c>
      <c r="AA59" s="45" t="n">
        <v>47.44</v>
      </c>
      <c r="AB59" s="45" t="n">
        <v>37.14</v>
      </c>
      <c r="AC59" s="45" t="n">
        <f aca="false">AB59/1.1</f>
        <v>33.7636363636364</v>
      </c>
      <c r="AD59" s="11" t="n">
        <f aca="false">IF(COUNT(I59,J59,M59,O59,Q59,S59,U59,V59,Y59,AA59,AC59)=0,"N/A",MIN(I59,J59,M59,O59,Q59,S59,U59,V59,Y59,AA59,AC59))</f>
        <v>20</v>
      </c>
      <c r="AE59" s="43" t="n">
        <f aca="false">IF(OR(D59="",AD59="",AD59="N/A"),"N/A",D59/AD59-1)</f>
        <v>-0.8555</v>
      </c>
      <c r="AF59" s="43" t="str">
        <f aca="false">IF(OR(F59="",AD59="",AD59="N/A"),"N/A",F59/AD59-1)</f>
        <v>N/A</v>
      </c>
      <c r="AG59" s="41" t="s">
        <v>314</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259</v>
      </c>
      <c r="K60" s="42" t="s">
        <v>259</v>
      </c>
      <c r="L60" s="42" t="s">
        <v>259</v>
      </c>
      <c r="M60" s="42" t="s">
        <v>259</v>
      </c>
      <c r="N60" s="42" t="s">
        <v>259</v>
      </c>
      <c r="O60" s="42" t="s">
        <v>259</v>
      </c>
      <c r="P60" s="42" t="s">
        <v>259</v>
      </c>
      <c r="Q60" s="42" t="s">
        <v>259</v>
      </c>
      <c r="R60" s="42" t="s">
        <v>259</v>
      </c>
      <c r="S60" s="42" t="s">
        <v>259</v>
      </c>
      <c r="T60" s="42" t="s">
        <v>259</v>
      </c>
      <c r="U60" s="42" t="s">
        <v>259</v>
      </c>
      <c r="V60" s="42" t="s">
        <v>259</v>
      </c>
      <c r="W60" s="42" t="s">
        <v>259</v>
      </c>
      <c r="X60" s="46" t="n">
        <v>41.4</v>
      </c>
      <c r="Y60" s="46" t="n">
        <f aca="false">X60/1.1</f>
        <v>37.6363636363636</v>
      </c>
      <c r="Z60" s="45" t="n">
        <f aca="false">1.1*AA60</f>
        <v>92.246</v>
      </c>
      <c r="AA60" s="45" t="n">
        <v>83.86</v>
      </c>
      <c r="AB60" s="45" t="n">
        <v>54.19</v>
      </c>
      <c r="AC60" s="45" t="n">
        <f aca="false">AB60/1.1</f>
        <v>49.2636363636364</v>
      </c>
      <c r="AD60" s="11" t="n">
        <f aca="false">IF(COUNT(I60,J60,M60,O60,Q60,S60,U60,V60,Y60,AA60,AC60)=0,"N/A",MIN(I60,J60,M60,O60,Q60,S60,U60,V60,Y60,AA60,AC60))</f>
        <v>37.6363636363636</v>
      </c>
      <c r="AE60" s="43" t="n">
        <f aca="false">IF(OR(D60="",AD60="",AD60="N/A"),"N/A",D60/AD60-1)</f>
        <v>-0.948454106280193</v>
      </c>
      <c r="AF60" s="43" t="str">
        <f aca="false">IF(OR(F60="",AD60="",AD60="N/A"),"N/A",F60/AD60-1)</f>
        <v>N/A</v>
      </c>
      <c r="AG60" s="41" t="s">
        <v>315</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259</v>
      </c>
      <c r="K61" s="42" t="s">
        <v>259</v>
      </c>
      <c r="L61" s="46" t="n">
        <v>39.58</v>
      </c>
      <c r="M61" s="46" t="n">
        <v>35.98</v>
      </c>
      <c r="N61" s="46" t="n">
        <v>42.5</v>
      </c>
      <c r="O61" s="46" t="n">
        <f aca="false">N61/1.1</f>
        <v>38.6363636363636</v>
      </c>
      <c r="P61" s="42" t="s">
        <v>259</v>
      </c>
      <c r="Q61" s="42" t="s">
        <v>259</v>
      </c>
      <c r="R61" s="46" t="n">
        <v>30</v>
      </c>
      <c r="S61" s="46" t="n">
        <f aca="false">R61/1.1</f>
        <v>27.2727272727273</v>
      </c>
      <c r="T61" s="42" t="s">
        <v>259</v>
      </c>
      <c r="U61" s="42" t="s">
        <v>259</v>
      </c>
      <c r="V61" s="42" t="s">
        <v>259</v>
      </c>
      <c r="W61" s="42" t="s">
        <v>259</v>
      </c>
      <c r="X61" s="46" t="n">
        <v>45.76</v>
      </c>
      <c r="Y61" s="46" t="n">
        <f aca="false">X61/1.1</f>
        <v>41.6</v>
      </c>
      <c r="Z61" s="45" t="n">
        <f aca="false">1.1*AA61</f>
        <v>47.905</v>
      </c>
      <c r="AA61" s="45" t="n">
        <v>43.55</v>
      </c>
      <c r="AB61" s="45" t="n">
        <v>42.75</v>
      </c>
      <c r="AC61" s="45" t="n">
        <f aca="false">AB61/1.1</f>
        <v>38.8636363636364</v>
      </c>
      <c r="AD61" s="11" t="n">
        <f aca="false">IF(COUNT(I61,J61,M61,O61,Q61,S61,U61,V61,Y61,AA61,AC61)=0,"N/A",MIN(I61,J61,M61,O61,Q61,S61,U61,V61,Y61,AA61,AC61))</f>
        <v>27.2727272727273</v>
      </c>
      <c r="AE61" s="43" t="n">
        <f aca="false">IF(OR(D61="",AD61="",AD61="N/A"),"N/A",D61/AD61-1)</f>
        <v>-0.608033333333333</v>
      </c>
      <c r="AF61" s="43" t="str">
        <f aca="false">IF(OR(F61="",AD61="",AD61="N/A"),"N/A",F61/AD61-1)</f>
        <v>N/A</v>
      </c>
      <c r="AG61" s="41" t="s">
        <v>316</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259</v>
      </c>
      <c r="K62" s="42" t="s">
        <v>259</v>
      </c>
      <c r="L62" s="46" t="n">
        <v>39.47</v>
      </c>
      <c r="M62" s="46" t="n">
        <v>35.88</v>
      </c>
      <c r="N62" s="46" t="n">
        <v>27.5</v>
      </c>
      <c r="O62" s="46" t="n">
        <f aca="false">N62/1.1</f>
        <v>25</v>
      </c>
      <c r="P62" s="46" t="n">
        <v>24.2</v>
      </c>
      <c r="Q62" s="46" t="n">
        <v>22</v>
      </c>
      <c r="R62" s="46" t="n">
        <v>22.5</v>
      </c>
      <c r="S62" s="46" t="n">
        <f aca="false">R62/1.1</f>
        <v>20.4545454545455</v>
      </c>
      <c r="T62" s="42" t="s">
        <v>259</v>
      </c>
      <c r="U62" s="42" t="s">
        <v>259</v>
      </c>
      <c r="V62" s="42" t="s">
        <v>259</v>
      </c>
      <c r="W62" s="42" t="s">
        <v>259</v>
      </c>
      <c r="X62" s="46" t="n">
        <v>24.96</v>
      </c>
      <c r="Y62" s="46" t="n">
        <f aca="false">X62/1.1</f>
        <v>22.6909090909091</v>
      </c>
      <c r="Z62" s="45" t="n">
        <f aca="false">1.1*AA62</f>
        <v>47.905</v>
      </c>
      <c r="AA62" s="45" t="n">
        <v>43.55</v>
      </c>
      <c r="AB62" s="45" t="n">
        <v>30.77</v>
      </c>
      <c r="AC62" s="45" t="n">
        <f aca="false">AB62/1.1</f>
        <v>27.9727272727273</v>
      </c>
      <c r="AD62" s="11" t="n">
        <f aca="false">IF(COUNT(I62,J62,M62,O62,Q62,S62,U62,V62,Y62,AA62,AC62)=0,"N/A",MIN(I62,J62,M62,O62,Q62,S62,U62,V62,Y62,AA62,AC62))</f>
        <v>20.4545454545455</v>
      </c>
      <c r="AE62" s="43" t="n">
        <f aca="false">IF(OR(D62="",AD62="",AD62="N/A"),"N/A",D62/AD62-1)</f>
        <v>-0.843506666666667</v>
      </c>
      <c r="AF62" s="43" t="str">
        <f aca="false">IF(OR(F62="",AD62="",AD62="N/A"),"N/A",F62/AD62-1)</f>
        <v>N/A</v>
      </c>
      <c r="AG62" s="41" t="s">
        <v>317</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259</v>
      </c>
      <c r="K63" s="42" t="s">
        <v>259</v>
      </c>
      <c r="L63" s="46" t="n">
        <v>39.58</v>
      </c>
      <c r="M63" s="46" t="n">
        <v>35.98</v>
      </c>
      <c r="N63" s="42" t="s">
        <v>259</v>
      </c>
      <c r="O63" s="42" t="s">
        <v>259</v>
      </c>
      <c r="P63" s="46" t="n">
        <v>22.6</v>
      </c>
      <c r="Q63" s="46" t="n">
        <v>20.55</v>
      </c>
      <c r="R63" s="46" t="n">
        <v>23</v>
      </c>
      <c r="S63" s="46" t="n">
        <f aca="false">R63/1.1</f>
        <v>20.9090909090909</v>
      </c>
      <c r="T63" s="42" t="s">
        <v>259</v>
      </c>
      <c r="U63" s="42" t="s">
        <v>259</v>
      </c>
      <c r="V63" s="42" t="s">
        <v>259</v>
      </c>
      <c r="W63" s="42" t="s">
        <v>259</v>
      </c>
      <c r="X63" s="46" t="n">
        <v>31.96</v>
      </c>
      <c r="Y63" s="46" t="n">
        <f aca="false">X63/1.1</f>
        <v>29.0545454545455</v>
      </c>
      <c r="Z63" s="45" t="n">
        <f aca="false">1.1*AA63</f>
        <v>47.905</v>
      </c>
      <c r="AA63" s="45" t="n">
        <v>43.55</v>
      </c>
      <c r="AB63" s="45" t="n">
        <v>39.17</v>
      </c>
      <c r="AC63" s="45" t="n">
        <f aca="false">AB63/1.1</f>
        <v>35.6090909090909</v>
      </c>
      <c r="AD63" s="11" t="n">
        <f aca="false">IF(COUNT(I63,J63,M63,O63,Q63,S63,U63,V63,Y63,AA63,AC63)=0,"N/A",MIN(I63,J63,M63,O63,Q63,S63,U63,V63,Y63,AA63,AC63))</f>
        <v>20.55</v>
      </c>
      <c r="AE63" s="43" t="n">
        <f aca="false">IF(OR(D63="",AD63="",AD63="N/A"),"N/A",D63/AD63-1)</f>
        <v>-0.739659367396594</v>
      </c>
      <c r="AF63" s="43" t="str">
        <f aca="false">IF(OR(F63="",AD63="",AD63="N/A"),"N/A",F63/AD63-1)</f>
        <v>N/A</v>
      </c>
      <c r="AG63" s="41" t="s">
        <v>318</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259</v>
      </c>
      <c r="K64" s="42" t="s">
        <v>259</v>
      </c>
      <c r="L64" s="46" t="n">
        <v>39.58</v>
      </c>
      <c r="M64" s="46" t="n">
        <v>35.98</v>
      </c>
      <c r="N64" s="46" t="n">
        <v>27.5</v>
      </c>
      <c r="O64" s="46" t="n">
        <f aca="false">N64/1.1</f>
        <v>25</v>
      </c>
      <c r="P64" s="46" t="n">
        <v>24.2</v>
      </c>
      <c r="Q64" s="46" t="n">
        <v>22</v>
      </c>
      <c r="R64" s="46" t="n">
        <v>22.5</v>
      </c>
      <c r="S64" s="46" t="n">
        <f aca="false">R64/1.1</f>
        <v>20.4545454545455</v>
      </c>
      <c r="T64" s="42" t="s">
        <v>259</v>
      </c>
      <c r="U64" s="42" t="s">
        <v>259</v>
      </c>
      <c r="V64" s="42" t="s">
        <v>259</v>
      </c>
      <c r="W64" s="42" t="s">
        <v>259</v>
      </c>
      <c r="X64" s="46" t="n">
        <v>24.96</v>
      </c>
      <c r="Y64" s="46" t="n">
        <f aca="false">X64/1.1</f>
        <v>22.6909090909091</v>
      </c>
      <c r="Z64" s="45" t="n">
        <f aca="false">1.1*AA64</f>
        <v>38.258</v>
      </c>
      <c r="AA64" s="45" t="n">
        <v>34.78</v>
      </c>
      <c r="AB64" s="45" t="n">
        <v>30.77</v>
      </c>
      <c r="AC64" s="45" t="n">
        <f aca="false">AB64/1.1</f>
        <v>27.9727272727273</v>
      </c>
      <c r="AD64" s="11" t="n">
        <f aca="false">IF(COUNT(I64,J64,M64,O64,Q64,S64,U64,V64,Y64,AA64,AC64)=0,"N/A",MIN(I64,J64,M64,O64,Q64,S64,U64,V64,Y64,AA64,AC64))</f>
        <v>20.4545454545455</v>
      </c>
      <c r="AE64" s="43" t="n">
        <f aca="false">IF(OR(D64="",AD64="",AD64="N/A"),"N/A",D64/AD64-1)</f>
        <v>-0.869466666666667</v>
      </c>
      <c r="AF64" s="43" t="str">
        <f aca="false">IF(OR(F64="",AD64="",AD64="N/A"),"N/A",F64/AD64-1)</f>
        <v>N/A</v>
      </c>
      <c r="AG64" s="41" t="s">
        <v>319</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259</v>
      </c>
      <c r="K65" s="42" t="s">
        <v>259</v>
      </c>
      <c r="L65" s="46" t="n">
        <v>39.47</v>
      </c>
      <c r="M65" s="46" t="n">
        <v>35.88</v>
      </c>
      <c r="N65" s="11" t="n">
        <v>108.6</v>
      </c>
      <c r="O65" s="11" t="n">
        <f aca="false">N65/1.1</f>
        <v>98.7272727272727</v>
      </c>
      <c r="P65" s="42" t="s">
        <v>259</v>
      </c>
      <c r="Q65" s="42" t="s">
        <v>259</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v>46.99</v>
      </c>
      <c r="AC65" s="11" t="n">
        <f aca="false">AB65/1.1</f>
        <v>42.7181818181818</v>
      </c>
      <c r="AD65" s="11" t="n">
        <f aca="false">IF(COUNT(I65,J65,M65,O65,Q65,S65,U65,V65,Y65,AA65,AC65)=0,"N/A",MIN(I65,J65,M65,O65,Q65,S65,U65,V65,Y65,AA65,AC65))</f>
        <v>27.2727272727273</v>
      </c>
      <c r="AE65" s="43" t="n">
        <f aca="false">IF(OR(D65="",AD65="",AD65="N/A"),"N/A",D65/AD65-1)</f>
        <v>-0.608033333333333</v>
      </c>
      <c r="AF65" s="43" t="str">
        <f aca="false">IF(OR(F65="",AD65="",AD65="N/A"),"N/A",F65/AD65-1)</f>
        <v>N/A</v>
      </c>
      <c r="AG65" s="41" t="s">
        <v>320</v>
      </c>
    </row>
    <row r="67" customFormat="false" ht="15" hidden="false" customHeight="true" outlineLevel="0" collapsed="false">
      <c r="A67" s="34" t="s">
        <v>226</v>
      </c>
    </row>
    <row r="68" customFormat="false" ht="15" hidden="false" customHeight="true" outlineLevel="0" collapsed="false">
      <c r="A68" s="35" t="s">
        <v>321</v>
      </c>
      <c r="B68" s="35"/>
      <c r="C68" s="35"/>
      <c r="D68" s="48" t="n">
        <f aca="false">COUNTA(B6:B65)</f>
        <v>60</v>
      </c>
    </row>
    <row r="69" customFormat="false" ht="15" hidden="false" customHeight="true" outlineLevel="0" collapsed="false">
      <c r="A69" s="35" t="s">
        <v>322</v>
      </c>
      <c r="B69" s="35"/>
      <c r="C69" s="35"/>
      <c r="D69" s="48" t="n">
        <f aca="false">COUNTIF(J6:J65,"&gt;0")+COUNTIF(M6:M65,"&gt;0")+COUNTIF(O6:O65,"&gt;0")+COUNTIF(Q6:Q65,"&gt;0")+COUNTIF(S6:S65,"&gt;0")+COUNTIF(U6:U65,"&gt;0")+COUNTIF(V6:V65,"&gt;0")+COUNTIF(Y6:Y65,"&gt;0")+COUNTIF(AA6:AA65,"&gt;0")+COUNTIF(AC6:AC65,"&gt;0")</f>
        <v>407</v>
      </c>
    </row>
    <row r="70" customFormat="false" ht="15" hidden="false" customHeight="true" outlineLevel="0" collapsed="false">
      <c r="A70" s="35" t="s">
        <v>323</v>
      </c>
      <c r="B70" s="35"/>
      <c r="C70" s="35"/>
      <c r="D70" s="48" t="n">
        <f aca="false">COUNTIF(AE6:AE65,"&lt;0")</f>
        <v>53</v>
      </c>
    </row>
    <row r="71" customFormat="false" ht="15" hidden="false" customHeight="true" outlineLevel="0" collapsed="false">
      <c r="A71" s="35" t="s">
        <v>324</v>
      </c>
      <c r="B71" s="35"/>
      <c r="C71" s="35"/>
      <c r="D71" s="48" t="n">
        <f aca="false">COUNTIF(AE6:AE65,"&gt;0")</f>
        <v>7</v>
      </c>
    </row>
    <row r="72" customFormat="false" ht="15" hidden="false" customHeight="true" outlineLevel="0" collapsed="false">
      <c r="A72" s="35" t="s">
        <v>325</v>
      </c>
      <c r="B72" s="35"/>
      <c r="C72" s="35"/>
      <c r="D72" s="49" t="n">
        <f aca="false">AVERAGE(AE6:AE65)</f>
        <v>-0.454866678565887</v>
      </c>
    </row>
    <row r="73" customFormat="false" ht="15" hidden="false" customHeight="true" outlineLevel="0" collapsed="false">
      <c r="A73" s="35" t="s">
        <v>326</v>
      </c>
      <c r="B73" s="35"/>
      <c r="C73" s="35"/>
      <c r="D73" s="49" t="n">
        <f aca="false">MEDIAN(AE6:AE65)</f>
        <v>-0.523652597402597</v>
      </c>
    </row>
    <row r="74" customFormat="false" ht="15" hidden="false" customHeight="true" outlineLevel="0" collapsed="false">
      <c r="A74" s="35" t="s">
        <v>327</v>
      </c>
      <c r="B74" s="35"/>
      <c r="C74" s="35"/>
      <c r="D74" s="48" t="n">
        <f aca="false">COUNTIF(AF6:AF65,"&lt;0")</f>
        <v>15</v>
      </c>
    </row>
    <row r="75" customFormat="false" ht="15" hidden="false" customHeight="true" outlineLevel="0" collapsed="false">
      <c r="A75" s="35" t="s">
        <v>328</v>
      </c>
      <c r="B75" s="35"/>
      <c r="C75" s="35"/>
      <c r="D75" s="48" t="n">
        <f aca="false">COUNTIF(AF6:AF65,"&gt;0")</f>
        <v>7</v>
      </c>
    </row>
    <row r="76" customFormat="false" ht="15" hidden="false" customHeight="true" outlineLevel="0" collapsed="false">
      <c r="A76" s="35" t="s">
        <v>329</v>
      </c>
      <c r="B76" s="35"/>
      <c r="C76" s="35"/>
      <c r="D76" s="49" t="n">
        <f aca="false">AVERAGE(AF6:AF65)</f>
        <v>-0.137849955170021</v>
      </c>
    </row>
    <row r="77" customFormat="false" ht="15" hidden="false" customHeight="true" outlineLevel="0" collapsed="false">
      <c r="A77" s="35" t="s">
        <v>330</v>
      </c>
      <c r="B77" s="35"/>
      <c r="C77" s="35"/>
      <c r="D77" s="49" t="n">
        <f aca="false">MEDIAN(AF6:AF65)</f>
        <v>-0.240924975181021</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conditionalFormatting sqref="AD6:AD65">
    <cfRule type="expression" priority="2" aboveAverage="0" equalAverage="0" bottom="0" percent="0" rank="0" text="" dxfId="3">
      <formula>EXACT(AD6,"N/A")</formula>
    </cfRule>
  </conditionalFormatting>
  <conditionalFormatting sqref="AE6:AE65">
    <cfRule type="expression" priority="3" aboveAverage="0" equalAverage="0" bottom="0" percent="0" rank="0" text="" dxfId="3">
      <formula>EXACT(AE6,"N/A")</formula>
    </cfRule>
  </conditionalFormatting>
  <conditionalFormatting sqref="AF6:AF65">
    <cfRule type="expression" priority="4" aboveAverage="0" equalAverage="0" bottom="0" percent="0" rank="0" text="" dxfId="3">
      <formula>EXACT(AF6,"N/A")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4" min="4" style="1" width="20"/>
    <col collapsed="false" customWidth="true" hidden="false" outlineLevel="0" max="5" min="5" style="1" width="14"/>
    <col collapsed="false" customWidth="true" hidden="false" outlineLevel="0" max="6" min="6" style="1" width="18"/>
    <col collapsed="false" customWidth="true" hidden="false" outlineLevel="0" max="7" min="7" style="1" width="13"/>
    <col collapsed="false" customWidth="true" hidden="false" outlineLevel="0" max="8" min="8" style="1" width="12"/>
    <col collapsed="false" customWidth="true" hidden="false" outlineLevel="0" max="9" min="9" style="1" width="11"/>
    <col collapsed="false" customWidth="true" hidden="false" outlineLevel="0" max="10" min="10" style="1" width="40"/>
  </cols>
  <sheetData>
    <row r="1" customFormat="false" ht="19.5" hidden="false" customHeight="true" outlineLevel="0" collapsed="false">
      <c r="A1" s="50" t="s">
        <v>331</v>
      </c>
      <c r="B1" s="50"/>
      <c r="C1" s="50"/>
      <c r="D1" s="50"/>
      <c r="E1" s="50"/>
      <c r="F1" s="50"/>
      <c r="G1" s="50"/>
      <c r="H1" s="50"/>
      <c r="I1" s="50"/>
      <c r="J1" s="50"/>
    </row>
    <row r="2" customFormat="false" ht="73.5" hidden="false" customHeight="true" outlineLevel="0" collapsed="false">
      <c r="A2" s="51" t="s">
        <v>332</v>
      </c>
      <c r="B2" s="51"/>
      <c r="C2" s="51"/>
      <c r="D2" s="51"/>
      <c r="E2" s="51"/>
      <c r="F2" s="51"/>
      <c r="G2" s="51"/>
      <c r="H2" s="51"/>
      <c r="I2" s="51"/>
      <c r="J2" s="51"/>
    </row>
    <row r="4" customFormat="false" ht="42" hidden="false" customHeight="true" outlineLevel="0" collapsed="false">
      <c r="A4" s="52" t="s">
        <v>212</v>
      </c>
      <c r="B4" s="52" t="s">
        <v>0</v>
      </c>
      <c r="C4" s="52" t="s">
        <v>1</v>
      </c>
      <c r="D4" s="52" t="s">
        <v>333</v>
      </c>
      <c r="E4" s="52" t="s">
        <v>334</v>
      </c>
      <c r="F4" s="52" t="s">
        <v>335</v>
      </c>
      <c r="G4" s="52" t="s">
        <v>336</v>
      </c>
      <c r="H4" s="52" t="s">
        <v>337</v>
      </c>
      <c r="I4" s="52" t="s">
        <v>338</v>
      </c>
      <c r="J4" s="52" t="s">
        <v>221</v>
      </c>
    </row>
    <row r="5" customFormat="false" ht="27.75" hidden="false" customHeight="true" outlineLevel="0" collapsed="false">
      <c r="A5" s="1" t="s">
        <v>222</v>
      </c>
      <c r="B5" s="1" t="s">
        <v>7</v>
      </c>
      <c r="C5" s="41" t="s">
        <v>8</v>
      </c>
      <c r="D5" s="1" t="s">
        <v>339</v>
      </c>
      <c r="E5" s="11" t="n">
        <v>20.05</v>
      </c>
      <c r="F5" s="53" t="n">
        <v>16.93275</v>
      </c>
      <c r="G5" s="54" t="n">
        <v>-3.11725</v>
      </c>
      <c r="H5" s="55" t="n">
        <v>-0.155473815461347</v>
      </c>
      <c r="I5" s="1" t="s">
        <v>340</v>
      </c>
    </row>
    <row r="6" customFormat="false" ht="27.75" hidden="false" customHeight="true" outlineLevel="0" collapsed="false">
      <c r="A6" s="1" t="s">
        <v>222</v>
      </c>
      <c r="B6" s="1" t="s">
        <v>9</v>
      </c>
      <c r="C6" s="41" t="s">
        <v>10</v>
      </c>
      <c r="D6" s="1" t="s">
        <v>341</v>
      </c>
      <c r="E6" s="11" t="n">
        <v>122.718181818182</v>
      </c>
      <c r="F6" s="56" t="n">
        <v>66.83</v>
      </c>
      <c r="G6" s="54" t="n">
        <v>-55.888181818182</v>
      </c>
      <c r="H6" s="55" t="n">
        <v>-0.455418919919995</v>
      </c>
      <c r="I6" s="1" t="s">
        <v>340</v>
      </c>
    </row>
    <row r="7" customFormat="false" ht="27.75" hidden="false" customHeight="true" outlineLevel="0" collapsed="false">
      <c r="A7" s="1" t="s">
        <v>222</v>
      </c>
      <c r="B7" s="1" t="s">
        <v>11</v>
      </c>
      <c r="C7" s="41" t="s">
        <v>12</v>
      </c>
      <c r="D7" s="1" t="s">
        <v>342</v>
      </c>
      <c r="E7" s="11" t="n">
        <v>128.75</v>
      </c>
      <c r="F7" s="56" t="n">
        <v>44.55</v>
      </c>
      <c r="G7" s="54" t="n">
        <v>-84.2</v>
      </c>
      <c r="H7" s="55" t="n">
        <v>-0.653980582524272</v>
      </c>
      <c r="I7" s="1" t="s">
        <v>340</v>
      </c>
    </row>
    <row r="8" customFormat="false" ht="15" hidden="false" customHeight="true" outlineLevel="0" collapsed="false">
      <c r="A8" s="1" t="s">
        <v>222</v>
      </c>
      <c r="B8" s="1" t="s">
        <v>13</v>
      </c>
      <c r="C8" s="41" t="s">
        <v>14</v>
      </c>
      <c r="D8" s="1" t="s">
        <v>343</v>
      </c>
      <c r="E8" s="11" t="n">
        <v>69.245</v>
      </c>
      <c r="F8" s="53" t="n">
        <v>45.144</v>
      </c>
      <c r="G8" s="54" t="n">
        <v>-24.101</v>
      </c>
      <c r="H8" s="55" t="n">
        <v>-0.348054011119937</v>
      </c>
      <c r="I8" s="1" t="s">
        <v>340</v>
      </c>
    </row>
    <row r="9" customFormat="false" ht="15" hidden="false" customHeight="true" outlineLevel="0" collapsed="false">
      <c r="A9" s="1" t="s">
        <v>222</v>
      </c>
      <c r="B9" s="1" t="s">
        <v>15</v>
      </c>
      <c r="C9" s="41" t="s">
        <v>16</v>
      </c>
      <c r="D9" s="1" t="s">
        <v>343</v>
      </c>
      <c r="E9" s="11" t="n">
        <v>81.4</v>
      </c>
      <c r="F9" s="53" t="n">
        <v>70.538125</v>
      </c>
      <c r="G9" s="54" t="n">
        <v>-10.861875</v>
      </c>
      <c r="H9" s="55" t="n">
        <v>-0.133438267813268</v>
      </c>
      <c r="I9" s="1" t="s">
        <v>340</v>
      </c>
    </row>
    <row r="10" customFormat="false" ht="27.75" hidden="false" customHeight="true" outlineLevel="0" collapsed="false">
      <c r="A10" s="1" t="s">
        <v>222</v>
      </c>
      <c r="B10" s="1" t="s">
        <v>17</v>
      </c>
      <c r="C10" s="41" t="s">
        <v>18</v>
      </c>
      <c r="D10" s="1" t="s">
        <v>344</v>
      </c>
      <c r="E10" s="11" t="n">
        <v>44.209</v>
      </c>
      <c r="F10" s="53" t="n">
        <v>33.8555</v>
      </c>
      <c r="G10" s="54" t="n">
        <v>-10.3535</v>
      </c>
      <c r="H10" s="55" t="n">
        <v>-0.234194394806487</v>
      </c>
      <c r="I10" s="1" t="s">
        <v>340</v>
      </c>
    </row>
    <row r="11" customFormat="false" ht="15" hidden="false" customHeight="true" outlineLevel="0" collapsed="false">
      <c r="A11" s="1" t="s">
        <v>222</v>
      </c>
      <c r="B11" s="1" t="s">
        <v>19</v>
      </c>
      <c r="C11" s="41" t="s">
        <v>20</v>
      </c>
      <c r="D11" s="1" t="s">
        <v>339</v>
      </c>
      <c r="E11" s="11" t="n">
        <v>70.36</v>
      </c>
      <c r="F11" s="53" t="n">
        <v>45.144</v>
      </c>
      <c r="G11" s="54" t="n">
        <v>-25.216</v>
      </c>
      <c r="H11" s="55" t="n">
        <v>-0.358385446276293</v>
      </c>
      <c r="I11" s="1" t="s">
        <v>340</v>
      </c>
    </row>
    <row r="12" customFormat="false" ht="27.75" hidden="false" customHeight="true" outlineLevel="0" collapsed="false">
      <c r="A12" s="57" t="s">
        <v>222</v>
      </c>
      <c r="B12" s="57" t="s">
        <v>79</v>
      </c>
      <c r="C12" s="58" t="s">
        <v>80</v>
      </c>
      <c r="D12" s="57" t="s">
        <v>345</v>
      </c>
      <c r="E12" s="59" t="n">
        <v>33.1818181818182</v>
      </c>
      <c r="F12" s="60" t="n">
        <v>33.8555</v>
      </c>
      <c r="G12" s="61" t="n">
        <v>0.673681818181798</v>
      </c>
      <c r="H12" s="62" t="n">
        <v>0.0203027397260268</v>
      </c>
      <c r="I12" s="63" t="s">
        <v>346</v>
      </c>
      <c r="J12" s="57"/>
    </row>
    <row r="13" customFormat="false" ht="15" hidden="false" customHeight="true" outlineLevel="0" collapsed="false">
      <c r="A13" s="1" t="s">
        <v>222</v>
      </c>
      <c r="B13" s="1" t="s">
        <v>81</v>
      </c>
      <c r="C13" s="41" t="s">
        <v>82</v>
      </c>
      <c r="D13" s="1" t="s">
        <v>339</v>
      </c>
      <c r="E13" s="11" t="n">
        <v>43.09</v>
      </c>
      <c r="F13" s="53" t="n">
        <v>25.394125</v>
      </c>
      <c r="G13" s="54" t="n">
        <v>-17.695875</v>
      </c>
      <c r="H13" s="55" t="n">
        <v>-0.410672429798097</v>
      </c>
      <c r="I13" s="1" t="s">
        <v>340</v>
      </c>
    </row>
    <row r="14" customFormat="false" ht="27.75" hidden="false" customHeight="true" outlineLevel="0" collapsed="false">
      <c r="A14" s="1" t="s">
        <v>222</v>
      </c>
      <c r="B14" s="1" t="s">
        <v>101</v>
      </c>
      <c r="C14" s="41" t="s">
        <v>102</v>
      </c>
      <c r="D14" s="1" t="s">
        <v>339</v>
      </c>
      <c r="E14" s="11" t="n">
        <v>22</v>
      </c>
      <c r="F14" s="53" t="n">
        <v>8.461375</v>
      </c>
      <c r="G14" s="54" t="n">
        <v>-13.538625</v>
      </c>
      <c r="H14" s="55" t="n">
        <v>-0.615392045454545</v>
      </c>
      <c r="I14" s="1" t="s">
        <v>340</v>
      </c>
    </row>
    <row r="15" customFormat="false" ht="27.75" hidden="false" customHeight="true" outlineLevel="0" collapsed="false">
      <c r="A15" s="1" t="s">
        <v>222</v>
      </c>
      <c r="B15" s="1" t="s">
        <v>107</v>
      </c>
      <c r="C15" s="41" t="s">
        <v>108</v>
      </c>
      <c r="D15" s="1" t="s">
        <v>343</v>
      </c>
      <c r="E15" s="11" t="n">
        <v>21.9</v>
      </c>
      <c r="F15" s="53" t="n">
        <v>15.81275</v>
      </c>
      <c r="G15" s="54" t="n">
        <v>-6.08725</v>
      </c>
      <c r="H15" s="55" t="n">
        <v>-0.277956621004566</v>
      </c>
      <c r="I15" s="1" t="s">
        <v>340</v>
      </c>
    </row>
    <row r="16" customFormat="false" ht="27.75" hidden="false" customHeight="true" outlineLevel="0" collapsed="false">
      <c r="A16" s="1" t="s">
        <v>222</v>
      </c>
      <c r="B16" s="1" t="s">
        <v>117</v>
      </c>
      <c r="C16" s="41" t="s">
        <v>118</v>
      </c>
      <c r="D16" s="1" t="s">
        <v>339</v>
      </c>
      <c r="E16" s="11" t="n">
        <v>10.5</v>
      </c>
      <c r="F16" s="53" t="n">
        <v>8.461375</v>
      </c>
      <c r="G16" s="54" t="n">
        <v>-2.038625</v>
      </c>
      <c r="H16" s="55" t="n">
        <v>-0.194154761904762</v>
      </c>
      <c r="I16" s="1" t="s">
        <v>340</v>
      </c>
    </row>
    <row r="17" customFormat="false" ht="15" hidden="false" customHeight="true" outlineLevel="0" collapsed="false">
      <c r="A17" s="1" t="s">
        <v>222</v>
      </c>
      <c r="B17" s="1" t="s">
        <v>127</v>
      </c>
      <c r="C17" s="41" t="s">
        <v>128</v>
      </c>
      <c r="D17" s="1" t="s">
        <v>347</v>
      </c>
      <c r="E17" s="11" t="n">
        <v>37.3909090909091</v>
      </c>
      <c r="F17" s="53" t="n">
        <v>30.1455</v>
      </c>
      <c r="G17" s="54" t="n">
        <v>-7.2454090909091</v>
      </c>
      <c r="H17" s="55" t="n">
        <v>-0.193774617067834</v>
      </c>
      <c r="I17" s="1" t="s">
        <v>340</v>
      </c>
    </row>
    <row r="18" customFormat="false" ht="15" hidden="false" customHeight="true" outlineLevel="0" collapsed="false">
      <c r="A18" s="57" t="s">
        <v>222</v>
      </c>
      <c r="B18" s="57" t="s">
        <v>131</v>
      </c>
      <c r="C18" s="58" t="s">
        <v>132</v>
      </c>
      <c r="D18" s="57" t="s">
        <v>347</v>
      </c>
      <c r="E18" s="59" t="n">
        <v>28.3545454545455</v>
      </c>
      <c r="F18" s="60" t="n">
        <v>30.1455</v>
      </c>
      <c r="G18" s="61" t="n">
        <v>1.7909545454545</v>
      </c>
      <c r="H18" s="62" t="n">
        <v>0.0631628727156122</v>
      </c>
      <c r="I18" s="63" t="s">
        <v>346</v>
      </c>
      <c r="J18" s="57"/>
    </row>
    <row r="19" customFormat="false" ht="27.75" hidden="false" customHeight="true" outlineLevel="0" collapsed="false">
      <c r="A19" s="1" t="s">
        <v>222</v>
      </c>
      <c r="B19" s="1" t="s">
        <v>137</v>
      </c>
      <c r="C19" s="41" t="s">
        <v>138</v>
      </c>
      <c r="D19" s="1" t="s">
        <v>347</v>
      </c>
      <c r="E19" s="11" t="n">
        <v>23.3090909090909</v>
      </c>
      <c r="F19" s="53" t="n">
        <v>16.93275</v>
      </c>
      <c r="G19" s="54" t="n">
        <v>-6.3763409090909</v>
      </c>
      <c r="H19" s="55" t="n">
        <v>-0.273555967238689</v>
      </c>
      <c r="I19" s="1" t="s">
        <v>340</v>
      </c>
    </row>
    <row r="20" customFormat="false" ht="15" hidden="false" customHeight="true" outlineLevel="0" collapsed="false">
      <c r="A20" s="57" t="s">
        <v>222</v>
      </c>
      <c r="B20" s="57" t="s">
        <v>141</v>
      </c>
      <c r="C20" s="58" t="s">
        <v>142</v>
      </c>
      <c r="D20" s="57" t="s">
        <v>348</v>
      </c>
      <c r="E20" s="59" t="n">
        <v>33.7</v>
      </c>
      <c r="F20" s="60" t="n">
        <v>33.8555</v>
      </c>
      <c r="G20" s="61" t="n">
        <v>0.155499999999996</v>
      </c>
      <c r="H20" s="62" t="n">
        <v>0.00461424332344203</v>
      </c>
      <c r="I20" s="63" t="s">
        <v>346</v>
      </c>
      <c r="J20" s="57"/>
    </row>
    <row r="21" customFormat="false" ht="27.75" hidden="false" customHeight="true" outlineLevel="0" collapsed="false">
      <c r="A21" s="1" t="s">
        <v>222</v>
      </c>
      <c r="B21" s="1" t="s">
        <v>147</v>
      </c>
      <c r="C21" s="41" t="s">
        <v>148</v>
      </c>
      <c r="D21" s="1" t="s">
        <v>349</v>
      </c>
      <c r="E21" s="11" t="n">
        <v>21.2</v>
      </c>
      <c r="F21" s="53" t="n">
        <v>12.03275</v>
      </c>
      <c r="G21" s="54" t="n">
        <v>-9.16725</v>
      </c>
      <c r="H21" s="55" t="n">
        <v>-0.432417452830189</v>
      </c>
      <c r="I21" s="1" t="s">
        <v>340</v>
      </c>
    </row>
    <row r="22" customFormat="false" ht="15" hidden="false" customHeight="true" outlineLevel="0" collapsed="false">
      <c r="A22" s="1" t="s">
        <v>222</v>
      </c>
      <c r="B22" s="1" t="s">
        <v>151</v>
      </c>
      <c r="C22" s="41" t="s">
        <v>152</v>
      </c>
      <c r="D22" s="1" t="s">
        <v>349</v>
      </c>
      <c r="E22" s="11" t="n">
        <v>21.2</v>
      </c>
      <c r="F22" s="53" t="n">
        <v>12.03275</v>
      </c>
      <c r="G22" s="54" t="n">
        <v>-9.16725</v>
      </c>
      <c r="H22" s="55" t="n">
        <v>-0.432417452830189</v>
      </c>
      <c r="I22" s="1" t="s">
        <v>340</v>
      </c>
    </row>
    <row r="23" customFormat="false" ht="27.75" hidden="false" customHeight="true" outlineLevel="0" collapsed="false">
      <c r="A23" s="1" t="s">
        <v>222</v>
      </c>
      <c r="B23" s="1" t="s">
        <v>153</v>
      </c>
      <c r="C23" s="41" t="s">
        <v>154</v>
      </c>
      <c r="D23" s="1" t="s">
        <v>339</v>
      </c>
      <c r="E23" s="11" t="n">
        <v>22</v>
      </c>
      <c r="F23" s="53" t="n">
        <v>6.011375</v>
      </c>
      <c r="G23" s="54" t="n">
        <v>-15.988625</v>
      </c>
      <c r="H23" s="55" t="n">
        <v>-0.726755681818182</v>
      </c>
      <c r="I23" s="1" t="s">
        <v>340</v>
      </c>
    </row>
    <row r="24" customFormat="false" ht="27.75" hidden="false" customHeight="true" outlineLevel="0" collapsed="false">
      <c r="A24" s="57" t="s">
        <v>222</v>
      </c>
      <c r="B24" s="57" t="s">
        <v>159</v>
      </c>
      <c r="C24" s="58" t="s">
        <v>160</v>
      </c>
      <c r="D24" s="57" t="s">
        <v>349</v>
      </c>
      <c r="E24" s="59" t="n">
        <v>9.35454545454545</v>
      </c>
      <c r="F24" s="60" t="n">
        <v>12.03275</v>
      </c>
      <c r="G24" s="61" t="n">
        <v>2.67820454545455</v>
      </c>
      <c r="H24" s="62" t="n">
        <v>0.286299805636541</v>
      </c>
      <c r="I24" s="63" t="s">
        <v>346</v>
      </c>
      <c r="J24" s="57"/>
    </row>
    <row r="25" customFormat="false" ht="27.75" hidden="false" customHeight="true" outlineLevel="0" collapsed="false">
      <c r="A25" s="57" t="s">
        <v>222</v>
      </c>
      <c r="B25" s="57" t="s">
        <v>171</v>
      </c>
      <c r="C25" s="58" t="s">
        <v>172</v>
      </c>
      <c r="D25" s="57" t="s">
        <v>349</v>
      </c>
      <c r="E25" s="59" t="n">
        <v>9.35454545454545</v>
      </c>
      <c r="F25" s="60" t="n">
        <v>12.03275</v>
      </c>
      <c r="G25" s="61" t="n">
        <v>2.67820454545455</v>
      </c>
      <c r="H25" s="62" t="n">
        <v>0.286299805636541</v>
      </c>
      <c r="I25" s="63" t="s">
        <v>346</v>
      </c>
      <c r="J25" s="57"/>
    </row>
    <row r="26" customFormat="false" ht="27.75" hidden="false" customHeight="true" outlineLevel="0" collapsed="false">
      <c r="A26" s="1" t="s">
        <v>222</v>
      </c>
      <c r="B26" s="1" t="s">
        <v>280</v>
      </c>
      <c r="C26" s="41" t="s">
        <v>173</v>
      </c>
      <c r="D26" s="1" t="s">
        <v>349</v>
      </c>
      <c r="E26" s="11" t="n">
        <v>21.2</v>
      </c>
      <c r="F26" s="53" t="n">
        <v>12.03275</v>
      </c>
      <c r="G26" s="54" t="n">
        <v>-9.16725</v>
      </c>
      <c r="H26" s="55" t="n">
        <v>-0.432417452830189</v>
      </c>
      <c r="I26" s="1" t="s">
        <v>340</v>
      </c>
    </row>
    <row r="27" customFormat="false" ht="27.75" hidden="false" customHeight="true" outlineLevel="0" collapsed="false">
      <c r="A27" s="57" t="s">
        <v>222</v>
      </c>
      <c r="B27" s="57" t="s">
        <v>167</v>
      </c>
      <c r="C27" s="58" t="s">
        <v>168</v>
      </c>
      <c r="D27" s="57" t="s">
        <v>345</v>
      </c>
      <c r="E27" s="59" t="n">
        <v>32.5</v>
      </c>
      <c r="F27" s="60" t="n">
        <v>33.8555</v>
      </c>
      <c r="G27" s="61" t="n">
        <v>1.3555</v>
      </c>
      <c r="H27" s="62" t="n">
        <v>0.0417076923076923</v>
      </c>
      <c r="I27" s="63" t="s">
        <v>346</v>
      </c>
      <c r="J27" s="57"/>
    </row>
    <row r="28" customFormat="false" ht="27.75" hidden="false" customHeight="true" outlineLevel="0" collapsed="false">
      <c r="A28" s="1" t="s">
        <v>222</v>
      </c>
      <c r="B28" s="1" t="s">
        <v>174</v>
      </c>
      <c r="C28" s="41" t="s">
        <v>175</v>
      </c>
      <c r="D28" s="1" t="s">
        <v>345</v>
      </c>
      <c r="E28" s="11" t="n">
        <v>45</v>
      </c>
      <c r="F28" s="53" t="n">
        <v>33.8555</v>
      </c>
      <c r="G28" s="54" t="n">
        <v>-11.1445</v>
      </c>
      <c r="H28" s="55" t="n">
        <v>-0.247655555555556</v>
      </c>
      <c r="I28" s="1" t="s">
        <v>340</v>
      </c>
    </row>
    <row r="29" customFormat="false" ht="27.75" hidden="false" customHeight="true" outlineLevel="0" collapsed="false">
      <c r="A29" s="1" t="s">
        <v>223</v>
      </c>
      <c r="B29" s="1" t="s">
        <v>49</v>
      </c>
      <c r="C29" s="41" t="s">
        <v>50</v>
      </c>
      <c r="D29" s="1" t="s">
        <v>343</v>
      </c>
      <c r="E29" s="11" t="n">
        <v>30.8</v>
      </c>
      <c r="F29" s="56" t="n">
        <v>13.07</v>
      </c>
      <c r="G29" s="54" t="n">
        <v>-17.73</v>
      </c>
      <c r="H29" s="55" t="n">
        <v>-0.575649350649351</v>
      </c>
      <c r="I29" s="1" t="s">
        <v>340</v>
      </c>
    </row>
    <row r="30" customFormat="false" ht="27.75" hidden="false" customHeight="true" outlineLevel="0" collapsed="false">
      <c r="A30" s="1" t="s">
        <v>223</v>
      </c>
      <c r="B30" s="1" t="s">
        <v>51</v>
      </c>
      <c r="C30" s="41" t="s">
        <v>52</v>
      </c>
      <c r="D30" s="1" t="s">
        <v>343</v>
      </c>
      <c r="E30" s="11" t="n">
        <v>28</v>
      </c>
      <c r="F30" s="56" t="n">
        <v>13.07</v>
      </c>
      <c r="G30" s="54" t="n">
        <v>-14.93</v>
      </c>
      <c r="H30" s="55" t="n">
        <v>-0.533214285714286</v>
      </c>
      <c r="I30" s="1" t="s">
        <v>340</v>
      </c>
    </row>
    <row r="31" customFormat="false" ht="27.75" hidden="false" customHeight="true" outlineLevel="0" collapsed="false">
      <c r="A31" s="1" t="s">
        <v>223</v>
      </c>
      <c r="B31" s="1" t="s">
        <v>53</v>
      </c>
      <c r="C31" s="41" t="s">
        <v>54</v>
      </c>
      <c r="D31" s="1" t="s">
        <v>348</v>
      </c>
      <c r="E31" s="11" t="n">
        <v>31</v>
      </c>
      <c r="F31" s="56" t="n">
        <v>16.04</v>
      </c>
      <c r="G31" s="54" t="n">
        <v>-14.96</v>
      </c>
      <c r="H31" s="55" t="n">
        <v>-0.48258064516129</v>
      </c>
      <c r="I31" s="1" t="s">
        <v>340</v>
      </c>
    </row>
    <row r="32" customFormat="false" ht="15" hidden="false" customHeight="true" outlineLevel="0" collapsed="false">
      <c r="A32" s="1" t="s">
        <v>223</v>
      </c>
      <c r="B32" s="1" t="s">
        <v>55</v>
      </c>
      <c r="C32" s="41" t="s">
        <v>56</v>
      </c>
      <c r="D32" s="1" t="s">
        <v>348</v>
      </c>
      <c r="E32" s="11" t="n">
        <v>31</v>
      </c>
      <c r="F32" s="56" t="n">
        <v>16.04</v>
      </c>
      <c r="G32" s="54" t="n">
        <v>-14.96</v>
      </c>
      <c r="H32" s="55" t="n">
        <v>-0.48258064516129</v>
      </c>
      <c r="I32" s="1" t="s">
        <v>340</v>
      </c>
    </row>
    <row r="33" customFormat="false" ht="27.75" hidden="false" customHeight="true" outlineLevel="0" collapsed="false">
      <c r="A33" s="1" t="s">
        <v>223</v>
      </c>
      <c r="B33" s="1" t="s">
        <v>57</v>
      </c>
      <c r="C33" s="41" t="s">
        <v>58</v>
      </c>
      <c r="D33" s="1" t="s">
        <v>348</v>
      </c>
      <c r="E33" s="11" t="n">
        <v>31</v>
      </c>
      <c r="F33" s="56" t="n">
        <v>16.04</v>
      </c>
      <c r="G33" s="54" t="n">
        <v>-14.96</v>
      </c>
      <c r="H33" s="55" t="n">
        <v>-0.48258064516129</v>
      </c>
      <c r="I33" s="1" t="s">
        <v>340</v>
      </c>
    </row>
    <row r="34" customFormat="false" ht="27.75" hidden="false" customHeight="true" outlineLevel="0" collapsed="false">
      <c r="A34" s="1" t="s">
        <v>223</v>
      </c>
      <c r="B34" s="1" t="s">
        <v>59</v>
      </c>
      <c r="C34" s="41" t="s">
        <v>60</v>
      </c>
      <c r="D34" s="1" t="s">
        <v>348</v>
      </c>
      <c r="E34" s="11" t="n">
        <v>31</v>
      </c>
      <c r="F34" s="56" t="n">
        <v>16.04</v>
      </c>
      <c r="G34" s="54" t="n">
        <v>-14.96</v>
      </c>
      <c r="H34" s="55" t="n">
        <v>-0.48258064516129</v>
      </c>
      <c r="I34" s="1" t="s">
        <v>340</v>
      </c>
    </row>
    <row r="35" customFormat="false" ht="27.75" hidden="false" customHeight="true" outlineLevel="0" collapsed="false">
      <c r="A35" s="1" t="s">
        <v>223</v>
      </c>
      <c r="B35" s="1" t="s">
        <v>61</v>
      </c>
      <c r="C35" s="41" t="s">
        <v>62</v>
      </c>
      <c r="D35" s="1" t="s">
        <v>348</v>
      </c>
      <c r="E35" s="11" t="n">
        <v>31</v>
      </c>
      <c r="F35" s="56" t="n">
        <v>13.07</v>
      </c>
      <c r="G35" s="54" t="n">
        <v>-17.93</v>
      </c>
      <c r="H35" s="55" t="n">
        <v>-0.578387096774194</v>
      </c>
      <c r="I35" s="1" t="s">
        <v>340</v>
      </c>
    </row>
    <row r="36" customFormat="false" ht="27.75" hidden="false" customHeight="true" outlineLevel="0" collapsed="false">
      <c r="A36" s="1" t="s">
        <v>223</v>
      </c>
      <c r="B36" s="1" t="s">
        <v>63</v>
      </c>
      <c r="C36" s="41" t="s">
        <v>64</v>
      </c>
      <c r="D36" s="1" t="s">
        <v>348</v>
      </c>
      <c r="E36" s="11" t="n">
        <v>31</v>
      </c>
      <c r="F36" s="56" t="n">
        <v>16.04</v>
      </c>
      <c r="G36" s="54" t="n">
        <v>-14.96</v>
      </c>
      <c r="H36" s="55" t="n">
        <v>-0.48258064516129</v>
      </c>
      <c r="I36" s="1" t="s">
        <v>340</v>
      </c>
    </row>
    <row r="37" customFormat="false" ht="27.75" hidden="false" customHeight="true" outlineLevel="0" collapsed="false">
      <c r="A37" s="1" t="s">
        <v>223</v>
      </c>
      <c r="B37" s="1" t="s">
        <v>65</v>
      </c>
      <c r="C37" s="41" t="s">
        <v>66</v>
      </c>
      <c r="D37" s="1" t="s">
        <v>348</v>
      </c>
      <c r="E37" s="11" t="n">
        <v>31</v>
      </c>
      <c r="F37" s="56" t="n">
        <v>13.07</v>
      </c>
      <c r="G37" s="54" t="n">
        <v>-17.93</v>
      </c>
      <c r="H37" s="55" t="n">
        <v>-0.578387096774194</v>
      </c>
      <c r="I37" s="1" t="s">
        <v>340</v>
      </c>
    </row>
    <row r="38" customFormat="false" ht="27.75" hidden="false" customHeight="true" outlineLevel="0" collapsed="false">
      <c r="A38" s="1" t="s">
        <v>223</v>
      </c>
      <c r="B38" s="1" t="s">
        <v>67</v>
      </c>
      <c r="C38" s="41" t="s">
        <v>68</v>
      </c>
      <c r="D38" s="1" t="s">
        <v>348</v>
      </c>
      <c r="E38" s="11" t="n">
        <v>31</v>
      </c>
      <c r="F38" s="56" t="n">
        <v>13.07</v>
      </c>
      <c r="G38" s="54" t="n">
        <v>-17.93</v>
      </c>
      <c r="H38" s="55" t="n">
        <v>-0.578387096774194</v>
      </c>
      <c r="I38" s="1" t="s">
        <v>340</v>
      </c>
    </row>
    <row r="39" customFormat="false" ht="27.75" hidden="false" customHeight="true" outlineLevel="0" collapsed="false">
      <c r="A39" s="1" t="s">
        <v>223</v>
      </c>
      <c r="B39" s="1" t="s">
        <v>69</v>
      </c>
      <c r="C39" s="41" t="s">
        <v>70</v>
      </c>
      <c r="D39" s="1" t="s">
        <v>348</v>
      </c>
      <c r="E39" s="11" t="n">
        <v>31</v>
      </c>
      <c r="F39" s="56" t="n">
        <v>13.07</v>
      </c>
      <c r="G39" s="54" t="n">
        <v>-17.93</v>
      </c>
      <c r="H39" s="55" t="n">
        <v>-0.578387096774194</v>
      </c>
      <c r="I39" s="1" t="s">
        <v>340</v>
      </c>
    </row>
    <row r="40" customFormat="false" ht="27.75" hidden="false" customHeight="true" outlineLevel="0" collapsed="false">
      <c r="A40" s="1" t="s">
        <v>223</v>
      </c>
      <c r="B40" s="1" t="s">
        <v>71</v>
      </c>
      <c r="C40" s="41" t="s">
        <v>72</v>
      </c>
      <c r="D40" s="1" t="s">
        <v>348</v>
      </c>
      <c r="E40" s="11" t="n">
        <v>31</v>
      </c>
      <c r="F40" s="56" t="n">
        <v>13.07</v>
      </c>
      <c r="G40" s="54" t="n">
        <v>-17.93</v>
      </c>
      <c r="H40" s="55" t="n">
        <v>-0.578387096774194</v>
      </c>
      <c r="I40" s="1" t="s">
        <v>340</v>
      </c>
    </row>
    <row r="41" customFormat="false" ht="27.75" hidden="false" customHeight="true" outlineLevel="0" collapsed="false">
      <c r="A41" s="1" t="s">
        <v>223</v>
      </c>
      <c r="B41" s="1" t="s">
        <v>73</v>
      </c>
      <c r="C41" s="41" t="s">
        <v>74</v>
      </c>
      <c r="D41" s="1" t="s">
        <v>348</v>
      </c>
      <c r="E41" s="11" t="n">
        <v>31</v>
      </c>
      <c r="F41" s="56" t="n">
        <v>13.07</v>
      </c>
      <c r="G41" s="54" t="n">
        <v>-17.93</v>
      </c>
      <c r="H41" s="55" t="n">
        <v>-0.578387096774194</v>
      </c>
      <c r="I41" s="1" t="s">
        <v>340</v>
      </c>
    </row>
    <row r="42" customFormat="false" ht="27.75" hidden="false" customHeight="true" outlineLevel="0" collapsed="false">
      <c r="A42" s="1" t="s">
        <v>225</v>
      </c>
      <c r="B42" s="1" t="s">
        <v>4</v>
      </c>
      <c r="C42" s="41" t="s">
        <v>5</v>
      </c>
      <c r="D42" s="1" t="s">
        <v>339</v>
      </c>
      <c r="E42" s="11" t="n">
        <v>20.05</v>
      </c>
      <c r="F42" s="56" t="n">
        <v>5.35</v>
      </c>
      <c r="G42" s="54" t="n">
        <v>-14.7</v>
      </c>
      <c r="H42" s="55" t="n">
        <v>-0.733167082294264</v>
      </c>
      <c r="I42" s="1" t="s">
        <v>340</v>
      </c>
    </row>
    <row r="43" customFormat="false" ht="27.75" hidden="false" customHeight="true" outlineLevel="0" collapsed="false">
      <c r="A43" s="1" t="s">
        <v>225</v>
      </c>
      <c r="B43" s="1" t="s">
        <v>95</v>
      </c>
      <c r="C43" s="41" t="s">
        <v>96</v>
      </c>
      <c r="D43" s="1" t="s">
        <v>349</v>
      </c>
      <c r="E43" s="11" t="n">
        <v>9.35454545454545</v>
      </c>
      <c r="F43" s="56" t="n">
        <v>2.67</v>
      </c>
      <c r="G43" s="54" t="n">
        <v>-6.68454545454545</v>
      </c>
      <c r="H43" s="55" t="n">
        <v>-0.714577259475219</v>
      </c>
      <c r="I43" s="1" t="s">
        <v>340</v>
      </c>
    </row>
    <row r="44" customFormat="false" ht="27.75" hidden="false" customHeight="true" outlineLevel="0" collapsed="false">
      <c r="A44" s="1" t="s">
        <v>225</v>
      </c>
      <c r="B44" s="1" t="s">
        <v>97</v>
      </c>
      <c r="C44" s="41" t="s">
        <v>98</v>
      </c>
      <c r="D44" s="1" t="s">
        <v>348</v>
      </c>
      <c r="E44" s="11" t="n">
        <v>23.4090909090909</v>
      </c>
      <c r="F44" s="56" t="n">
        <v>10.69</v>
      </c>
      <c r="G44" s="54" t="n">
        <v>-12.7190909090909</v>
      </c>
      <c r="H44" s="55" t="n">
        <v>-0.543339805825243</v>
      </c>
      <c r="I44" s="1" t="s">
        <v>340</v>
      </c>
    </row>
    <row r="45" customFormat="false" ht="27.75" hidden="false" customHeight="true" outlineLevel="0" collapsed="false">
      <c r="A45" s="1" t="s">
        <v>225</v>
      </c>
      <c r="B45" s="1" t="s">
        <v>99</v>
      </c>
      <c r="C45" s="41" t="s">
        <v>100</v>
      </c>
      <c r="D45" s="1" t="s">
        <v>348</v>
      </c>
      <c r="E45" s="11" t="n">
        <v>20.4545454545455</v>
      </c>
      <c r="F45" s="56" t="n">
        <v>2.67</v>
      </c>
      <c r="G45" s="54" t="n">
        <v>-17.7845454545455</v>
      </c>
      <c r="H45" s="55" t="n">
        <v>-0.869466666666667</v>
      </c>
      <c r="I45" s="1" t="s">
        <v>340</v>
      </c>
    </row>
    <row r="46" customFormat="false" ht="27.75" hidden="false" customHeight="true" outlineLevel="0" collapsed="false">
      <c r="A46" s="1" t="s">
        <v>225</v>
      </c>
      <c r="B46" s="1" t="s">
        <v>103</v>
      </c>
      <c r="C46" s="41" t="s">
        <v>104</v>
      </c>
      <c r="D46" s="1" t="s">
        <v>339</v>
      </c>
      <c r="E46" s="11" t="n">
        <v>22</v>
      </c>
      <c r="F46" s="56" t="n">
        <v>9.5</v>
      </c>
      <c r="G46" s="54" t="n">
        <v>-12.5</v>
      </c>
      <c r="H46" s="55" t="n">
        <v>-0.568181818181818</v>
      </c>
      <c r="I46" s="1" t="s">
        <v>340</v>
      </c>
    </row>
    <row r="47" customFormat="false" ht="27.75" hidden="false" customHeight="true" outlineLevel="0" collapsed="false">
      <c r="A47" s="1" t="s">
        <v>225</v>
      </c>
      <c r="B47" s="1" t="s">
        <v>105</v>
      </c>
      <c r="C47" s="41" t="s">
        <v>106</v>
      </c>
      <c r="D47" s="1" t="s">
        <v>347</v>
      </c>
      <c r="E47" s="11" t="n">
        <v>16.7363636363636</v>
      </c>
      <c r="F47" s="56" t="n">
        <v>10.69</v>
      </c>
      <c r="G47" s="54" t="n">
        <v>-6.0463636363636</v>
      </c>
      <c r="H47" s="55" t="n">
        <v>-0.36127104834329</v>
      </c>
      <c r="I47" s="1" t="s">
        <v>340</v>
      </c>
    </row>
    <row r="48" customFormat="false" ht="27.75" hidden="false" customHeight="true" outlineLevel="0" collapsed="false">
      <c r="A48" s="1" t="s">
        <v>225</v>
      </c>
      <c r="B48" s="1" t="s">
        <v>109</v>
      </c>
      <c r="C48" s="41" t="s">
        <v>110</v>
      </c>
      <c r="D48" s="1" t="s">
        <v>348</v>
      </c>
      <c r="E48" s="11" t="n">
        <v>20.9090909090909</v>
      </c>
      <c r="F48" s="56" t="n">
        <v>5.35</v>
      </c>
      <c r="G48" s="54" t="n">
        <v>-15.5590909090909</v>
      </c>
      <c r="H48" s="55" t="n">
        <v>-0.744130434782609</v>
      </c>
      <c r="I48" s="1" t="s">
        <v>340</v>
      </c>
    </row>
    <row r="49" customFormat="false" ht="15" hidden="false" customHeight="true" outlineLevel="0" collapsed="false">
      <c r="A49" s="1" t="s">
        <v>225</v>
      </c>
      <c r="B49" s="1" t="s">
        <v>111</v>
      </c>
      <c r="C49" s="41" t="s">
        <v>112</v>
      </c>
      <c r="D49" s="1" t="s">
        <v>349</v>
      </c>
      <c r="E49" s="11" t="n">
        <v>9.35454545454545</v>
      </c>
      <c r="F49" s="56" t="n">
        <v>5.35</v>
      </c>
      <c r="G49" s="54" t="n">
        <v>-4.00454545454545</v>
      </c>
      <c r="H49" s="55" t="n">
        <v>-0.428085519922254</v>
      </c>
      <c r="I49" s="1" t="s">
        <v>340</v>
      </c>
    </row>
    <row r="50" customFormat="false" ht="15" hidden="false" customHeight="true" outlineLevel="0" collapsed="false">
      <c r="A50" s="1" t="s">
        <v>225</v>
      </c>
      <c r="B50" s="1" t="s">
        <v>115</v>
      </c>
      <c r="C50" s="41" t="s">
        <v>116</v>
      </c>
      <c r="D50" s="1" t="s">
        <v>339</v>
      </c>
      <c r="E50" s="11" t="n">
        <v>10.5</v>
      </c>
      <c r="F50" s="56" t="n">
        <v>2.67</v>
      </c>
      <c r="G50" s="54" t="n">
        <v>-7.83</v>
      </c>
      <c r="H50" s="55" t="n">
        <v>-0.745714285714286</v>
      </c>
      <c r="I50" s="1" t="s">
        <v>340</v>
      </c>
    </row>
    <row r="51" customFormat="false" ht="27.75" hidden="false" customHeight="true" outlineLevel="0" collapsed="false">
      <c r="A51" s="1" t="s">
        <v>225</v>
      </c>
      <c r="B51" s="1" t="s">
        <v>119</v>
      </c>
      <c r="C51" s="41" t="s">
        <v>120</v>
      </c>
      <c r="D51" s="1" t="s">
        <v>343</v>
      </c>
      <c r="E51" s="11" t="n">
        <v>26.5</v>
      </c>
      <c r="F51" s="56" t="n">
        <v>9.5</v>
      </c>
      <c r="G51" s="54" t="n">
        <v>-17</v>
      </c>
      <c r="H51" s="55" t="n">
        <v>-0.641509433962264</v>
      </c>
      <c r="I51" s="1" t="s">
        <v>340</v>
      </c>
    </row>
    <row r="52" customFormat="false" ht="27.75" hidden="false" customHeight="true" outlineLevel="0" collapsed="false">
      <c r="A52" s="1" t="s">
        <v>225</v>
      </c>
      <c r="B52" s="1" t="s">
        <v>121</v>
      </c>
      <c r="C52" s="41" t="s">
        <v>122</v>
      </c>
      <c r="D52" s="1" t="s">
        <v>345</v>
      </c>
      <c r="E52" s="11" t="n">
        <v>7.81818181818182</v>
      </c>
      <c r="F52" s="56" t="n">
        <v>2</v>
      </c>
      <c r="G52" s="54" t="n">
        <v>-5.81818181818182</v>
      </c>
      <c r="H52" s="55" t="n">
        <v>-0.744186046511628</v>
      </c>
      <c r="I52" s="1" t="s">
        <v>340</v>
      </c>
    </row>
    <row r="53" customFormat="false" ht="27.75" hidden="false" customHeight="true" outlineLevel="0" collapsed="false">
      <c r="A53" s="1" t="s">
        <v>225</v>
      </c>
      <c r="B53" s="1" t="s">
        <v>123</v>
      </c>
      <c r="C53" s="41" t="s">
        <v>124</v>
      </c>
      <c r="D53" s="1" t="s">
        <v>348</v>
      </c>
      <c r="E53" s="11" t="n">
        <v>20.4545454545455</v>
      </c>
      <c r="F53" s="56" t="n">
        <v>2.67</v>
      </c>
      <c r="G53" s="54" t="n">
        <v>-17.7845454545455</v>
      </c>
      <c r="H53" s="55" t="n">
        <v>-0.869466666666667</v>
      </c>
      <c r="I53" s="1" t="s">
        <v>340</v>
      </c>
    </row>
    <row r="54" customFormat="false" ht="15" hidden="false" customHeight="true" outlineLevel="0" collapsed="false">
      <c r="A54" s="1" t="s">
        <v>225</v>
      </c>
      <c r="B54" s="1" t="s">
        <v>125</v>
      </c>
      <c r="C54" s="41" t="s">
        <v>126</v>
      </c>
      <c r="D54" s="1" t="s">
        <v>348</v>
      </c>
      <c r="E54" s="11" t="n">
        <v>20.9090909090909</v>
      </c>
      <c r="F54" s="56" t="n">
        <v>4.01</v>
      </c>
      <c r="G54" s="54" t="n">
        <v>-16.8990909090909</v>
      </c>
      <c r="H54" s="55" t="n">
        <v>-0.808217391304348</v>
      </c>
      <c r="I54" s="1" t="s">
        <v>340</v>
      </c>
    </row>
    <row r="55" customFormat="false" ht="15" hidden="false" customHeight="true" outlineLevel="0" collapsed="false">
      <c r="A55" s="1" t="s">
        <v>225</v>
      </c>
      <c r="B55" s="1" t="s">
        <v>129</v>
      </c>
      <c r="C55" s="41" t="s">
        <v>130</v>
      </c>
      <c r="D55" s="1" t="s">
        <v>339</v>
      </c>
      <c r="E55" s="11" t="n">
        <v>22</v>
      </c>
      <c r="F55" s="56" t="n">
        <v>10.69</v>
      </c>
      <c r="G55" s="54" t="n">
        <v>-11.31</v>
      </c>
      <c r="H55" s="55" t="n">
        <v>-0.514090909090909</v>
      </c>
      <c r="I55" s="1" t="s">
        <v>340</v>
      </c>
    </row>
    <row r="56" customFormat="false" ht="27.75" hidden="false" customHeight="true" outlineLevel="0" collapsed="false">
      <c r="A56" s="1" t="s">
        <v>225</v>
      </c>
      <c r="B56" s="1" t="s">
        <v>133</v>
      </c>
      <c r="C56" s="41" t="s">
        <v>134</v>
      </c>
      <c r="D56" s="1" t="s">
        <v>348</v>
      </c>
      <c r="E56" s="11" t="n">
        <v>27.2727272727273</v>
      </c>
      <c r="F56" s="56" t="n">
        <v>10.69</v>
      </c>
      <c r="G56" s="54" t="n">
        <v>-16.5827272727273</v>
      </c>
      <c r="H56" s="55" t="n">
        <v>-0.608033333333334</v>
      </c>
      <c r="I56" s="1" t="s">
        <v>340</v>
      </c>
    </row>
    <row r="57" customFormat="false" ht="27.75" hidden="false" customHeight="true" outlineLevel="0" collapsed="false">
      <c r="A57" s="1" t="s">
        <v>225</v>
      </c>
      <c r="B57" s="1" t="s">
        <v>135</v>
      </c>
      <c r="C57" s="41" t="s">
        <v>136</v>
      </c>
      <c r="D57" s="1" t="s">
        <v>339</v>
      </c>
      <c r="E57" s="11" t="n">
        <v>22</v>
      </c>
      <c r="F57" s="56" t="n">
        <v>10.69</v>
      </c>
      <c r="G57" s="54" t="n">
        <v>-11.31</v>
      </c>
      <c r="H57" s="55" t="n">
        <v>-0.514090909090909</v>
      </c>
      <c r="I57" s="1" t="s">
        <v>340</v>
      </c>
    </row>
    <row r="58" customFormat="false" ht="27.75" hidden="false" customHeight="true" outlineLevel="0" collapsed="false">
      <c r="A58" s="1" t="s">
        <v>225</v>
      </c>
      <c r="B58" s="1" t="s">
        <v>139</v>
      </c>
      <c r="C58" s="41" t="s">
        <v>140</v>
      </c>
      <c r="D58" s="1" t="s">
        <v>348</v>
      </c>
      <c r="E58" s="11" t="n">
        <v>20</v>
      </c>
      <c r="F58" s="56" t="n">
        <v>2.89</v>
      </c>
      <c r="G58" s="54" t="n">
        <v>-17.11</v>
      </c>
      <c r="H58" s="55" t="n">
        <v>-0.8555</v>
      </c>
      <c r="I58" s="1" t="s">
        <v>340</v>
      </c>
    </row>
    <row r="59" customFormat="false" ht="27.75" hidden="false" customHeight="true" outlineLevel="0" collapsed="false">
      <c r="A59" s="1" t="s">
        <v>225</v>
      </c>
      <c r="B59" s="1" t="s">
        <v>143</v>
      </c>
      <c r="C59" s="41" t="s">
        <v>144</v>
      </c>
      <c r="D59" s="1" t="s">
        <v>349</v>
      </c>
      <c r="E59" s="11" t="n">
        <v>37.6363636363636</v>
      </c>
      <c r="F59" s="56" t="n">
        <v>1.94</v>
      </c>
      <c r="G59" s="54" t="n">
        <v>-35.6963636363636</v>
      </c>
      <c r="H59" s="55" t="n">
        <v>-0.948454106280193</v>
      </c>
      <c r="I59" s="1" t="s">
        <v>340</v>
      </c>
    </row>
    <row r="60" customFormat="false" ht="15" hidden="false" customHeight="true" outlineLevel="0" collapsed="false">
      <c r="A60" s="1" t="s">
        <v>225</v>
      </c>
      <c r="B60" s="1" t="s">
        <v>149</v>
      </c>
      <c r="C60" s="41" t="s">
        <v>150</v>
      </c>
      <c r="D60" s="1" t="s">
        <v>348</v>
      </c>
      <c r="E60" s="11" t="n">
        <v>27.2727272727273</v>
      </c>
      <c r="F60" s="56" t="n">
        <v>10.69</v>
      </c>
      <c r="G60" s="54" t="n">
        <v>-16.5827272727273</v>
      </c>
      <c r="H60" s="55" t="n">
        <v>-0.608033333333334</v>
      </c>
      <c r="I60" s="1" t="s">
        <v>340</v>
      </c>
    </row>
    <row r="61" customFormat="false" ht="27.75" hidden="false" customHeight="true" outlineLevel="0" collapsed="false">
      <c r="A61" s="1" t="s">
        <v>225</v>
      </c>
      <c r="B61" s="1" t="s">
        <v>155</v>
      </c>
      <c r="C61" s="41" t="s">
        <v>156</v>
      </c>
      <c r="D61" s="1" t="s">
        <v>348</v>
      </c>
      <c r="E61" s="11" t="n">
        <v>20.4545454545455</v>
      </c>
      <c r="F61" s="56" t="n">
        <v>3.201</v>
      </c>
      <c r="G61" s="54" t="n">
        <v>-17.2535454545455</v>
      </c>
      <c r="H61" s="55" t="n">
        <v>-0.843506666666667</v>
      </c>
      <c r="I61" s="1" t="s">
        <v>340</v>
      </c>
    </row>
    <row r="62" customFormat="false" ht="15" hidden="false" customHeight="true" outlineLevel="0" collapsed="false">
      <c r="A62" s="1" t="s">
        <v>225</v>
      </c>
      <c r="B62" s="1" t="s">
        <v>157</v>
      </c>
      <c r="C62" s="41" t="s">
        <v>158</v>
      </c>
      <c r="D62" s="1" t="s">
        <v>339</v>
      </c>
      <c r="E62" s="11" t="n">
        <v>20.55</v>
      </c>
      <c r="F62" s="56" t="n">
        <v>5.35</v>
      </c>
      <c r="G62" s="54" t="n">
        <v>-15.2</v>
      </c>
      <c r="H62" s="55" t="n">
        <v>-0.739659367396594</v>
      </c>
      <c r="I62" s="1" t="s">
        <v>340</v>
      </c>
    </row>
    <row r="63" customFormat="false" ht="27.75" hidden="false" customHeight="true" outlineLevel="0" collapsed="false">
      <c r="A63" s="1" t="s">
        <v>225</v>
      </c>
      <c r="B63" s="1" t="s">
        <v>161</v>
      </c>
      <c r="C63" s="41" t="s">
        <v>162</v>
      </c>
      <c r="D63" s="1" t="s">
        <v>348</v>
      </c>
      <c r="E63" s="11" t="n">
        <v>20.4545454545455</v>
      </c>
      <c r="F63" s="56" t="n">
        <v>2.67</v>
      </c>
      <c r="G63" s="54" t="n">
        <v>-17.7845454545455</v>
      </c>
      <c r="H63" s="55" t="n">
        <v>-0.869466666666667</v>
      </c>
      <c r="I63" s="1" t="s">
        <v>340</v>
      </c>
    </row>
    <row r="64" customFormat="false" ht="27.75" hidden="false" customHeight="true" outlineLevel="0" collapsed="false">
      <c r="A64" s="1" t="s">
        <v>225</v>
      </c>
      <c r="B64" s="1" t="s">
        <v>163</v>
      </c>
      <c r="C64" s="41" t="s">
        <v>164</v>
      </c>
      <c r="D64" s="1" t="s">
        <v>348</v>
      </c>
      <c r="E64" s="11" t="n">
        <v>27.2727272727273</v>
      </c>
      <c r="F64" s="56" t="n">
        <v>10.69</v>
      </c>
      <c r="G64" s="54" t="n">
        <v>-16.5827272727273</v>
      </c>
      <c r="H64" s="55" t="n">
        <v>-0.608033333333334</v>
      </c>
      <c r="I64" s="1" t="s">
        <v>340</v>
      </c>
    </row>
    <row r="66" customFormat="false" ht="24" hidden="false" customHeight="true" outlineLevel="0" collapsed="false">
      <c r="A66" s="64" t="s">
        <v>350</v>
      </c>
      <c r="B66" s="64"/>
      <c r="C66" s="64"/>
      <c r="D66" s="64"/>
      <c r="E66" s="64"/>
      <c r="F66" s="64"/>
      <c r="G66" s="64"/>
      <c r="H66" s="64"/>
      <c r="I66" s="64"/>
      <c r="J66" s="64"/>
    </row>
    <row r="67" customFormat="false" ht="31.5" hidden="false" customHeight="true" outlineLevel="0" collapsed="false">
      <c r="A67" s="52" t="s">
        <v>0</v>
      </c>
      <c r="B67" s="52" t="s">
        <v>1</v>
      </c>
      <c r="C67" s="52" t="s">
        <v>351</v>
      </c>
      <c r="D67" s="52" t="s">
        <v>352</v>
      </c>
      <c r="E67" s="52" t="s">
        <v>353</v>
      </c>
      <c r="F67" s="52" t="s">
        <v>354</v>
      </c>
      <c r="G67" s="52" t="s">
        <v>355</v>
      </c>
    </row>
    <row r="68" customFormat="false" ht="108.75" hidden="false" customHeight="true" outlineLevel="0" collapsed="false">
      <c r="A68" s="57" t="s">
        <v>7</v>
      </c>
      <c r="B68" s="58" t="s">
        <v>8</v>
      </c>
      <c r="C68" s="57" t="s">
        <v>349</v>
      </c>
      <c r="D68" s="59" t="n">
        <v>9.35454545454545</v>
      </c>
      <c r="E68" s="59" t="n">
        <v>16.93275</v>
      </c>
      <c r="F68" s="61" t="n">
        <v>7.57820454545455</v>
      </c>
      <c r="G68" s="62" t="n">
        <v>0.447547181967167</v>
      </c>
    </row>
    <row r="69" customFormat="false" ht="68.25" hidden="false" customHeight="true" outlineLevel="0" collapsed="false">
      <c r="A69" s="57" t="s">
        <v>141</v>
      </c>
      <c r="B69" s="58" t="s">
        <v>142</v>
      </c>
      <c r="C69" s="57" t="s">
        <v>349</v>
      </c>
      <c r="D69" s="59" t="n">
        <v>21.2</v>
      </c>
      <c r="E69" s="59" t="n">
        <v>33.8555</v>
      </c>
      <c r="F69" s="61" t="n">
        <v>12.6555</v>
      </c>
      <c r="G69" s="62" t="n">
        <v>0.373809277665372</v>
      </c>
    </row>
    <row r="70" customFormat="false" ht="95.25" hidden="false" customHeight="true" outlineLevel="0" collapsed="false">
      <c r="A70" s="57" t="s">
        <v>159</v>
      </c>
      <c r="B70" s="58" t="s">
        <v>160</v>
      </c>
      <c r="C70" s="57" t="s">
        <v>349</v>
      </c>
      <c r="D70" s="59" t="n">
        <v>9.35454545454545</v>
      </c>
      <c r="E70" s="59" t="n">
        <v>12.03275</v>
      </c>
      <c r="F70" s="61" t="n">
        <v>2.67820454545455</v>
      </c>
      <c r="G70" s="62" t="n">
        <v>0.222576264399622</v>
      </c>
    </row>
    <row r="71" customFormat="false" ht="108.75" hidden="false" customHeight="true" outlineLevel="0" collapsed="false">
      <c r="A71" s="57" t="s">
        <v>171</v>
      </c>
      <c r="B71" s="58" t="s">
        <v>172</v>
      </c>
      <c r="C71" s="57" t="s">
        <v>349</v>
      </c>
      <c r="D71" s="59" t="n">
        <v>9.35454545454545</v>
      </c>
      <c r="E71" s="59" t="n">
        <v>12.03275</v>
      </c>
      <c r="F71" s="61" t="n">
        <v>2.67820454545455</v>
      </c>
      <c r="G71" s="62" t="n">
        <v>0.222576264399622</v>
      </c>
    </row>
    <row r="72" customFormat="false" ht="81.75" hidden="false" customHeight="true" outlineLevel="0" collapsed="false">
      <c r="A72" s="57" t="s">
        <v>79</v>
      </c>
      <c r="B72" s="58" t="s">
        <v>80</v>
      </c>
      <c r="C72" s="57" t="s">
        <v>347</v>
      </c>
      <c r="D72" s="59" t="n">
        <v>28.3545454545455</v>
      </c>
      <c r="E72" s="59" t="n">
        <v>33.8555</v>
      </c>
      <c r="F72" s="61" t="n">
        <v>5.5009545454545</v>
      </c>
      <c r="G72" s="62" t="n">
        <v>0.162483334922081</v>
      </c>
    </row>
    <row r="73" customFormat="false" ht="68.25" hidden="false" customHeight="true" outlineLevel="0" collapsed="false">
      <c r="A73" s="57" t="s">
        <v>131</v>
      </c>
      <c r="B73" s="58" t="s">
        <v>132</v>
      </c>
      <c r="C73" s="57" t="s">
        <v>347</v>
      </c>
      <c r="D73" s="59" t="n">
        <v>28.3545454545455</v>
      </c>
      <c r="E73" s="59" t="n">
        <v>30.1455</v>
      </c>
      <c r="F73" s="61" t="n">
        <v>1.7909545454545</v>
      </c>
      <c r="G73" s="62" t="n">
        <v>0.0594103446768007</v>
      </c>
    </row>
    <row r="74" customFormat="false" ht="81.75" hidden="false" customHeight="true" outlineLevel="0" collapsed="false">
      <c r="A74" s="57" t="s">
        <v>167</v>
      </c>
      <c r="B74" s="58" t="s">
        <v>168</v>
      </c>
      <c r="C74" s="57" t="s">
        <v>345</v>
      </c>
      <c r="D74" s="59" t="n">
        <v>32.5</v>
      </c>
      <c r="E74" s="59" t="n">
        <v>33.8555</v>
      </c>
      <c r="F74" s="61" t="n">
        <v>1.3555</v>
      </c>
      <c r="G74" s="62"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openpyxl</dc:creator>
  <dc:description/>
  <dc:language>en-US</dc:language>
  <cp:lastModifiedBy>Jonathan Sum</cp:lastModifiedBy>
  <dcterms:modified xsi:type="dcterms:W3CDTF">2026-10-15T04:23:22Z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