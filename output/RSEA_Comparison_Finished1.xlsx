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<sst xmlns="http://schemas.openxmlformats.org/spreadsheetml/2006/main" count="1368" uniqueCount="310">
  <si>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</si>
  <si>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</si>
  <si>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</si>
  <si>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</si>
  <si>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</si>
  <si>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</si>
  <si>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</si>
  <si>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</si>
  <si>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</si>
  <si>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</si>
  <si>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</si>
  <si>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</si>
  <si>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</si>
  <si>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</si>
  <si>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</si>
  <si>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</si>
  <si>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</si>
  <si>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</si>
  <si>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</si>
  <si>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</si>
  <si>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</si>
  <si>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</si>
  <si>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</si>
  <si>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</si>
  <si>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</si>
  <si>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</si>
  <si>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</si>
  <si>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</si>
  <si>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</si>
  <si>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</si>
  <si>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</si>
  <si>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</si>
  <si>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</si>
  <si>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</si>
  <si>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</si>
  <si>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</si>
  <si>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</si>
  <si>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</si>
  <si>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</si>
  <si>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</si>
  <si>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</si>
  <si>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</si>
  <si>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</si>
  <si>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</si>
  <si>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</si>
  <si>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</si>
  <si>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</si>
  <si>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</si>
  <si>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</si>
  <si>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</si>
  <si>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</si>
  <si>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</si>
  <si>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</si>
  <si>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</si>
  <si>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</si>
  <si>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</si>
  <si>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</si>
  <si>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</si>
  <si>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</si>
  <si>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</si>
  <si>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</si>
  <si>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</si>
  <si>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</si>
  <si>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</si>
  <si>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</si>
  <si>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</si>
  <si>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</si>
  <si>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</si>
  <si>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</si>
  <si>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</si>
  <si>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</si>
  <si>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</si>
  <si>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</si>
  <si>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</si>
  <si>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</si>
  <si>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</si>
  <si>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</si>
  <si>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</si>
  <si>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</si>
  <si>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</si>
  <si>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</si>
  <si>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</si>
  <si>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</si>
  <si>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</si>
  <si>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</si>
  <si>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</si>
  <si>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</si>
  <si>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</si>
  <si>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</si>
  <si>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</si>
  <si>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</si>
  <si>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</si>
  <si>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</si>
  <si>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</si>
  <si>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</si>
  <si>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</si>
  <si>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</si>
  <si>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</si>
  <si>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</si>
  <si>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</si>
  <si>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</si>
  <si>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</si>
  <si>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</si>
  <si>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</si>
  <si>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</si>
  <si>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</si>
  <si>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</si>
  <si>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</si>
  <si>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</si>
  <si>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</si>
  <si>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</si>
  <si>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</si>
  <si>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</si>
  <si>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</si>
  <si>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</si>
  <si>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</si>
  <si>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</si>
  <si>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</si>
  <si>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</si>
  <si>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</si>
  <si>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</si>
  <si>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</si>
  <si>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</si>
  <si>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</si>
  <si>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</si>
  <si>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</si>
  <si>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</si>
  <si>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</si>
  <si>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</si>
  <si>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</si>
  <si>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</si>
  <si>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</si>
  <si>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</si>
  <si>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</si>
  <si>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</si>
  <si>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</si>
  <si>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</si>
  <si>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</si>
  <si>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</si>
  <si>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</si>
  <si>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</si>
  <si>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</si>
  <si>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</si>
  <si>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</si>
  <si>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</si>
  <si>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</si>
  <si>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</si>
  <si>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</si>
  <si>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</si>
  <si>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</si>
  <si>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</si>
  <si>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</si>
  <si>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</si>
  <si>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</si>
  <si>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</si>
  <si>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</si>
  <si>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</si>
  <si>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</si>
  <si>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</si>
  <si>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</si>
  <si>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</si>
  <si>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</si>
  <si>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</si>
  <si>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</si>
  <si>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</si>
  <si>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</si>
  <si>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</si>
  <si>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</si>
  <si>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</si>
  <si>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</si>
  <si>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</si>
  <si>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</si>
  <si>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</si>
  <si>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</si>
  <si>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</si>
  <si>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</si>
  <si>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</si>
  <si>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</si>
  <si>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</si>
  <si>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</si>
  <si>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</si>
  <si>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</si>
  <si>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</si>
  <si>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</si>
  <si>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</si>
  <si>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</si>
  <si>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</si>
  <si>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</si>
  <si>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</si>
  <si>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</si>
  <si>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</si>
  <si>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</si>
  <si>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</si>
  <si>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</si>
  <si>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</si>
  <si>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</si>
  <si>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</si>
  <si>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</si>
  <si>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</si>
  <si>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</si>
  <si>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</si>
  <si>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</si>
  <si>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</si>
  <si>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</si>
  <si>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</si>
  <si>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</si>
  <si>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</si>
  <si>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</si>
  <si>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</si>
  <si>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</si>
  <si>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</si>
  <si>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</si>
  <si>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</si>
  <si>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</si>
  <si>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</si>
  <si>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</si>
  <si>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</si>
  <si>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</si>
  <si>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</si>
  <si>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</si>
  <si>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</si>
  <si>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</si>
  <si>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</si>
  <si>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</si>
  <si>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</si>
  <si>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</si>
  <si>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</si>
  <si>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</si>
  <si>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</si>
  <si>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</si>
  <si>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</si>
  <si>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</si>
  <si>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</si>
  <si>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</si>
  <si>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</si>
  <si>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</si>
  <si>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</si>
  <si>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</si>
  <si>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</si>
  <si>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</si>
  <si>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</si>
  <si>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</si>
  <si>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</si>
  <si>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</si>
  <si>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</si>
  <si>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</si>
  <si>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</si>
  <si>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</si>
  <si>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</si>
  <si>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</si>
  <si>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</si>
  <si>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 as shown)</t>
  </si>
  <si>
    <t xml:space="preserve">Seton
(ex GST, calc.)</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</si>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</sst>
</file>

<file path=xl/styles.xml><?xml version="1.0" encoding="utf-8"?>
<styleSheet xmlns="http://schemas.openxmlformats.org/spreadsheetml/2006/main">
  <numFmts count="6">
    <numFmt numFmtId="164" formatCode="General"/>
    <numFmt numFmtId="165" formatCode="\$#,##0.00"/>
    <numFmt numFmtId="166" formatCode="\$#,##0.00_);[RED]&quot;($&quot;#,##0.00\)"/>
    <numFmt numFmtId="167" formatCode="0.0000"/>
    <numFmt numFmtId="168" formatCode="0.0%"/>
    <numFmt numFmtId="169" formatCode="0"/>
  </numFmts>
  <fonts count="19">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b val="true"/>
      <sz val="11"/>
      <color rgb="FFFFFFFF"/>
      <name val="Calibri"/>
      <family val="0"/>
      <charset val="1"/>
    </font>
    <font>
      <sz val="11"/>
      <color rgb="FF375623"/>
      <name val="Calibri"/>
      <family val="2"/>
      <charset val="1"/>
    </font>
    <font>
      <b val="true"/>
      <sz val="12"/>
      <color rgb="FF17365D"/>
      <name val="Calibri"/>
      <family val="2"/>
      <charset val="1"/>
    </font>
    <font>
      <b val="true"/>
      <sz val="11"/>
      <name val="Calibri"/>
      <family val="2"/>
      <charset val="1"/>
    </font>
    <font>
      <b val="true"/>
      <sz val="14"/>
      <color rgb="FF17365D"/>
      <name val="Calibri"/>
      <family val="0"/>
      <charset val="1"/>
    </font>
    <font>
      <sz val="10"/>
      <color rgb="FF595959"/>
      <name val="Calibri"/>
      <family val="0"/>
      <charset val="1"/>
    </font>
    <font>
      <i val="true"/>
      <sz val="11"/>
      <color rgb="FF9B9B9B"/>
      <name val="Calibri"/>
      <family val="0"/>
      <charset val="1"/>
    </font>
    <font>
      <b val="true"/>
      <sz val="12"/>
      <color rgb="FF17365D"/>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8"/>
      </left>
      <right/>
      <top style="thin">
        <color theme="4" tint="0.3998"/>
      </top>
      <bottom style="thin">
        <color theme="4" tint="0.3998"/>
      </bottom>
      <diagonal/>
    </border>
    <border diagonalUp="false" diagonalDown="false">
      <left/>
      <right/>
      <top style="thin">
        <color theme="4" tint="0.3998"/>
      </top>
      <bottom style="thin">
        <color theme="4" tint="0.3998"/>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5" fontId="11" fillId="6" borderId="3" xfId="0" applyFont="true" applyBorder="true" applyAlignment="true" applyProtection="false">
      <alignment horizontal="center" vertical="center" textRotation="0" wrapText="true" indent="0" shrinkToFit="false"/>
      <protection locked="true" hidden="false"/>
    </xf>
    <xf numFmtId="168" fontId="11" fillId="6" borderId="3"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center" vertical="center" textRotation="0" wrapText="true" indent="0" shrinkToFit="false"/>
      <protection locked="true" hidden="false"/>
    </xf>
    <xf numFmtId="168" fontId="13"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406440</xdr:colOff>
      <xdr:row>57</xdr:row>
      <xdr:rowOff>262800</xdr:rowOff>
    </xdr:to>
    <xdr:pic>
      <xdr:nvPicPr>
        <xdr:cNvPr id="0" name="Picture 1" descr=""/>
        <xdr:cNvPicPr/>
      </xdr:nvPicPr>
      <xdr:blipFill>
        <a:blip r:embed="rId1"/>
        <a:stretch/>
      </xdr:blipFill>
      <xdr:spPr>
        <a:xfrm>
          <a:off x="17428680" y="22115880"/>
          <a:ext cx="2194200" cy="234036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48.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257</v>
      </c>
      <c r="K6" s="42" t="s">
        <v>257</v>
      </c>
      <c r="L6" s="42" t="s">
        <v>257</v>
      </c>
      <c r="M6" s="42" t="s">
        <v>257</v>
      </c>
      <c r="N6" s="11" t="n">
        <v>42.5</v>
      </c>
      <c r="O6" s="11" t="n">
        <f aca="false">N6/1.1</f>
        <v>38.6363636363636</v>
      </c>
      <c r="P6" s="11" t="n">
        <v>22.05</v>
      </c>
      <c r="Q6" s="11" t="n">
        <v>20.05</v>
      </c>
      <c r="R6" s="11" t="n">
        <v>30</v>
      </c>
      <c r="S6" s="11" t="n">
        <f aca="false">R6/1.1</f>
        <v>27.2727272727273</v>
      </c>
      <c r="T6" s="11" t="n">
        <v>31.19</v>
      </c>
      <c r="U6" s="11" t="n">
        <f aca="false">T6/1.1</f>
        <v>28.3545454545455</v>
      </c>
      <c r="V6" s="42" t="s">
        <v>257</v>
      </c>
      <c r="W6" s="42" t="s">
        <v>257</v>
      </c>
      <c r="X6" s="11" t="n">
        <v>10.29</v>
      </c>
      <c r="Y6" s="11" t="n">
        <f aca="false">X6/1.1</f>
        <v>9.35454545454545</v>
      </c>
      <c r="Z6" s="11" t="n">
        <v>65.63</v>
      </c>
      <c r="AA6" s="11" t="n">
        <f aca="false">Z6/1.1</f>
        <v>59.6636363636364</v>
      </c>
      <c r="AB6" s="11" t="n">
        <f aca="false">IF(COUNT(I6,K6,M6,O6,Q6,S6,U6,W6,Y6,AA6)=0,"N/A",MIN(I6,K6,M6,O6,Q6,S6,U6,W6,Y6,AA6))</f>
        <v>9.35454545454545</v>
      </c>
      <c r="AC6" s="43" t="n">
        <f aca="false">IF(OR(D6="",AB6="",AB6="N/A"),"N/A",D6/AB6-1)</f>
        <v>0.786297376093295</v>
      </c>
      <c r="AD6" s="43" t="n">
        <f aca="false">IF(OR(F6="",AB6="",AB6="N/A"),"N/A",F6/AB6-1)</f>
        <v>0.810109329446064</v>
      </c>
      <c r="AE6" s="41" t="s">
        <v>258</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11" t="str">
        <f aca="false">IF('RSEA vs Quoted Comparison'!H7="","",'RSEA vs Quoted Comparison'!H7)</f>
        <v/>
      </c>
      <c r="G7" s="11" t="str">
        <f aca="false">IF('RSEA vs Quoted Comparison'!I7="","",'RSEA vs Quoted Comparison'!I7)</f>
        <v/>
      </c>
      <c r="H7" s="11" t="n">
        <f aca="false">'RSEA vs Quoted Comparison'!D7</f>
        <v>134.99</v>
      </c>
      <c r="I7" s="11" t="n">
        <f aca="false">'RSEA vs Quoted Comparison'!E7</f>
        <v>122.718181818182</v>
      </c>
      <c r="J7" s="42" t="s">
        <v>257</v>
      </c>
      <c r="K7" s="42" t="s">
        <v>257</v>
      </c>
      <c r="L7" s="42" t="s">
        <v>257</v>
      </c>
      <c r="M7" s="42" t="s">
        <v>257</v>
      </c>
      <c r="N7" s="42" t="s">
        <v>257</v>
      </c>
      <c r="O7" s="42" t="s">
        <v>257</v>
      </c>
      <c r="P7" s="42" t="s">
        <v>257</v>
      </c>
      <c r="Q7" s="42" t="s">
        <v>257</v>
      </c>
      <c r="R7" s="42" t="s">
        <v>257</v>
      </c>
      <c r="S7" s="42" t="s">
        <v>257</v>
      </c>
      <c r="T7" s="42" t="s">
        <v>257</v>
      </c>
      <c r="U7" s="42" t="s">
        <v>257</v>
      </c>
      <c r="V7" s="42" t="s">
        <v>257</v>
      </c>
      <c r="W7" s="42" t="s">
        <v>257</v>
      </c>
      <c r="X7" s="42" t="s">
        <v>257</v>
      </c>
      <c r="Y7" s="42" t="s">
        <v>257</v>
      </c>
      <c r="Z7" s="42"/>
      <c r="AA7" s="42"/>
      <c r="AB7" s="11" t="n">
        <f aca="false">IF(COUNT(I7,K7,M7,O7,Q7,S7,U7,W7,Y7,AA7)=0,"N/A",MIN(I7,K7,M7,O7,Q7,S7,U7,W7,Y7,AA7))</f>
        <v>122.718181818182</v>
      </c>
      <c r="AC7" s="43" t="n">
        <f aca="false">IF(OR(D7="",AB7="",AB7="N/A"),"N/A",D7/AB7-1)</f>
        <v>-0.455418919919994</v>
      </c>
      <c r="AD7" s="43" t="str">
        <f aca="false">IF(OR(F7="",AB7="",AB7="N/A"),"N/A",F7/AB7-1)</f>
        <v>N/A</v>
      </c>
      <c r="AE7" s="41" t="s">
        <v>259</v>
      </c>
    </row>
    <row r="8" customFormat="false" ht="63.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257</v>
      </c>
      <c r="K8" s="42" t="s">
        <v>257</v>
      </c>
      <c r="L8" s="42" t="s">
        <v>257</v>
      </c>
      <c r="M8" s="42" t="s">
        <v>257</v>
      </c>
      <c r="N8" s="42" t="s">
        <v>257</v>
      </c>
      <c r="O8" s="42" t="s">
        <v>257</v>
      </c>
      <c r="P8" s="42" t="s">
        <v>257</v>
      </c>
      <c r="Q8" s="42" t="s">
        <v>257</v>
      </c>
      <c r="R8" s="42" t="s">
        <v>257</v>
      </c>
      <c r="S8" s="42" t="s">
        <v>257</v>
      </c>
      <c r="T8" s="42" t="s">
        <v>257</v>
      </c>
      <c r="U8" s="42" t="s">
        <v>257</v>
      </c>
      <c r="V8" s="42" t="s">
        <v>257</v>
      </c>
      <c r="W8" s="42" t="s">
        <v>257</v>
      </c>
      <c r="X8" s="42" t="s">
        <v>257</v>
      </c>
      <c r="Y8" s="42" t="s">
        <v>257</v>
      </c>
      <c r="Z8" s="42"/>
      <c r="AA8" s="42"/>
      <c r="AB8" s="11" t="n">
        <f aca="false">IF(COUNT(I8,K8,M8,O8,Q8,S8,U8,W8,Y8,AA8)=0,"N/A",MIN(I8,K8,M8,O8,Q8,S8,U8,W8,Y8,AA8))</f>
        <v>152.718181818182</v>
      </c>
      <c r="AC8" s="43" t="n">
        <f aca="false">IF(OR(D8="",AB8="",AB8="N/A"),"N/A",D8/AB8-1)</f>
        <v>-0.708286207512352</v>
      </c>
      <c r="AD8" s="43" t="str">
        <f aca="false">IF(OR(F8="",AB8="",AB8="N/A"),"N/A",F8/AB8-1)</f>
        <v>N/A</v>
      </c>
      <c r="AE8" s="41" t="s">
        <v>259</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f aca="false">IF(COUNT(I9,K9,M9,O9,Q9,S9,U9,W9,Y9,AA9)=0,"N/A",MIN(I9,K9,M9,O9,Q9,S9,U9,W9,Y9,AA9))</f>
        <v>62.95</v>
      </c>
      <c r="AC9" s="43" t="n">
        <f aca="false">IF(OR(D9="",AB9="",AB9="N/A"),"N/A",D9/AB9-1)</f>
        <v>-0.2922954725973</v>
      </c>
      <c r="AD9" s="43" t="n">
        <f aca="false">IF(OR(F9="",AB9="",AB9="N/A"),"N/A",F9/AB9-1)</f>
        <v>-0.28285941223193</v>
      </c>
      <c r="AE9" s="41" t="s">
        <v>260</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f aca="false">IF(COUNT(I10,K10,M10,O10,Q10,S10,U10,W10,Y10,AA10)=0,"N/A",MIN(I10,K10,M10,O10,Q10,S10,U10,W10,Y10,AA10))</f>
        <v>74</v>
      </c>
      <c r="AC10" s="43" t="n">
        <f aca="false">IF(OR(D10="",AB10="",AB10="N/A"),"N/A",D10/AB10-1)</f>
        <v>-0.0593243243243243</v>
      </c>
      <c r="AD10" s="43" t="n">
        <f aca="false">IF(OR(F10="",AB10="",AB10="N/A"),"N/A",F10/AB10-1)</f>
        <v>-0.0467820945945947</v>
      </c>
      <c r="AE10" s="41" t="s">
        <v>261</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f aca="false">IF(COUNT(I11,K11,M11,O11,Q11,S11,U11,W11,Y11,AA11)=0,"N/A",MIN(I11,K11,M11,O11,Q11,S11,U11,W11,Y11,AA11))</f>
        <v>40.19</v>
      </c>
      <c r="AC11" s="43" t="n">
        <f aca="false">IF(OR(D11="",AB11="",AB11="N/A"),"N/A",D11/AB11-1)</f>
        <v>-0.168698681263996</v>
      </c>
      <c r="AD11" s="43" t="n">
        <f aca="false">IF(OR(F11="",AB11="",AB11="N/A"),"N/A",F11/AB11-1)</f>
        <v>-0.157613834287136</v>
      </c>
      <c r="AE11" s="41" t="s">
        <v>262</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f aca="false">IF(COUNT(I12,K12,M12,O12,Q12,S12,U12,W12,Y12,AA12)=0,"N/A",MIN(I12,K12,M12,O12,Q12,S12,U12,W12,Y12,AA12))</f>
        <v>70.36</v>
      </c>
      <c r="AC12" s="43" t="n">
        <f aca="false">IF(OR(D12="",AB12="",AB12="N/A"),"N/A",D12/AB12-1)</f>
        <v>-0.366827743035816</v>
      </c>
      <c r="AD12" s="43" t="n">
        <f aca="false">IF(OR(F12="",AB12="",AB12="N/A"),"N/A",F12/AB12-1)</f>
        <v>-0.358385446276293</v>
      </c>
      <c r="AE12" s="41" t="s">
        <v>263</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257</v>
      </c>
      <c r="W13" s="42" t="s">
        <v>257</v>
      </c>
      <c r="X13" s="11" t="n">
        <v>110.1</v>
      </c>
      <c r="Y13" s="11" t="n">
        <f aca="false">X13/1.1</f>
        <v>100.090909090909</v>
      </c>
      <c r="Z13" s="11" t="n">
        <v>44</v>
      </c>
      <c r="AA13" s="11" t="n">
        <f aca="false">Z13/1.1</f>
        <v>40</v>
      </c>
      <c r="AB13" s="11" t="n">
        <f aca="false">IF(COUNT(I13,K13,M13,O13,Q13,S13,U13,W13,Y13,AA13)=0,"N/A",MIN(I13,K13,M13,O13,Q13,S13,U13,W13,Y13,AA13))</f>
        <v>28.3545454545455</v>
      </c>
      <c r="AC13" s="43" t="n">
        <f aca="false">IF(OR(D13="",AB13="",AB13="N/A"),"N/A",D13/AB13-1)</f>
        <v>0.1782943251042</v>
      </c>
      <c r="AD13" s="43" t="n">
        <f aca="false">IF(OR(F13="",AB13="",AB13="N/A"),"N/A",F13/AB13-1)</f>
        <v>0.194006091696056</v>
      </c>
      <c r="AE13" s="41" t="s">
        <v>264</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f aca="false">IF(COUNT(I14,K14,M14,O14,Q14,S14,U14,W14,Y14,AA14)=0,"N/A",MIN(I14,K14,M14,O14,Q14,S14,U14,W14,Y14,AA14))</f>
        <v>43.09</v>
      </c>
      <c r="AC14" s="43" t="n">
        <f aca="false">IF(OR(D14="",AB14="",AB14="N/A"),"N/A",D14/AB14-1)</f>
        <v>-0.418426549083314</v>
      </c>
      <c r="AD14" s="43" t="n">
        <f aca="false">IF(OR(F14="",AB14="",AB14="N/A"),"N/A",F14/AB14-1)</f>
        <v>-0.410672429798097</v>
      </c>
      <c r="AE14" s="41" t="s">
        <v>265</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257</v>
      </c>
      <c r="K15" s="42" t="s">
        <v>257</v>
      </c>
      <c r="L15" s="42" t="s">
        <v>257</v>
      </c>
      <c r="M15" s="42" t="s">
        <v>257</v>
      </c>
      <c r="N15" s="42" t="s">
        <v>257</v>
      </c>
      <c r="O15" s="42" t="s">
        <v>257</v>
      </c>
      <c r="P15" s="42" t="s">
        <v>257</v>
      </c>
      <c r="Q15" s="42" t="s">
        <v>257</v>
      </c>
      <c r="R15" s="42" t="s">
        <v>257</v>
      </c>
      <c r="S15" s="42" t="s">
        <v>257</v>
      </c>
      <c r="T15" s="42" t="s">
        <v>257</v>
      </c>
      <c r="U15" s="42" t="s">
        <v>257</v>
      </c>
      <c r="V15" s="42" t="s">
        <v>257</v>
      </c>
      <c r="W15" s="42" t="s">
        <v>257</v>
      </c>
      <c r="X15" s="42" t="s">
        <v>257</v>
      </c>
      <c r="Y15" s="42" t="s">
        <v>257</v>
      </c>
      <c r="Z15" s="42"/>
      <c r="AA15" s="42"/>
      <c r="AB15" s="11" t="n">
        <f aca="false">IF(COUNT(I15,K15,M15,O15,Q15,S15,U15,W15,Y15,AA15)=0,"N/A",MIN(I15,K15,M15,O15,Q15,S15,U15,W15,Y15,AA15))</f>
        <v>29.9909090909091</v>
      </c>
      <c r="AC15" s="43" t="n">
        <f aca="false">IF(OR(D15="",AB15="",AB15="N/A"),"N/A",D15/AB15-1)</f>
        <v>-0.721582297665959</v>
      </c>
      <c r="AD15" s="43" t="n">
        <f aca="false">IF(OR(F15="",AB15="",AB15="N/A"),"N/A",F15/AB15-1)</f>
        <v>-0.717868672324947</v>
      </c>
      <c r="AE15" s="41" t="s">
        <v>266</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257</v>
      </c>
      <c r="K16" s="42" t="s">
        <v>257</v>
      </c>
      <c r="L16" s="42" t="s">
        <v>257</v>
      </c>
      <c r="M16" s="42" t="s">
        <v>257</v>
      </c>
      <c r="N16" s="42" t="s">
        <v>257</v>
      </c>
      <c r="O16" s="42" t="s">
        <v>257</v>
      </c>
      <c r="P16" s="42" t="s">
        <v>257</v>
      </c>
      <c r="Q16" s="42" t="s">
        <v>257</v>
      </c>
      <c r="R16" s="42" t="s">
        <v>257</v>
      </c>
      <c r="S16" s="42" t="s">
        <v>257</v>
      </c>
      <c r="T16" s="42" t="s">
        <v>257</v>
      </c>
      <c r="U16" s="42" t="s">
        <v>257</v>
      </c>
      <c r="V16" s="42" t="s">
        <v>257</v>
      </c>
      <c r="W16" s="42" t="s">
        <v>257</v>
      </c>
      <c r="X16" s="42" t="s">
        <v>257</v>
      </c>
      <c r="Y16" s="42" t="s">
        <v>257</v>
      </c>
      <c r="Z16" s="42"/>
      <c r="AA16" s="42"/>
      <c r="AB16" s="11" t="n">
        <f aca="false">IF(COUNT(I16,K16,M16,O16,Q16,S16,U16,W16,Y16,AA16)=0,"N/A",MIN(I16,K16,M16,O16,Q16,S16,U16,W16,Y16,AA16))</f>
        <v>40.9</v>
      </c>
      <c r="AC16" s="43" t="n">
        <f aca="false">IF(OR(D16="",AB16="",AB16="N/A"),"N/A",D16/AB16-1)</f>
        <v>-0.618826405867971</v>
      </c>
      <c r="AD16" s="43" t="n">
        <f aca="false">IF(OR(F16="",AB16="",AB16="N/A"),"N/A",F16/AB16-1)</f>
        <v>-0.613380195599022</v>
      </c>
      <c r="AE16" s="41" t="s">
        <v>267</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257</v>
      </c>
      <c r="K17" s="42" t="s">
        <v>257</v>
      </c>
      <c r="L17" s="42" t="s">
        <v>257</v>
      </c>
      <c r="M17" s="42" t="s">
        <v>257</v>
      </c>
      <c r="N17" s="42" t="s">
        <v>257</v>
      </c>
      <c r="O17" s="42" t="s">
        <v>257</v>
      </c>
      <c r="P17" s="42" t="s">
        <v>257</v>
      </c>
      <c r="Q17" s="42" t="s">
        <v>257</v>
      </c>
      <c r="R17" s="42" t="s">
        <v>257</v>
      </c>
      <c r="S17" s="42" t="s">
        <v>257</v>
      </c>
      <c r="T17" s="42" t="s">
        <v>257</v>
      </c>
      <c r="U17" s="42" t="s">
        <v>257</v>
      </c>
      <c r="V17" s="42" t="s">
        <v>257</v>
      </c>
      <c r="W17" s="42" t="s">
        <v>257</v>
      </c>
      <c r="X17" s="42" t="s">
        <v>257</v>
      </c>
      <c r="Y17" s="42" t="s">
        <v>257</v>
      </c>
      <c r="Z17" s="42"/>
      <c r="AA17" s="42"/>
      <c r="AB17" s="11" t="n">
        <f aca="false">IF(COUNT(I17,K17,M17,O17,Q17,S17,U17,W17,Y17,AA17)=0,"N/A",MIN(I17,K17,M17,O17,Q17,S17,U17,W17,Y17,AA17))</f>
        <v>29.9909090909091</v>
      </c>
      <c r="AC17" s="43" t="n">
        <f aca="false">IF(OR(D17="",AB17="",AB17="N/A"),"N/A",D17/AB17-1)</f>
        <v>-0.721582297665959</v>
      </c>
      <c r="AD17" s="43" t="n">
        <f aca="false">IF(OR(F17="",AB17="",AB17="N/A"),"N/A",F17/AB17-1)</f>
        <v>-0.717868672324947</v>
      </c>
      <c r="AE17" s="41" t="s">
        <v>268</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257</v>
      </c>
      <c r="K18" s="42" t="s">
        <v>257</v>
      </c>
      <c r="L18" s="42" t="s">
        <v>257</v>
      </c>
      <c r="M18" s="42" t="s">
        <v>257</v>
      </c>
      <c r="N18" s="42" t="s">
        <v>257</v>
      </c>
      <c r="O18" s="42" t="s">
        <v>257</v>
      </c>
      <c r="P18" s="11" t="n">
        <v>57</v>
      </c>
      <c r="Q18" s="11" t="n">
        <v>51.82</v>
      </c>
      <c r="R18" s="11" t="n">
        <v>74.8</v>
      </c>
      <c r="S18" s="11" t="n">
        <f aca="false">R18/1.1</f>
        <v>68</v>
      </c>
      <c r="T18" s="11" t="n">
        <v>41.13</v>
      </c>
      <c r="U18" s="11" t="n">
        <f aca="false">T18/1.1</f>
        <v>37.3909090909091</v>
      </c>
      <c r="V18" s="42" t="s">
        <v>257</v>
      </c>
      <c r="W18" s="42" t="s">
        <v>257</v>
      </c>
      <c r="X18" s="11" t="n">
        <v>110.1</v>
      </c>
      <c r="Y18" s="11" t="n">
        <f aca="false">X18/1.1</f>
        <v>100.090909090909</v>
      </c>
      <c r="Z18" s="42"/>
      <c r="AA18" s="42"/>
      <c r="AB18" s="11" t="n">
        <f aca="false">IF(COUNT(I18,K18,M18,O18,Q18,S18,U18,W18,Y18,AA18)=0,"N/A",MIN(I18,K18,M18,O18,Q18,S18,U18,W18,Y18,AA18))</f>
        <v>37.3909090909091</v>
      </c>
      <c r="AC18" s="43" t="n">
        <f aca="false">IF(OR(D18="",AB18="",AB18="N/A"),"N/A",D18/AB18-1)</f>
        <v>-0.205689277899344</v>
      </c>
      <c r="AD18" s="43" t="n">
        <f aca="false">IF(OR(F18="",AB18="",AB18="N/A"),"N/A",F18/AB18-1)</f>
        <v>-0.193774617067834</v>
      </c>
      <c r="AE18" s="41" t="s">
        <v>269</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s">
        <v>257</v>
      </c>
      <c r="M19" s="42" t="s">
        <v>257</v>
      </c>
      <c r="N19" s="11" t="n">
        <v>36.5</v>
      </c>
      <c r="O19" s="11" t="n">
        <f aca="false">N19/1.1</f>
        <v>33.1818181818182</v>
      </c>
      <c r="P19" s="11" t="n">
        <v>57</v>
      </c>
      <c r="Q19" s="11" t="n">
        <v>51.82</v>
      </c>
      <c r="R19" s="11" t="n">
        <v>74.8</v>
      </c>
      <c r="S19" s="11" t="n">
        <f aca="false">R19/1.1</f>
        <v>68</v>
      </c>
      <c r="T19" s="11" t="n">
        <v>31.19</v>
      </c>
      <c r="U19" s="11" t="n">
        <f aca="false">T19/1.1</f>
        <v>28.3545454545455</v>
      </c>
      <c r="V19" s="42" t="s">
        <v>257</v>
      </c>
      <c r="W19" s="42" t="s">
        <v>257</v>
      </c>
      <c r="X19" s="11" t="n">
        <v>110.1</v>
      </c>
      <c r="Y19" s="11" t="n">
        <f aca="false">X19/1.1</f>
        <v>100.090909090909</v>
      </c>
      <c r="Z19" s="42"/>
      <c r="AA19" s="42"/>
      <c r="AB19" s="11" t="n">
        <f aca="false">IF(COUNT(I19,K19,M19,O19,Q19,S19,U19,W19,Y19,AA19)=0,"N/A",MIN(I19,K19,M19,O19,Q19,S19,U19,W19,Y19,AA19))</f>
        <v>28.3545454545455</v>
      </c>
      <c r="AC19" s="43" t="n">
        <f aca="false">IF(OR(D19="",AB19="",AB19="N/A"),"N/A",D19/AB19-1)</f>
        <v>0.0474511061237577</v>
      </c>
      <c r="AD19" s="43" t="n">
        <f aca="false">IF(OR(F19="",AB19="",AB19="N/A"),"N/A",F19/AB19-1)</f>
        <v>0.0631628727156139</v>
      </c>
      <c r="AE19" s="41" t="s">
        <v>270</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257</v>
      </c>
      <c r="W20" s="42" t="s">
        <v>257</v>
      </c>
      <c r="X20" s="11" t="n">
        <v>26.77</v>
      </c>
      <c r="Y20" s="11" t="n">
        <f aca="false">X20/1.1</f>
        <v>24.3363636363636</v>
      </c>
      <c r="Z20" s="11" t="n">
        <v>49.78</v>
      </c>
      <c r="AA20" s="11" t="n">
        <f aca="false">Z20/1.1</f>
        <v>45.2545454545455</v>
      </c>
      <c r="AB20" s="11" t="n">
        <f aca="false">IF(COUNT(I20,K20,M20,O20,Q20,S20,U20,W20,Y20,AA20)=0,"N/A",MIN(I20,K20,M20,O20,Q20,S20,U20,W20,Y20,AA20))</f>
        <v>23.3090909090909</v>
      </c>
      <c r="AC20" s="43" t="n">
        <f aca="false">IF(OR(D20="",AB20="",AB20="N/A"),"N/A",D20/AB20-1)</f>
        <v>-0.28311232449298</v>
      </c>
      <c r="AD20" s="43" t="n">
        <f aca="false">IF(OR(F20="",AB20="",AB20="N/A"),"N/A",F20/AB20-1)</f>
        <v>-0.27355596723869</v>
      </c>
      <c r="AE20" s="41" t="s">
        <v>271</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s">
        <v>257</v>
      </c>
      <c r="S21" s="42" t="s">
        <v>257</v>
      </c>
      <c r="T21" s="11" t="n">
        <v>82.82</v>
      </c>
      <c r="U21" s="11" t="n">
        <f aca="false">T21/1.1</f>
        <v>75.2909090909091</v>
      </c>
      <c r="V21" s="42" t="s">
        <v>257</v>
      </c>
      <c r="W21" s="42" t="s">
        <v>257</v>
      </c>
      <c r="X21" s="11" t="n">
        <v>23.32</v>
      </c>
      <c r="Y21" s="11" t="n">
        <f aca="false">X21/1.1</f>
        <v>21.2</v>
      </c>
      <c r="Z21" s="42"/>
      <c r="AA21" s="42"/>
      <c r="AB21" s="11" t="n">
        <f aca="false">IF(COUNT(I21,K21,M21,O21,Q21,S21,U21,W21,Y21,AA21)=0,"N/A",MIN(I21,K21,M21,O21,Q21,S21,U21,W21,Y21,AA21))</f>
        <v>21.2</v>
      </c>
      <c r="AC21" s="43" t="n">
        <f aca="false">IF(OR(D21="",AB21="",AB21="N/A"),"N/A",D21/AB21-1)</f>
        <v>0.575943396226415</v>
      </c>
      <c r="AD21" s="43" t="n">
        <f aca="false">IF(OR(F21="",AB21="",AB21="N/A"),"N/A",F21/AB21-1)</f>
        <v>0.596957547169811</v>
      </c>
      <c r="AE21" s="41" t="s">
        <v>272</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257</v>
      </c>
      <c r="K22" s="42" t="s">
        <v>257</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257</v>
      </c>
      <c r="W22" s="42" t="s">
        <v>257</v>
      </c>
      <c r="X22" s="11" t="n">
        <v>23.32</v>
      </c>
      <c r="Y22" s="11" t="n">
        <f aca="false">X22/1.1</f>
        <v>21.2</v>
      </c>
      <c r="Z22" s="11" t="n">
        <v>48.85</v>
      </c>
      <c r="AA22" s="11" t="n">
        <f aca="false">Z22/1.1</f>
        <v>44.4090909090909</v>
      </c>
      <c r="AB22" s="11" t="n">
        <f aca="false">IF(COUNT(I22,K22,M22,O22,Q22,S22,U22,W22,Y22,AA22)=0,"N/A",MIN(I22,K22,M22,O22,Q22,S22,U22,W22,Y22,AA22))</f>
        <v>21.2</v>
      </c>
      <c r="AC22" s="43" t="n">
        <f aca="false">IF(OR(D22="",AB22="",AB22="N/A"),"N/A",D22/AB22-1)</f>
        <v>-0.442924528301887</v>
      </c>
      <c r="AD22" s="43" t="n">
        <f aca="false">IF(OR(F22="",AB22="",AB22="N/A"),"N/A",F22/AB22-1)</f>
        <v>-0.432417452830189</v>
      </c>
      <c r="AE22" s="41" t="s">
        <v>273</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257</v>
      </c>
      <c r="W23" s="42" t="s">
        <v>257</v>
      </c>
      <c r="X23" s="11" t="n">
        <v>23.32</v>
      </c>
      <c r="Y23" s="11" t="n">
        <f aca="false">X23/1.1</f>
        <v>21.2</v>
      </c>
      <c r="Z23" s="42"/>
      <c r="AA23" s="42"/>
      <c r="AB23" s="11" t="n">
        <f aca="false">IF(COUNT(I23,K23,M23,O23,Q23,S23,U23,W23,Y23,AA23)=0,"N/A",MIN(I23,K23,M23,O23,Q23,S23,U23,W23,Y23,AA23))</f>
        <v>21.2</v>
      </c>
      <c r="AC23" s="43" t="n">
        <f aca="false">IF(OR(D23="",AB23="",AB23="N/A"),"N/A",D23/AB23-1)</f>
        <v>-0.442924528301887</v>
      </c>
      <c r="AD23" s="43" t="n">
        <f aca="false">IF(OR(F23="",AB23="",AB23="N/A"),"N/A",F23/AB23-1)</f>
        <v>-0.432417452830189</v>
      </c>
      <c r="AE23" s="41" t="s">
        <v>274</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257</v>
      </c>
      <c r="K24" s="42" t="s">
        <v>257</v>
      </c>
      <c r="L24" s="42" t="s">
        <v>257</v>
      </c>
      <c r="M24" s="42" t="s">
        <v>257</v>
      </c>
      <c r="N24" s="42" t="s">
        <v>257</v>
      </c>
      <c r="O24" s="42" t="s">
        <v>257</v>
      </c>
      <c r="P24" s="42" t="s">
        <v>257</v>
      </c>
      <c r="Q24" s="42" t="s">
        <v>257</v>
      </c>
      <c r="R24" s="42" t="s">
        <v>257</v>
      </c>
      <c r="S24" s="42" t="s">
        <v>257</v>
      </c>
      <c r="T24" s="42" t="s">
        <v>257</v>
      </c>
      <c r="U24" s="42" t="s">
        <v>257</v>
      </c>
      <c r="V24" s="42" t="s">
        <v>257</v>
      </c>
      <c r="W24" s="42" t="s">
        <v>257</v>
      </c>
      <c r="X24" s="42" t="s">
        <v>257</v>
      </c>
      <c r="Y24" s="42" t="s">
        <v>257</v>
      </c>
      <c r="Z24" s="42"/>
      <c r="AA24" s="42"/>
      <c r="AB24" s="11" t="n">
        <f aca="false">IF(COUNT(I24,K24,M24,O24,Q24,S24,U24,W24,Y24,AA24)=0,"N/A",MIN(I24,K24,M24,O24,Q24,S24,U24,W24,Y24,AA24))</f>
        <v>34.5363636363636</v>
      </c>
      <c r="AC24" s="43" t="n">
        <f aca="false">IF(OR(D24="",AB24="",AB24="N/A"),"N/A",D24/AB24-1)</f>
        <v>-0.829165569886812</v>
      </c>
      <c r="AD24" s="43" t="n">
        <f aca="false">IF(OR(F24="",AB24="",AB24="N/A"),"N/A",F24/AB24-1)</f>
        <v>-0.825940708081074</v>
      </c>
      <c r="AE24" s="41" t="s">
        <v>268</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257</v>
      </c>
      <c r="K25" s="42" t="s">
        <v>257</v>
      </c>
      <c r="L25" s="42" t="s">
        <v>257</v>
      </c>
      <c r="M25" s="42" t="s">
        <v>257</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2"/>
      <c r="AA25" s="42"/>
      <c r="AB25" s="11" t="n">
        <f aca="false">IF(COUNT(I25,K25,M25,O25,Q25,S25,U25,W25,Y25,AA25)=0,"N/A",MIN(I25,K25,M25,O25,Q25,S25,U25,W25,Y25,AA25))</f>
        <v>9.35454545454545</v>
      </c>
      <c r="AC25" s="43" t="n">
        <f aca="false">IF(OR(D25="",AB25="",AB25="N/A"),"N/A",D25/AB25-1)</f>
        <v>0.262487852283771</v>
      </c>
      <c r="AD25" s="43" t="n">
        <f aca="false">IF(OR(F25="",AB25="",AB25="N/A"),"N/A",F25/AB25-1)</f>
        <v>0.28629980563654</v>
      </c>
      <c r="AE25" s="41" t="s">
        <v>275</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257</v>
      </c>
      <c r="K26" s="42" t="s">
        <v>257</v>
      </c>
      <c r="L26" s="42" t="s">
        <v>257</v>
      </c>
      <c r="M26" s="42" t="s">
        <v>257</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257</v>
      </c>
      <c r="W26" s="42" t="s">
        <v>257</v>
      </c>
      <c r="X26" s="11" t="n">
        <v>10.29</v>
      </c>
      <c r="Y26" s="11" t="n">
        <f aca="false">X26/1.1</f>
        <v>9.35454545454545</v>
      </c>
      <c r="Z26" s="11" t="n">
        <v>65.63</v>
      </c>
      <c r="AA26" s="11" t="n">
        <f aca="false">Z26/1.1</f>
        <v>59.6636363636364</v>
      </c>
      <c r="AB26" s="11" t="n">
        <f aca="false">IF(COUNT(I26,K26,M26,O26,Q26,S26,U26,W26,Y26,AA26)=0,"N/A",MIN(I26,K26,M26,O26,Q26,S26,U26,W26,Y26,AA26))</f>
        <v>9.35454545454545</v>
      </c>
      <c r="AC26" s="43" t="n">
        <f aca="false">IF(OR(D26="",AB26="",AB26="N/A"),"N/A",D26/AB26-1)</f>
        <v>0.262487852283771</v>
      </c>
      <c r="AD26" s="43" t="n">
        <f aca="false">IF(OR(F26="",AB26="",AB26="N/A"),"N/A",F26/AB26-1)</f>
        <v>0.28629980563654</v>
      </c>
      <c r="AE26" s="41" t="s">
        <v>258</v>
      </c>
    </row>
    <row r="27" customFormat="false" ht="108.75" hidden="false" customHeight="true" outlineLevel="0" collapsed="false">
      <c r="A27" s="1" t="s">
        <v>222</v>
      </c>
      <c r="B27" s="1" t="s">
        <v>276</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257</v>
      </c>
      <c r="K27" s="42" t="s">
        <v>257</v>
      </c>
      <c r="L27" s="42" t="s">
        <v>257</v>
      </c>
      <c r="M27" s="42" t="s">
        <v>257</v>
      </c>
      <c r="N27" s="11" t="n">
        <v>35.75</v>
      </c>
      <c r="O27" s="11" t="n">
        <f aca="false">N27/1.1</f>
        <v>32.5</v>
      </c>
      <c r="P27" s="11" t="n">
        <v>42.5</v>
      </c>
      <c r="Q27" s="11" t="n">
        <v>38.64</v>
      </c>
      <c r="R27" s="11" t="n">
        <v>27.5</v>
      </c>
      <c r="S27" s="11" t="n">
        <f aca="false">R27/1.1</f>
        <v>25</v>
      </c>
      <c r="T27" s="11" t="n">
        <v>30.11</v>
      </c>
      <c r="U27" s="11" t="n">
        <f aca="false">T27/1.1</f>
        <v>27.3727272727273</v>
      </c>
      <c r="V27" s="42" t="s">
        <v>257</v>
      </c>
      <c r="W27" s="42" t="s">
        <v>257</v>
      </c>
      <c r="X27" s="11" t="n">
        <v>23.32</v>
      </c>
      <c r="Y27" s="11" t="n">
        <f aca="false">X27/1.1</f>
        <v>21.2</v>
      </c>
      <c r="Z27" s="11" t="n">
        <v>49.78</v>
      </c>
      <c r="AA27" s="11" t="n">
        <f aca="false">Z27/1.1</f>
        <v>45.2545454545455</v>
      </c>
      <c r="AB27" s="11" t="n">
        <f aca="false">IF(COUNT(I27,K27,M27,O27,Q27,S27,U27,W27,Y27,AA27)=0,"N/A",MIN(I27,K27,M27,O27,Q27,S27,U27,W27,Y27,AA27))</f>
        <v>21.2</v>
      </c>
      <c r="AC27" s="43" t="n">
        <f aca="false">IF(OR(D27="",AB27="",AB27="N/A"),"N/A",D27/AB27-1)</f>
        <v>-0.442924528301887</v>
      </c>
      <c r="AD27" s="43" t="n">
        <f aca="false">IF(OR(F27="",AB27="",AB27="N/A"),"N/A",F27/AB27-1)</f>
        <v>-0.432417452830189</v>
      </c>
      <c r="AE27" s="41" t="s">
        <v>277</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257</v>
      </c>
      <c r="K28" s="42" t="s">
        <v>257</v>
      </c>
      <c r="L28" s="42" t="s">
        <v>257</v>
      </c>
      <c r="M28" s="42" t="s">
        <v>257</v>
      </c>
      <c r="N28" s="11" t="n">
        <v>35.75</v>
      </c>
      <c r="O28" s="11" t="n">
        <f aca="false">N28/1.1</f>
        <v>32.5</v>
      </c>
      <c r="P28" s="11" t="n">
        <v>57</v>
      </c>
      <c r="Q28" s="11" t="n">
        <v>51.82</v>
      </c>
      <c r="R28" s="11" t="n">
        <v>74.8</v>
      </c>
      <c r="S28" s="11" t="n">
        <f aca="false">R28/1.1</f>
        <v>68</v>
      </c>
      <c r="T28" s="11" t="n">
        <v>98.07</v>
      </c>
      <c r="U28" s="11" t="n">
        <f aca="false">T28/1.1</f>
        <v>89.1545454545454</v>
      </c>
      <c r="V28" s="42" t="s">
        <v>257</v>
      </c>
      <c r="W28" s="42" t="s">
        <v>257</v>
      </c>
      <c r="X28" s="11" t="n">
        <v>110.1</v>
      </c>
      <c r="Y28" s="11" t="n">
        <f aca="false">X28/1.1</f>
        <v>100.090909090909</v>
      </c>
      <c r="Z28" s="42"/>
      <c r="AA28" s="42"/>
      <c r="AB28" s="11" t="n">
        <f aca="false">IF(COUNT(I28,K28,M28,O28,Q28,S28,U28,W28,Y28,AA28)=0,"N/A",MIN(I28,K28,M28,O28,Q28,S28,U28,W28,Y28,AA28))</f>
        <v>32.5</v>
      </c>
      <c r="AC28" s="43" t="n">
        <f aca="false">IF(OR(D28="",AB28="",AB28="N/A"),"N/A",D28/AB28-1)</f>
        <v>0.0279999999999998</v>
      </c>
      <c r="AD28" s="43" t="n">
        <f aca="false">IF(OR(F28="",AB28="",AB28="N/A"),"N/A",F28/AB28-1)</f>
        <v>0.0417076923076922</v>
      </c>
      <c r="AE28" s="41" t="s">
        <v>278</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257</v>
      </c>
      <c r="W29" s="42" t="s">
        <v>257</v>
      </c>
      <c r="X29" s="11" t="n">
        <v>110.1</v>
      </c>
      <c r="Y29" s="11" t="n">
        <f aca="false">X29/1.1</f>
        <v>100.090909090909</v>
      </c>
      <c r="Z29" s="42"/>
      <c r="AA29" s="42"/>
      <c r="AB29" s="11" t="n">
        <f aca="false">IF(COUNT(I29,K29,M29,O29,Q29,S29,U29,W29,Y29,AA29)=0,"N/A",MIN(I29,K29,M29,O29,Q29,S29,U29,W29,Y29,AA29))</f>
        <v>45</v>
      </c>
      <c r="AC29" s="43" t="n">
        <f aca="false">IF(OR(D29="",AB29="",AB29="N/A"),"N/A",D29/AB29-1)</f>
        <v>-0.257555555555556</v>
      </c>
      <c r="AD29" s="43" t="n">
        <f aca="false">IF(OR(F29="",AB29="",AB29="N/A"),"N/A",F29/AB29-1)</f>
        <v>-0.247655555555555</v>
      </c>
      <c r="AE29" s="41" t="s">
        <v>279</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257</v>
      </c>
      <c r="M30" s="42" t="s">
        <v>257</v>
      </c>
      <c r="N30" s="42" t="s">
        <v>257</v>
      </c>
      <c r="O30" s="42" t="s">
        <v>257</v>
      </c>
      <c r="P30" s="42" t="s">
        <v>257</v>
      </c>
      <c r="Q30" s="42" t="s">
        <v>257</v>
      </c>
      <c r="R30" s="11" t="n">
        <v>34.1</v>
      </c>
      <c r="S30" s="11" t="n">
        <f aca="false">R30/1.1</f>
        <v>31</v>
      </c>
      <c r="T30" s="11" t="n">
        <v>61.04</v>
      </c>
      <c r="U30" s="11" t="n">
        <f aca="false">T30/1.1</f>
        <v>55.4909090909091</v>
      </c>
      <c r="V30" s="11" t="n">
        <f aca="false">W30*1.1</f>
        <v>30.8</v>
      </c>
      <c r="W30" s="11" t="n">
        <v>28</v>
      </c>
      <c r="X30" s="42" t="s">
        <v>257</v>
      </c>
      <c r="Y30" s="42" t="s">
        <v>257</v>
      </c>
      <c r="Z30" s="42" t="s">
        <v>257</v>
      </c>
      <c r="AA30" s="42" t="s">
        <v>257</v>
      </c>
      <c r="AB30" s="11" t="n">
        <f aca="false">IF(COUNT(I30,K30,M30,O30,Q30,S30,U30,W30,Y30,AA30)=0,"N/A",MIN(I30,K30,M30,O30,Q30,S30,U30,W30,Y30,AA30))</f>
        <v>28</v>
      </c>
      <c r="AC30" s="43" t="n">
        <f aca="false">IF(OR(D30="",AB30="",AB30="N/A"),"N/A",D30/AB30-1)</f>
        <v>-0.533214285714286</v>
      </c>
      <c r="AD30" s="43" t="str">
        <f aca="false">IF(OR(F30="",AB30="",AB30="N/A"),"N/A",F30/AB30-1)</f>
        <v>N/A</v>
      </c>
      <c r="AE30" s="41" t="s">
        <v>280</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257</v>
      </c>
      <c r="K31" s="42" t="s">
        <v>257</v>
      </c>
      <c r="L31" s="42" t="s">
        <v>257</v>
      </c>
      <c r="M31" s="42" t="s">
        <v>257</v>
      </c>
      <c r="N31" s="42" t="s">
        <v>257</v>
      </c>
      <c r="O31" s="42" t="s">
        <v>257</v>
      </c>
      <c r="P31" s="42" t="s">
        <v>257</v>
      </c>
      <c r="Q31" s="42" t="s">
        <v>257</v>
      </c>
      <c r="R31" s="11" t="n">
        <v>34.1</v>
      </c>
      <c r="S31" s="11" t="n">
        <f aca="false">R31/1.1</f>
        <v>31</v>
      </c>
      <c r="T31" s="11" t="n">
        <v>47.14</v>
      </c>
      <c r="U31" s="11" t="n">
        <f aca="false">T31/1.1</f>
        <v>42.8545454545455</v>
      </c>
      <c r="V31" s="42" t="s">
        <v>257</v>
      </c>
      <c r="W31" s="42" t="s">
        <v>257</v>
      </c>
      <c r="X31" s="11" t="n">
        <v>53.22</v>
      </c>
      <c r="Y31" s="11" t="n">
        <f aca="false">X31/1.1</f>
        <v>48.3818181818182</v>
      </c>
      <c r="Z31" s="42" t="s">
        <v>257</v>
      </c>
      <c r="AA31" s="42" t="s">
        <v>257</v>
      </c>
      <c r="AB31" s="11" t="n">
        <f aca="false">IF(COUNT(I31,K31,M31,O31,Q31,S31,U31,W31,Y31,AA31)=0,"N/A",MIN(I31,K31,M31,O31,Q31,S31,U31,W31,Y31,AA31))</f>
        <v>31</v>
      </c>
      <c r="AC31" s="43" t="n">
        <f aca="false">IF(OR(D31="",AB31="",AB31="N/A"),"N/A",D31/AB31-1)</f>
        <v>-0.578387096774194</v>
      </c>
      <c r="AD31" s="43" t="str">
        <f aca="false">IF(OR(F31="",AB31="",AB31="N/A"),"N/A",F31/AB31-1)</f>
        <v>N/A</v>
      </c>
      <c r="AE31" s="41" t="s">
        <v>281</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257</v>
      </c>
      <c r="M32" s="42" t="s">
        <v>257</v>
      </c>
      <c r="N32" s="42" t="s">
        <v>257</v>
      </c>
      <c r="O32" s="42" t="s">
        <v>257</v>
      </c>
      <c r="P32" s="42" t="s">
        <v>257</v>
      </c>
      <c r="Q32" s="42" t="s">
        <v>257</v>
      </c>
      <c r="R32" s="11" t="n">
        <v>34.1</v>
      </c>
      <c r="S32" s="11" t="n">
        <f aca="false">R32/1.1</f>
        <v>31</v>
      </c>
      <c r="T32" s="11" t="n">
        <v>86.85</v>
      </c>
      <c r="U32" s="11" t="n">
        <f aca="false">T32/1.1</f>
        <v>78.9545454545454</v>
      </c>
      <c r="V32" s="11" t="n">
        <f aca="false">W32*1.1</f>
        <v>56.65</v>
      </c>
      <c r="W32" s="11" t="n">
        <v>51.5</v>
      </c>
      <c r="X32" s="42" t="s">
        <v>257</v>
      </c>
      <c r="Y32" s="42" t="s">
        <v>257</v>
      </c>
      <c r="Z32" s="42" t="s">
        <v>257</v>
      </c>
      <c r="AA32" s="42" t="s">
        <v>257</v>
      </c>
      <c r="AB32" s="11" t="n">
        <f aca="false">IF(COUNT(I32,K32,M32,O32,Q32,S32,U32,W32,Y32,AA32)=0,"N/A",MIN(I32,K32,M32,O32,Q32,S32,U32,W32,Y32,AA32))</f>
        <v>31</v>
      </c>
      <c r="AC32" s="43" t="n">
        <f aca="false">IF(OR(D32="",AB32="",AB32="N/A"),"N/A",D32/AB32-1)</f>
        <v>-0.48258064516129</v>
      </c>
      <c r="AD32" s="43" t="str">
        <f aca="false">IF(OR(F32="",AB32="",AB32="N/A"),"N/A",F32/AB32-1)</f>
        <v>N/A</v>
      </c>
      <c r="AE32" s="41" t="s">
        <v>282</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257</v>
      </c>
      <c r="M33" s="42" t="s">
        <v>257</v>
      </c>
      <c r="N33" s="42" t="s">
        <v>257</v>
      </c>
      <c r="O33" s="42" t="s">
        <v>257</v>
      </c>
      <c r="P33" s="42" t="s">
        <v>257</v>
      </c>
      <c r="Q33" s="42" t="s">
        <v>257</v>
      </c>
      <c r="R33" s="11" t="n">
        <v>34.1</v>
      </c>
      <c r="S33" s="11" t="n">
        <f aca="false">R33/1.1</f>
        <v>31</v>
      </c>
      <c r="T33" s="11" t="n">
        <v>58.84</v>
      </c>
      <c r="U33" s="11" t="n">
        <f aca="false">T33/1.1</f>
        <v>53.4909090909091</v>
      </c>
      <c r="V33" s="42" t="s">
        <v>257</v>
      </c>
      <c r="W33" s="42" t="s">
        <v>257</v>
      </c>
      <c r="X33" s="11" t="n">
        <v>53.22</v>
      </c>
      <c r="Y33" s="11" t="n">
        <f aca="false">X33/1.1</f>
        <v>48.3818181818182</v>
      </c>
      <c r="Z33" s="42" t="s">
        <v>257</v>
      </c>
      <c r="AA33" s="42" t="s">
        <v>257</v>
      </c>
      <c r="AB33" s="11" t="n">
        <f aca="false">IF(COUNT(I33,K33,M33,O33,Q33,S33,U33,W33,Y33,AA33)=0,"N/A",MIN(I33,K33,M33,O33,Q33,S33,U33,W33,Y33,AA33))</f>
        <v>31</v>
      </c>
      <c r="AC33" s="43" t="n">
        <f aca="false">IF(OR(D33="",AB33="",AB33="N/A"),"N/A",D33/AB33-1)</f>
        <v>-0.48258064516129</v>
      </c>
      <c r="AD33" s="43" t="str">
        <f aca="false">IF(OR(F33="",AB33="",AB33="N/A"),"N/A",F33/AB33-1)</f>
        <v>N/A</v>
      </c>
      <c r="AE33" s="41" t="s">
        <v>283</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257</v>
      </c>
      <c r="M34" s="42" t="s">
        <v>257</v>
      </c>
      <c r="N34" s="42" t="s">
        <v>257</v>
      </c>
      <c r="O34" s="42" t="s">
        <v>257</v>
      </c>
      <c r="P34" s="42" t="s">
        <v>257</v>
      </c>
      <c r="Q34" s="42" t="s">
        <v>257</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257</v>
      </c>
      <c r="AA34" s="42" t="s">
        <v>257</v>
      </c>
      <c r="AB34" s="11" t="n">
        <f aca="false">IF(COUNT(I34,K34,M34,O34,Q34,S34,U34,W34,Y34,AA34)=0,"N/A",MIN(I34,K34,M34,O34,Q34,S34,U34,W34,Y34,AA34))</f>
        <v>31</v>
      </c>
      <c r="AC34" s="43" t="n">
        <f aca="false">IF(OR(D34="",AB34="",AB34="N/A"),"N/A",D34/AB34-1)</f>
        <v>-0.48258064516129</v>
      </c>
      <c r="AD34" s="43" t="str">
        <f aca="false">IF(OR(F34="",AB34="",AB34="N/A"),"N/A",F34/AB34-1)</f>
        <v>N/A</v>
      </c>
      <c r="AE34" s="41" t="s">
        <v>284</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257</v>
      </c>
      <c r="M35" s="42" t="s">
        <v>257</v>
      </c>
      <c r="N35" s="42" t="s">
        <v>257</v>
      </c>
      <c r="O35" s="42" t="s">
        <v>257</v>
      </c>
      <c r="P35" s="42" t="s">
        <v>257</v>
      </c>
      <c r="Q35" s="42" t="s">
        <v>257</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257</v>
      </c>
      <c r="AA35" s="42" t="s">
        <v>257</v>
      </c>
      <c r="AB35" s="11" t="n">
        <f aca="false">IF(COUNT(I35,K35,M35,O35,Q35,S35,U35,W35,Y35,AA35)=0,"N/A",MIN(I35,K35,M35,O35,Q35,S35,U35,W35,Y35,AA35))</f>
        <v>31</v>
      </c>
      <c r="AC35" s="43" t="n">
        <f aca="false">IF(OR(D35="",AB35="",AB35="N/A"),"N/A",D35/AB35-1)</f>
        <v>-0.48258064516129</v>
      </c>
      <c r="AD35" s="43" t="str">
        <f aca="false">IF(OR(F35="",AB35="",AB35="N/A"),"N/A",F35/AB35-1)</f>
        <v>N/A</v>
      </c>
      <c r="AE35" s="41" t="s">
        <v>285</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257</v>
      </c>
      <c r="M36" s="42" t="s">
        <v>257</v>
      </c>
      <c r="N36" s="11" t="n">
        <v>46.6</v>
      </c>
      <c r="O36" s="11" t="n">
        <f aca="false">N36/1.1</f>
        <v>42.3636363636364</v>
      </c>
      <c r="P36" s="42" t="s">
        <v>257</v>
      </c>
      <c r="Q36" s="42" t="s">
        <v>257</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257</v>
      </c>
      <c r="AA36" s="42" t="s">
        <v>257</v>
      </c>
      <c r="AB36" s="11" t="n">
        <f aca="false">IF(COUNT(I36,K36,M36,O36,Q36,S36,U36,W36,Y36,AA36)=0,"N/A",MIN(I36,K36,M36,O36,Q36,S36,U36,W36,Y36,AA36))</f>
        <v>31</v>
      </c>
      <c r="AC36" s="43" t="n">
        <f aca="false">IF(OR(D36="",AB36="",AB36="N/A"),"N/A",D36/AB36-1)</f>
        <v>-0.578387096774194</v>
      </c>
      <c r="AD36" s="43" t="str">
        <f aca="false">IF(OR(F36="",AB36="",AB36="N/A"),"N/A",F36/AB36-1)</f>
        <v>N/A</v>
      </c>
      <c r="AE36" s="41" t="s">
        <v>286</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257</v>
      </c>
      <c r="K37" s="42" t="s">
        <v>257</v>
      </c>
      <c r="L37" s="42" t="s">
        <v>257</v>
      </c>
      <c r="M37" s="42" t="s">
        <v>257</v>
      </c>
      <c r="N37" s="42" t="s">
        <v>257</v>
      </c>
      <c r="O37" s="42" t="s">
        <v>257</v>
      </c>
      <c r="P37" s="42" t="s">
        <v>257</v>
      </c>
      <c r="Q37" s="42" t="s">
        <v>257</v>
      </c>
      <c r="R37" s="11" t="n">
        <v>34.1</v>
      </c>
      <c r="S37" s="11" t="n">
        <f aca="false">R37/1.1</f>
        <v>31</v>
      </c>
      <c r="T37" s="11" t="n">
        <v>61.03</v>
      </c>
      <c r="U37" s="11" t="n">
        <f aca="false">T37/1.1</f>
        <v>55.4818181818182</v>
      </c>
      <c r="V37" s="11" t="n">
        <f aca="false">W37*1.1</f>
        <v>52.25</v>
      </c>
      <c r="W37" s="11" t="n">
        <v>47.5</v>
      </c>
      <c r="X37" s="42" t="s">
        <v>257</v>
      </c>
      <c r="Y37" s="42" t="s">
        <v>257</v>
      </c>
      <c r="Z37" s="42" t="s">
        <v>257</v>
      </c>
      <c r="AA37" s="42" t="s">
        <v>257</v>
      </c>
      <c r="AB37" s="11" t="n">
        <f aca="false">IF(COUNT(I37,K37,M37,O37,Q37,S37,U37,W37,Y37,AA37)=0,"N/A",MIN(I37,K37,M37,O37,Q37,S37,U37,W37,Y37,AA37))</f>
        <v>31</v>
      </c>
      <c r="AC37" s="43" t="n">
        <f aca="false">IF(OR(D37="",AB37="",AB37="N/A"),"N/A",D37/AB37-1)</f>
        <v>-0.48258064516129</v>
      </c>
      <c r="AD37" s="43" t="str">
        <f aca="false">IF(OR(F37="",AB37="",AB37="N/A"),"N/A",F37/AB37-1)</f>
        <v>N/A</v>
      </c>
      <c r="AE37" s="41" t="s">
        <v>287</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257</v>
      </c>
      <c r="M38" s="42" t="s">
        <v>257</v>
      </c>
      <c r="N38" s="42" t="s">
        <v>257</v>
      </c>
      <c r="O38" s="42" t="s">
        <v>257</v>
      </c>
      <c r="P38" s="42" t="s">
        <v>257</v>
      </c>
      <c r="Q38" s="42" t="s">
        <v>257</v>
      </c>
      <c r="R38" s="11" t="n">
        <v>34.1</v>
      </c>
      <c r="S38" s="11" t="n">
        <f aca="false">R38/1.1</f>
        <v>31</v>
      </c>
      <c r="T38" s="11" t="n">
        <v>59.05</v>
      </c>
      <c r="U38" s="11" t="n">
        <f aca="false">T38/1.1</f>
        <v>53.6818181818182</v>
      </c>
      <c r="V38" s="42" t="s">
        <v>257</v>
      </c>
      <c r="W38" s="42" t="s">
        <v>257</v>
      </c>
      <c r="X38" s="11" t="n">
        <v>53.22</v>
      </c>
      <c r="Y38" s="11" t="n">
        <f aca="false">X38/1.1</f>
        <v>48.3818181818182</v>
      </c>
      <c r="Z38" s="42" t="s">
        <v>257</v>
      </c>
      <c r="AA38" s="42" t="s">
        <v>257</v>
      </c>
      <c r="AB38" s="11" t="n">
        <f aca="false">IF(COUNT(I38,K38,M38,O38,Q38,S38,U38,W38,Y38,AA38)=0,"N/A",MIN(I38,K38,M38,O38,Q38,S38,U38,W38,Y38,AA38))</f>
        <v>31</v>
      </c>
      <c r="AC38" s="43" t="n">
        <f aca="false">IF(OR(D38="",AB38="",AB38="N/A"),"N/A",D38/AB38-1)</f>
        <v>-0.578387096774194</v>
      </c>
      <c r="AD38" s="43" t="str">
        <f aca="false">IF(OR(F38="",AB38="",AB38="N/A"),"N/A",F38/AB38-1)</f>
        <v>N/A</v>
      </c>
      <c r="AE38" s="41" t="s">
        <v>288</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257</v>
      </c>
      <c r="M39" s="42" t="s">
        <v>257</v>
      </c>
      <c r="N39" s="11" t="n">
        <v>115.9</v>
      </c>
      <c r="O39" s="11" t="n">
        <f aca="false">N39/1.1</f>
        <v>105.363636363636</v>
      </c>
      <c r="P39" s="42" t="s">
        <v>257</v>
      </c>
      <c r="Q39" s="42" t="s">
        <v>257</v>
      </c>
      <c r="R39" s="11" t="n">
        <v>34.1</v>
      </c>
      <c r="S39" s="11" t="n">
        <f aca="false">R39/1.1</f>
        <v>31</v>
      </c>
      <c r="T39" s="11" t="n">
        <v>61.04</v>
      </c>
      <c r="U39" s="11" t="n">
        <f aca="false">T39/1.1</f>
        <v>55.4909090909091</v>
      </c>
      <c r="V39" s="42" t="s">
        <v>257</v>
      </c>
      <c r="W39" s="42" t="s">
        <v>257</v>
      </c>
      <c r="X39" s="11" t="n">
        <v>124.21</v>
      </c>
      <c r="Y39" s="11" t="n">
        <f aca="false">X39/1.1</f>
        <v>112.918181818182</v>
      </c>
      <c r="Z39" s="42" t="s">
        <v>257</v>
      </c>
      <c r="AA39" s="42" t="s">
        <v>257</v>
      </c>
      <c r="AB39" s="11" t="n">
        <f aca="false">IF(COUNT(I39,K39,M39,O39,Q39,S39,U39,W39,Y39,AA39)=0,"N/A",MIN(I39,K39,M39,O39,Q39,S39,U39,W39,Y39,AA39))</f>
        <v>31</v>
      </c>
      <c r="AC39" s="43" t="n">
        <f aca="false">IF(OR(D39="",AB39="",AB39="N/A"),"N/A",D39/AB39-1)</f>
        <v>-0.578387096774194</v>
      </c>
      <c r="AD39" s="43" t="str">
        <f aca="false">IF(OR(F39="",AB39="",AB39="N/A"),"N/A",F39/AB39-1)</f>
        <v>N/A</v>
      </c>
      <c r="AE39" s="41" t="s">
        <v>289</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257</v>
      </c>
      <c r="M40" s="42" t="s">
        <v>257</v>
      </c>
      <c r="N40" s="11" t="n">
        <v>115.9</v>
      </c>
      <c r="O40" s="11" t="n">
        <f aca="false">N40/1.1</f>
        <v>105.363636363636</v>
      </c>
      <c r="P40" s="42" t="s">
        <v>257</v>
      </c>
      <c r="Q40" s="42" t="s">
        <v>257</v>
      </c>
      <c r="R40" s="11" t="n">
        <v>34.1</v>
      </c>
      <c r="S40" s="11" t="n">
        <f aca="false">R40/1.1</f>
        <v>31</v>
      </c>
      <c r="T40" s="11" t="n">
        <v>61.04</v>
      </c>
      <c r="U40" s="11" t="n">
        <f aca="false">T40/1.1</f>
        <v>55.4909090909091</v>
      </c>
      <c r="V40" s="42" t="s">
        <v>257</v>
      </c>
      <c r="W40" s="42" t="s">
        <v>257</v>
      </c>
      <c r="X40" s="11" t="n">
        <v>124.21</v>
      </c>
      <c r="Y40" s="11" t="n">
        <f aca="false">X40/1.1</f>
        <v>112.918181818182</v>
      </c>
      <c r="Z40" s="42" t="s">
        <v>257</v>
      </c>
      <c r="AA40" s="42" t="s">
        <v>257</v>
      </c>
      <c r="AB40" s="11" t="n">
        <f aca="false">IF(COUNT(I40,K40,M40,O40,Q40,S40,U40,W40,Y40,AA40)=0,"N/A",MIN(I40,K40,M40,O40,Q40,S40,U40,W40,Y40,AA40))</f>
        <v>31</v>
      </c>
      <c r="AC40" s="43" t="n">
        <f aca="false">IF(OR(D40="",AB40="",AB40="N/A"),"N/A",D40/AB40-1)</f>
        <v>-0.578387096774194</v>
      </c>
      <c r="AD40" s="43" t="str">
        <f aca="false">IF(OR(F40="",AB40="",AB40="N/A"),"N/A",F40/AB40-1)</f>
        <v>N/A</v>
      </c>
      <c r="AE40" s="41" t="s">
        <v>290</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257</v>
      </c>
      <c r="M41" s="42" t="s">
        <v>257</v>
      </c>
      <c r="N41" s="42" t="s">
        <v>257</v>
      </c>
      <c r="O41" s="42" t="s">
        <v>257</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257</v>
      </c>
      <c r="AA41" s="42" t="s">
        <v>257</v>
      </c>
      <c r="AB41" s="11" t="n">
        <f aca="false">IF(COUNT(I41,K41,M41,O41,Q41,S41,U41,W41,Y41,AA41)=0,"N/A",MIN(I41,K41,M41,O41,Q41,S41,U41,W41,Y41,AA41))</f>
        <v>31</v>
      </c>
      <c r="AC41" s="43" t="n">
        <f aca="false">IF(OR(D41="",AB41="",AB41="N/A"),"N/A",D41/AB41-1)</f>
        <v>-0.578387096774194</v>
      </c>
      <c r="AD41" s="43" t="str">
        <f aca="false">IF(OR(F41="",AB41="",AB41="N/A"),"N/A",F41/AB41-1)</f>
        <v>N/A</v>
      </c>
      <c r="AE41" s="41" t="s">
        <v>291</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257</v>
      </c>
      <c r="M42" s="42" t="s">
        <v>257</v>
      </c>
      <c r="N42" s="42" t="s">
        <v>257</v>
      </c>
      <c r="O42" s="42" t="s">
        <v>257</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257</v>
      </c>
      <c r="AA42" s="42" t="s">
        <v>257</v>
      </c>
      <c r="AB42" s="11" t="n">
        <f aca="false">IF(COUNT(I42,K42,M42,O42,Q42,S42,U42,W42,Y42,AA42)=0,"N/A",MIN(I42,K42,M42,O42,Q42,S42,U42,W42,Y42,AA42))</f>
        <v>31</v>
      </c>
      <c r="AC42" s="43" t="n">
        <f aca="false">IF(OR(D42="",AB42="",AB42="N/A"),"N/A",D42/AB42-1)</f>
        <v>-0.578387096774194</v>
      </c>
      <c r="AD42" s="43" t="str">
        <f aca="false">IF(OR(F42="",AB42="",AB42="N/A"),"N/A",F42/AB42-1)</f>
        <v>N/A</v>
      </c>
      <c r="AE42" s="41" t="s">
        <v>292</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257</v>
      </c>
      <c r="K43" s="42" t="s">
        <v>257</v>
      </c>
      <c r="L43" s="42" t="s">
        <v>257</v>
      </c>
      <c r="M43" s="42" t="s">
        <v>257</v>
      </c>
      <c r="N43" s="42" t="s">
        <v>257</v>
      </c>
      <c r="O43" s="42" t="s">
        <v>257</v>
      </c>
      <c r="P43" s="42" t="s">
        <v>257</v>
      </c>
      <c r="Q43" s="42" t="s">
        <v>257</v>
      </c>
      <c r="R43" s="42" t="s">
        <v>257</v>
      </c>
      <c r="S43" s="42" t="s">
        <v>257</v>
      </c>
      <c r="T43" s="42" t="s">
        <v>257</v>
      </c>
      <c r="U43" s="42" t="s">
        <v>257</v>
      </c>
      <c r="V43" s="42" t="s">
        <v>257</v>
      </c>
      <c r="W43" s="42" t="s">
        <v>257</v>
      </c>
      <c r="X43" s="42" t="s">
        <v>257</v>
      </c>
      <c r="Y43" s="42" t="s">
        <v>257</v>
      </c>
      <c r="Z43" s="42"/>
      <c r="AA43" s="42"/>
      <c r="AB43" s="11" t="n">
        <f aca="false">IF(COUNT(I43,K43,M43,O43,Q43,S43,U43,W43,Y43,AA43)=0,"N/A",MIN(I43,K43,M43,O43,Q43,S43,U43,W43,Y43,AA43))</f>
        <v>34.5363636363636</v>
      </c>
      <c r="AC43" s="43" t="n">
        <f aca="false">IF(OR(D43="",AB43="",AB43="N/A"),"N/A",D43/AB43-1)</f>
        <v>-0.84509081337194</v>
      </c>
      <c r="AD43" s="43" t="str">
        <f aca="false">IF(OR(F43="",AB43="",AB43="N/A"),"N/A",F43/AB43-1)</f>
        <v>N/A</v>
      </c>
      <c r="AE43" s="41" t="s">
        <v>293</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257</v>
      </c>
      <c r="K44" s="42" t="s">
        <v>257</v>
      </c>
      <c r="L44" s="11" t="n">
        <v>34.67</v>
      </c>
      <c r="M44" s="11" t="n">
        <v>31.52</v>
      </c>
      <c r="N44" s="11" t="n">
        <v>42.5</v>
      </c>
      <c r="O44" s="11" t="n">
        <f aca="false">N44/1.1</f>
        <v>38.6363636363636</v>
      </c>
      <c r="P44" s="11" t="n">
        <v>24.2</v>
      </c>
      <c r="Q44" s="11" t="n">
        <v>22</v>
      </c>
      <c r="R44" s="42" t="s">
        <v>257</v>
      </c>
      <c r="S44" s="42" t="s">
        <v>257</v>
      </c>
      <c r="T44" s="11" t="n">
        <v>21.12</v>
      </c>
      <c r="U44" s="11" t="n">
        <f aca="false">T44/1.1</f>
        <v>19.2</v>
      </c>
      <c r="V44" s="42" t="s">
        <v>257</v>
      </c>
      <c r="W44" s="42" t="s">
        <v>257</v>
      </c>
      <c r="X44" s="11" t="n">
        <v>10.29</v>
      </c>
      <c r="Y44" s="11" t="n">
        <f aca="false">X44/1.1</f>
        <v>9.35454545454545</v>
      </c>
      <c r="Z44" s="11" t="n">
        <v>32.72</v>
      </c>
      <c r="AA44" s="11" t="n">
        <f aca="false">Z44/1.1</f>
        <v>29.7454545454545</v>
      </c>
      <c r="AB44" s="11" t="n">
        <f aca="false">IF(COUNT(I44,K44,M44,O44,Q44,S44,U44,W44,Y44,AA44)=0,"N/A",MIN(I44,K44,M44,O44,Q44,S44,U44,W44,Y44,AA44))</f>
        <v>9.35454545454545</v>
      </c>
      <c r="AC44" s="43" t="n">
        <f aca="false">IF(OR(D44="",AB44="",AB44="N/A"),"N/A",D44/AB44-1)</f>
        <v>-0.714577259475219</v>
      </c>
      <c r="AD44" s="43" t="str">
        <f aca="false">IF(OR(F44="",AB44="",AB44="N/A"),"N/A",F44/AB44-1)</f>
        <v>N/A</v>
      </c>
      <c r="AE44" s="41" t="s">
        <v>294</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257</v>
      </c>
      <c r="K45" s="42" t="s">
        <v>257</v>
      </c>
      <c r="L45" s="11" t="n">
        <v>39.58</v>
      </c>
      <c r="M45" s="11" t="n">
        <v>35.98</v>
      </c>
      <c r="N45" s="11" t="n">
        <v>42.5</v>
      </c>
      <c r="O45" s="11" t="n">
        <f aca="false">N45/1.1</f>
        <v>38.6363636363636</v>
      </c>
      <c r="P45" s="11" t="n">
        <v>51</v>
      </c>
      <c r="Q45" s="11" t="n">
        <v>46.36</v>
      </c>
      <c r="R45" s="11" t="n">
        <v>25.75</v>
      </c>
      <c r="S45" s="11" t="n">
        <f aca="false">R45/1.1</f>
        <v>23.4090909090909</v>
      </c>
      <c r="T45" s="42" t="s">
        <v>257</v>
      </c>
      <c r="U45" s="42" t="s">
        <v>257</v>
      </c>
      <c r="V45" s="11" t="n">
        <f aca="false">W45*1.1</f>
        <v>29.15</v>
      </c>
      <c r="W45" s="11" t="n">
        <v>26.5</v>
      </c>
      <c r="X45" s="42" t="s">
        <v>257</v>
      </c>
      <c r="Y45" s="42" t="s">
        <v>257</v>
      </c>
      <c r="Z45" s="42"/>
      <c r="AA45" s="42"/>
      <c r="AB45" s="11" t="n">
        <f aca="false">IF(COUNT(I45,K45,M45,O45,Q45,S45,U45,W45,Y45,AA45)=0,"N/A",MIN(I45,K45,M45,O45,Q45,S45,U45,W45,Y45,AA45))</f>
        <v>23.4090909090909</v>
      </c>
      <c r="AC45" s="43" t="n">
        <f aca="false">IF(OR(D45="",AB45="",AB45="N/A"),"N/A",D45/AB45-1)</f>
        <v>-0.543339805825243</v>
      </c>
      <c r="AD45" s="43" t="str">
        <f aca="false">IF(OR(F45="",AB45="",AB45="N/A"),"N/A",F45/AB45-1)</f>
        <v>N/A</v>
      </c>
      <c r="AE45" s="41" t="s">
        <v>295</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257</v>
      </c>
      <c r="K46" s="42" t="s">
        <v>257</v>
      </c>
      <c r="L46" s="42" t="s">
        <v>257</v>
      </c>
      <c r="M46" s="42" t="s">
        <v>257</v>
      </c>
      <c r="N46" s="42" t="s">
        <v>257</v>
      </c>
      <c r="O46" s="42" t="s">
        <v>257</v>
      </c>
      <c r="P46" s="42" t="s">
        <v>257</v>
      </c>
      <c r="Q46" s="42" t="s">
        <v>257</v>
      </c>
      <c r="R46" s="42" t="s">
        <v>257</v>
      </c>
      <c r="S46" s="42" t="s">
        <v>257</v>
      </c>
      <c r="T46" s="42" t="s">
        <v>257</v>
      </c>
      <c r="U46" s="42" t="s">
        <v>257</v>
      </c>
      <c r="V46" s="42" t="s">
        <v>257</v>
      </c>
      <c r="W46" s="42" t="s">
        <v>257</v>
      </c>
      <c r="X46" s="42" t="s">
        <v>257</v>
      </c>
      <c r="Y46" s="42" t="s">
        <v>257</v>
      </c>
      <c r="Z46" s="42"/>
      <c r="AA46" s="42"/>
      <c r="AB46" s="11" t="n">
        <f aca="false">IF(COUNT(I46,K46,M46,O46,Q46,S46,U46,W46,Y46,AA46)=0,"N/A",MIN(I46,K46,M46,O46,Q46,S46,U46,W46,Y46,AA46))</f>
        <v>22.7181818181818</v>
      </c>
      <c r="AC46" s="43" t="n">
        <f aca="false">IF(OR(D46="",AB46="",AB46="N/A"),"N/A",D46/AB46-1)</f>
        <v>-0.882472989195678</v>
      </c>
      <c r="AD46" s="43" t="str">
        <f aca="false">IF(OR(F46="",AB46="",AB46="N/A"),"N/A",F46/AB46-1)</f>
        <v>N/A</v>
      </c>
      <c r="AE46" s="41" t="s">
        <v>293</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257</v>
      </c>
      <c r="K47" s="42" t="s">
        <v>257</v>
      </c>
      <c r="L47" s="42" t="s">
        <v>257</v>
      </c>
      <c r="M47" s="42" t="s">
        <v>257</v>
      </c>
      <c r="N47" s="42" t="s">
        <v>257</v>
      </c>
      <c r="O47" s="42" t="s">
        <v>257</v>
      </c>
      <c r="P47" s="42" t="s">
        <v>257</v>
      </c>
      <c r="Q47" s="42" t="s">
        <v>257</v>
      </c>
      <c r="R47" s="42" t="s">
        <v>257</v>
      </c>
      <c r="S47" s="42" t="s">
        <v>257</v>
      </c>
      <c r="T47" s="42" t="s">
        <v>257</v>
      </c>
      <c r="U47" s="42" t="s">
        <v>257</v>
      </c>
      <c r="V47" s="42" t="s">
        <v>257</v>
      </c>
      <c r="W47" s="42" t="s">
        <v>257</v>
      </c>
      <c r="X47" s="42" t="s">
        <v>257</v>
      </c>
      <c r="Y47" s="42" t="s">
        <v>257</v>
      </c>
      <c r="Z47" s="42"/>
      <c r="AA47" s="42"/>
      <c r="AB47" s="11" t="n">
        <f aca="false">IF(COUNT(I47,K47,M47,O47,Q47,S47,U47,W47,Y47,AA47)=0,"N/A",MIN(I47,K47,M47,O47,Q47,S47,U47,W47,Y47,AA47))</f>
        <v>40.9</v>
      </c>
      <c r="AC47" s="43" t="n">
        <f aca="false">IF(OR(D47="",AB47="",AB47="N/A"),"N/A",D47/AB47-1)</f>
        <v>-0.767726161369193</v>
      </c>
      <c r="AD47" s="43" t="str">
        <f aca="false">IF(OR(F47="",AB47="",AB47="N/A"),"N/A",F47/AB47-1)</f>
        <v>N/A</v>
      </c>
      <c r="AE47" s="41" t="s">
        <v>293</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257</v>
      </c>
      <c r="K48" s="42" t="s">
        <v>257</v>
      </c>
      <c r="L48" s="42" t="s">
        <v>257</v>
      </c>
      <c r="M48" s="42" t="s">
        <v>257</v>
      </c>
      <c r="N48" s="42" t="s">
        <v>257</v>
      </c>
      <c r="O48" s="42" t="s">
        <v>257</v>
      </c>
      <c r="P48" s="42" t="s">
        <v>257</v>
      </c>
      <c r="Q48" s="42" t="s">
        <v>257</v>
      </c>
      <c r="R48" s="42" t="s">
        <v>257</v>
      </c>
      <c r="S48" s="42" t="s">
        <v>257</v>
      </c>
      <c r="T48" s="42" t="s">
        <v>257</v>
      </c>
      <c r="U48" s="42" t="s">
        <v>257</v>
      </c>
      <c r="V48" s="42" t="s">
        <v>257</v>
      </c>
      <c r="W48" s="42" t="s">
        <v>257</v>
      </c>
      <c r="X48" s="42" t="s">
        <v>257</v>
      </c>
      <c r="Y48" s="42" t="s">
        <v>257</v>
      </c>
      <c r="Z48" s="42"/>
      <c r="AA48" s="42"/>
      <c r="AB48" s="11" t="n">
        <f aca="false">IF(COUNT(I48,K48,M48,O48,Q48,S48,U48,W48,Y48,AA48)=0,"N/A",MIN(I48,K48,M48,O48,Q48,S48,U48,W48,Y48,AA48))</f>
        <v>40.9</v>
      </c>
      <c r="AC48" s="43" t="n">
        <f aca="false">IF(OR(D48="",AB48="",AB48="N/A"),"N/A",D48/AB48-1)</f>
        <v>-0.738630806845966</v>
      </c>
      <c r="AD48" s="43" t="str">
        <f aca="false">IF(OR(F48="",AB48="",AB48="N/A"),"N/A",F48/AB48-1)</f>
        <v>N/A</v>
      </c>
      <c r="AE48" s="41" t="s">
        <v>293</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257</v>
      </c>
      <c r="K49" s="42" t="s">
        <v>257</v>
      </c>
      <c r="L49" s="11" t="n">
        <v>34.67</v>
      </c>
      <c r="M49" s="11" t="n">
        <v>31.52</v>
      </c>
      <c r="N49" s="42" t="s">
        <v>257</v>
      </c>
      <c r="O49" s="42" t="s">
        <v>257</v>
      </c>
      <c r="P49" s="42" t="s">
        <v>257</v>
      </c>
      <c r="Q49" s="42" t="s">
        <v>257</v>
      </c>
      <c r="R49" s="11" t="n">
        <v>23</v>
      </c>
      <c r="S49" s="11" t="n">
        <f aca="false">R49/1.1</f>
        <v>20.9090909090909</v>
      </c>
      <c r="T49" s="11" t="n">
        <v>35.73</v>
      </c>
      <c r="U49" s="11" t="n">
        <f aca="false">T49/1.1</f>
        <v>32.4818181818182</v>
      </c>
      <c r="V49" s="11" t="n">
        <f aca="false">W49*1.1</f>
        <v>24.09</v>
      </c>
      <c r="W49" s="11" t="n">
        <v>21.9</v>
      </c>
      <c r="X49" s="42" t="s">
        <v>257</v>
      </c>
      <c r="Y49" s="42" t="s">
        <v>257</v>
      </c>
      <c r="Z49" s="42"/>
      <c r="AA49" s="42"/>
      <c r="AB49" s="11" t="n">
        <f aca="false">IF(COUNT(I49,K49,M49,O49,Q49,S49,U49,W49,Y49,AA49)=0,"N/A",MIN(I49,K49,M49,O49,Q49,S49,U49,W49,Y49,AA49))</f>
        <v>20.9090909090909</v>
      </c>
      <c r="AC49" s="43" t="n">
        <f aca="false">IF(OR(D49="",AB49="",AB49="N/A"),"N/A",D49/AB49-1)</f>
        <v>-0.744130434782609</v>
      </c>
      <c r="AD49" s="43" t="str">
        <f aca="false">IF(OR(F49="",AB49="",AB49="N/A"),"N/A",F49/AB49-1)</f>
        <v>N/A</v>
      </c>
      <c r="AE49" s="41" t="s">
        <v>296</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257</v>
      </c>
      <c r="K50" s="42" t="s">
        <v>257</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2"/>
      <c r="AA50" s="42"/>
      <c r="AB50" s="11" t="n">
        <f aca="false">IF(COUNT(I50,K50,M50,O50,Q50,S50,U50,W50,Y50,AA50)=0,"N/A",MIN(I50,K50,M50,O50,Q50,S50,U50,W50,Y50,AA50))</f>
        <v>9.35454545454545</v>
      </c>
      <c r="AC50" s="43" t="n">
        <f aca="false">IF(OR(D50="",AB50="",AB50="N/A"),"N/A",D50/AB50-1)</f>
        <v>-0.428085519922255</v>
      </c>
      <c r="AD50" s="43" t="str">
        <f aca="false">IF(OR(F50="",AB50="",AB50="N/A"),"N/A",F50/AB50-1)</f>
        <v>N/A</v>
      </c>
      <c r="AE50" s="41" t="s">
        <v>297</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257</v>
      </c>
      <c r="K51" s="42" t="s">
        <v>257</v>
      </c>
      <c r="L51" s="42" t="s">
        <v>257</v>
      </c>
      <c r="M51" s="42" t="s">
        <v>257</v>
      </c>
      <c r="N51" s="42" t="s">
        <v>257</v>
      </c>
      <c r="O51" s="42" t="s">
        <v>257</v>
      </c>
      <c r="P51" s="42" t="s">
        <v>257</v>
      </c>
      <c r="Q51" s="42" t="s">
        <v>257</v>
      </c>
      <c r="R51" s="42" t="s">
        <v>257</v>
      </c>
      <c r="S51" s="42" t="s">
        <v>257</v>
      </c>
      <c r="T51" s="42" t="s">
        <v>257</v>
      </c>
      <c r="U51" s="42" t="s">
        <v>257</v>
      </c>
      <c r="V51" s="42" t="s">
        <v>257</v>
      </c>
      <c r="W51" s="42" t="s">
        <v>257</v>
      </c>
      <c r="X51" s="42" t="s">
        <v>257</v>
      </c>
      <c r="Y51" s="42" t="s">
        <v>257</v>
      </c>
      <c r="Z51" s="42"/>
      <c r="AA51" s="42"/>
      <c r="AB51" s="11" t="n">
        <f aca="false">IF(COUNT(I51,K51,M51,O51,Q51,S51,U51,W51,Y51,AA51)=0,"N/A",MIN(I51,K51,M51,O51,Q51,S51,U51,W51,Y51,AA51))</f>
        <v>25.4454545454545</v>
      </c>
      <c r="AC51" s="43" t="n">
        <f aca="false">IF(OR(D51="",AB51="",AB51="N/A"),"N/A",D51/AB51-1)</f>
        <v>-0.895069667738478</v>
      </c>
      <c r="AD51" s="43" t="str">
        <f aca="false">IF(OR(F51="",AB51="",AB51="N/A"),"N/A",F51/AB51-1)</f>
        <v>N/A</v>
      </c>
      <c r="AE51" s="41" t="s">
        <v>293</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257</v>
      </c>
      <c r="K52" s="42" t="s">
        <v>257</v>
      </c>
      <c r="L52" s="42" t="s">
        <v>257</v>
      </c>
      <c r="M52" s="42" t="s">
        <v>257</v>
      </c>
      <c r="N52" s="42" t="s">
        <v>257</v>
      </c>
      <c r="O52" s="42" t="s">
        <v>257</v>
      </c>
      <c r="P52" s="42" t="s">
        <v>257</v>
      </c>
      <c r="Q52" s="42" t="s">
        <v>257</v>
      </c>
      <c r="R52" s="42" t="s">
        <v>257</v>
      </c>
      <c r="S52" s="42" t="s">
        <v>257</v>
      </c>
      <c r="T52" s="42" t="s">
        <v>257</v>
      </c>
      <c r="U52" s="42" t="s">
        <v>257</v>
      </c>
      <c r="V52" s="42" t="s">
        <v>257</v>
      </c>
      <c r="W52" s="42" t="s">
        <v>257</v>
      </c>
      <c r="X52" s="42" t="s">
        <v>257</v>
      </c>
      <c r="Y52" s="42" t="s">
        <v>257</v>
      </c>
      <c r="Z52" s="42"/>
      <c r="AA52" s="42"/>
      <c r="AB52" s="11" t="n">
        <f aca="false">IF(COUNT(I52,K52,M52,O52,Q52,S52,U52,W52,Y52,AA52)=0,"N/A",MIN(I52,K52,M52,O52,Q52,S52,U52,W52,Y52,AA52))</f>
        <v>40.9</v>
      </c>
      <c r="AC52" s="43" t="n">
        <f aca="false">IF(OR(D52="",AB52="",AB52="N/A"),"N/A",D52/AB52-1)</f>
        <v>-0.767726161369193</v>
      </c>
      <c r="AD52" s="43" t="str">
        <f aca="false">IF(OR(F52="",AB52="",AB52="N/A"),"N/A",F52/AB52-1)</f>
        <v>N/A</v>
      </c>
      <c r="AE52" s="41" t="s">
        <v>293</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257</v>
      </c>
      <c r="K53" s="42" t="s">
        <v>257</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257</v>
      </c>
      <c r="W53" s="42" t="s">
        <v>257</v>
      </c>
      <c r="X53" s="11" t="n">
        <v>10.29</v>
      </c>
      <c r="Y53" s="11" t="n">
        <f aca="false">X53/1.1</f>
        <v>9.35454545454545</v>
      </c>
      <c r="Z53" s="11" t="n">
        <v>61.33</v>
      </c>
      <c r="AA53" s="11" t="n">
        <f aca="false">Z53/1.1</f>
        <v>55.7545454545455</v>
      </c>
      <c r="AB53" s="11" t="n">
        <f aca="false">IF(COUNT(I53,K53,M53,O53,Q53,S53,U53,W53,Y53,AA53)=0,"N/A",MIN(I53,K53,M53,O53,Q53,S53,U53,W53,Y53,AA53))</f>
        <v>7.81818181818182</v>
      </c>
      <c r="AC53" s="43" t="n">
        <f aca="false">IF(OR(D53="",AB53="",AB53="N/A"),"N/A",D53/AB53-1)</f>
        <v>-0.744186046511628</v>
      </c>
      <c r="AD53" s="43" t="str">
        <f aca="false">IF(OR(F53="",AB53="",AB53="N/A"),"N/A",F53/AB53-1)</f>
        <v>N/A</v>
      </c>
      <c r="AE53" s="41" t="s">
        <v>298</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257</v>
      </c>
      <c r="K54" s="42" t="s">
        <v>257</v>
      </c>
      <c r="L54" s="42" t="s">
        <v>257</v>
      </c>
      <c r="M54" s="42" t="s">
        <v>257</v>
      </c>
      <c r="N54" s="42" t="s">
        <v>257</v>
      </c>
      <c r="O54" s="42" t="s">
        <v>257</v>
      </c>
      <c r="P54" s="42" t="s">
        <v>257</v>
      </c>
      <c r="Q54" s="42" t="s">
        <v>257</v>
      </c>
      <c r="R54" s="42" t="s">
        <v>257</v>
      </c>
      <c r="S54" s="42" t="s">
        <v>257</v>
      </c>
      <c r="T54" s="42" t="s">
        <v>257</v>
      </c>
      <c r="U54" s="42" t="s">
        <v>257</v>
      </c>
      <c r="V54" s="42" t="s">
        <v>257</v>
      </c>
      <c r="W54" s="42" t="s">
        <v>257</v>
      </c>
      <c r="X54" s="42" t="s">
        <v>257</v>
      </c>
      <c r="Y54" s="42" t="s">
        <v>257</v>
      </c>
      <c r="Z54" s="42"/>
      <c r="AA54" s="42"/>
      <c r="AB54" s="11" t="n">
        <f aca="false">IF(COUNT(I54,K54,M54,O54,Q54,S54,U54,W54,Y54,AA54)=0,"N/A",MIN(I54,K54,M54,O54,Q54,S54,U54,W54,Y54,AA54))</f>
        <v>29.9909090909091</v>
      </c>
      <c r="AC54" s="43" t="n">
        <f aca="false">IF(OR(D54="",AB54="",AB54="N/A"),"N/A",D54/AB54-1)</f>
        <v>-0.910973022127918</v>
      </c>
      <c r="AD54" s="43" t="str">
        <f aca="false">IF(OR(F54="",AB54="",AB54="N/A"),"N/A",F54/AB54-1)</f>
        <v>N/A</v>
      </c>
      <c r="AE54" s="41" t="s">
        <v>293</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257</v>
      </c>
      <c r="K55" s="42" t="s">
        <v>257</v>
      </c>
      <c r="L55" s="42" t="s">
        <v>257</v>
      </c>
      <c r="M55" s="42" t="s">
        <v>257</v>
      </c>
      <c r="N55" s="42" t="s">
        <v>257</v>
      </c>
      <c r="O55" s="42" t="s">
        <v>257</v>
      </c>
      <c r="P55" s="42" t="s">
        <v>257</v>
      </c>
      <c r="Q55" s="42" t="s">
        <v>257</v>
      </c>
      <c r="R55" s="42" t="s">
        <v>257</v>
      </c>
      <c r="S55" s="42" t="s">
        <v>257</v>
      </c>
      <c r="T55" s="42" t="s">
        <v>257</v>
      </c>
      <c r="U55" s="42" t="s">
        <v>257</v>
      </c>
      <c r="V55" s="42" t="s">
        <v>257</v>
      </c>
      <c r="W55" s="42" t="s">
        <v>257</v>
      </c>
      <c r="X55" s="42" t="s">
        <v>257</v>
      </c>
      <c r="Y55" s="42" t="s">
        <v>257</v>
      </c>
      <c r="Z55" s="42"/>
      <c r="AA55" s="42"/>
      <c r="AB55" s="11" t="n">
        <f aca="false">IF(COUNT(I55,K55,M55,O55,Q55,S55,U55,W55,Y55,AA55)=0,"N/A",MIN(I55,K55,M55,O55,Q55,S55,U55,W55,Y55,AA55))</f>
        <v>34.5363636363636</v>
      </c>
      <c r="AC55" s="43" t="n">
        <f aca="false">IF(OR(D55="",AB55="",AB55="N/A"),"N/A",D55/AB55-1)</f>
        <v>-0.883890497499342</v>
      </c>
      <c r="AD55" s="43" t="str">
        <f aca="false">IF(OR(F55="",AB55="",AB55="N/A"),"N/A",F55/AB55-1)</f>
        <v>N/A</v>
      </c>
      <c r="AE55" s="41" t="s">
        <v>293</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257</v>
      </c>
      <c r="K56" s="42" t="s">
        <v>257</v>
      </c>
      <c r="L56" s="42" t="s">
        <v>257</v>
      </c>
      <c r="M56" s="42" t="s">
        <v>257</v>
      </c>
      <c r="N56" s="42" t="s">
        <v>257</v>
      </c>
      <c r="O56" s="42" t="s">
        <v>257</v>
      </c>
      <c r="P56" s="42" t="s">
        <v>257</v>
      </c>
      <c r="Q56" s="42" t="s">
        <v>257</v>
      </c>
      <c r="R56" s="42" t="s">
        <v>257</v>
      </c>
      <c r="S56" s="42" t="s">
        <v>257</v>
      </c>
      <c r="T56" s="42" t="s">
        <v>257</v>
      </c>
      <c r="U56" s="42" t="s">
        <v>257</v>
      </c>
      <c r="V56" s="42" t="s">
        <v>257</v>
      </c>
      <c r="W56" s="42" t="s">
        <v>257</v>
      </c>
      <c r="X56" s="42" t="s">
        <v>257</v>
      </c>
      <c r="Y56" s="42" t="s">
        <v>257</v>
      </c>
      <c r="Z56" s="42"/>
      <c r="AA56" s="42"/>
      <c r="AB56" s="11" t="n">
        <f aca="false">IF(COUNT(I56,K56,M56,O56,Q56,S56,U56,W56,Y56,AA56)=0,"N/A",MIN(I56,K56,M56,O56,Q56,S56,U56,W56,Y56,AA56))</f>
        <v>34.5363636363636</v>
      </c>
      <c r="AC56" s="43" t="n">
        <f aca="false">IF(OR(D56="",AB56="",AB56="N/A"),"N/A",D56/AB56-1)</f>
        <v>-0.690471176625428</v>
      </c>
      <c r="AD56" s="43" t="str">
        <f aca="false">IF(OR(F56="",AB56="",AB56="N/A"),"N/A",F56/AB56-1)</f>
        <v>N/A</v>
      </c>
      <c r="AE56" s="41" t="s">
        <v>293</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257</v>
      </c>
      <c r="K57" s="42" t="s">
        <v>257</v>
      </c>
      <c r="L57" s="42" t="s">
        <v>257</v>
      </c>
      <c r="M57" s="42" t="s">
        <v>257</v>
      </c>
      <c r="N57" s="42" t="s">
        <v>257</v>
      </c>
      <c r="O57" s="42" t="s">
        <v>257</v>
      </c>
      <c r="P57" s="42" t="s">
        <v>257</v>
      </c>
      <c r="Q57" s="42" t="s">
        <v>257</v>
      </c>
      <c r="R57" s="42" t="s">
        <v>257</v>
      </c>
      <c r="S57" s="42" t="s">
        <v>257</v>
      </c>
      <c r="T57" s="42" t="s">
        <v>257</v>
      </c>
      <c r="U57" s="42" t="s">
        <v>257</v>
      </c>
      <c r="V57" s="42" t="s">
        <v>257</v>
      </c>
      <c r="W57" s="42" t="s">
        <v>257</v>
      </c>
      <c r="X57" s="42" t="s">
        <v>257</v>
      </c>
      <c r="Y57" s="42" t="s">
        <v>257</v>
      </c>
      <c r="Z57" s="42"/>
      <c r="AA57" s="42"/>
      <c r="AB57" s="11" t="n">
        <f aca="false">IF(COUNT(I57,K57,M57,O57,Q57,S57,U57,W57,Y57,AA57)=0,"N/A",MIN(I57,K57,M57,O57,Q57,S57,U57,W57,Y57,AA57))</f>
        <v>34.5363636363636</v>
      </c>
      <c r="AC57" s="43" t="n">
        <f aca="false">IF(OR(D57="",AB57="",AB57="N/A"),"N/A",D57/AB57-1)</f>
        <v>-0.690471176625428</v>
      </c>
      <c r="AD57" s="43" t="str">
        <f aca="false">IF(OR(F57="",AB57="",AB57="N/A"),"N/A",F57/AB57-1)</f>
        <v>N/A</v>
      </c>
      <c r="AE57" s="41" t="s">
        <v>293</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257</v>
      </c>
      <c r="K58" s="42" t="s">
        <v>257</v>
      </c>
      <c r="L58" s="42" t="s">
        <v>257</v>
      </c>
      <c r="M58" s="42" t="s">
        <v>257</v>
      </c>
      <c r="N58" s="42" t="s">
        <v>257</v>
      </c>
      <c r="O58" s="42" t="s">
        <v>257</v>
      </c>
      <c r="P58" s="42" t="s">
        <v>257</v>
      </c>
      <c r="Q58" s="42" t="s">
        <v>257</v>
      </c>
      <c r="R58" s="42" t="s">
        <v>257</v>
      </c>
      <c r="S58" s="42" t="s">
        <v>257</v>
      </c>
      <c r="T58" s="42" t="s">
        <v>257</v>
      </c>
      <c r="U58" s="42" t="s">
        <v>257</v>
      </c>
      <c r="V58" s="42" t="s">
        <v>257</v>
      </c>
      <c r="W58" s="42" t="s">
        <v>257</v>
      </c>
      <c r="X58" s="42" t="s">
        <v>257</v>
      </c>
      <c r="Y58" s="42" t="s">
        <v>257</v>
      </c>
      <c r="Z58" s="42"/>
      <c r="AA58" s="42"/>
      <c r="AB58" s="11" t="n">
        <f aca="false">IF(COUNT(I58,K58,M58,O58,Q58,S58,U58,W58,Y58,AA58)=0,"N/A",MIN(I58,K58,M58,O58,Q58,S58,U58,W58,Y58,AA58))</f>
        <v>40.9</v>
      </c>
      <c r="AC58" s="43" t="n">
        <f aca="false">IF(OR(D58="",AB58="",AB58="N/A"),"N/A",D58/AB58-1)</f>
        <v>-0.738630806845966</v>
      </c>
      <c r="AD58" s="43" t="str">
        <f aca="false">IF(OR(F58="",AB58="",AB58="N/A"),"N/A",F58/AB58-1)</f>
        <v>N/A</v>
      </c>
      <c r="AE58" s="41" t="s">
        <v>293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257</v>
      </c>
      <c r="K59" s="42" t="s">
        <v>257</v>
      </c>
      <c r="L59" s="42" t="s">
        <v>257</v>
      </c>
      <c r="M59" s="42" t="s">
        <v>257</v>
      </c>
      <c r="N59" s="42" t="s">
        <v>257</v>
      </c>
      <c r="O59" s="42" t="s">
        <v>257</v>
      </c>
      <c r="P59" s="42" t="s">
        <v>257</v>
      </c>
      <c r="Q59" s="42" t="s">
        <v>257</v>
      </c>
      <c r="R59" s="42" t="s">
        <v>257</v>
      </c>
      <c r="S59" s="42" t="s">
        <v>257</v>
      </c>
      <c r="T59" s="42" t="s">
        <v>257</v>
      </c>
      <c r="U59" s="42" t="s">
        <v>257</v>
      </c>
      <c r="V59" s="42" t="s">
        <v>257</v>
      </c>
      <c r="W59" s="42" t="s">
        <v>257</v>
      </c>
      <c r="X59" s="42" t="s">
        <v>257</v>
      </c>
      <c r="Y59" s="42" t="s">
        <v>257</v>
      </c>
      <c r="Z59" s="42"/>
      <c r="AA59" s="42"/>
      <c r="AB59" s="11" t="n">
        <f aca="false">IF(COUNT(I59,K59,M59,O59,Q59,S59,U59,W59,Y59,AA59)=0,"N/A",MIN(I59,K59,M59,O59,Q59,S59,U59,W59,Y59,AA59))</f>
        <v>29.9909090909091</v>
      </c>
      <c r="AC59" s="43" t="n">
        <f aca="false">IF(OR(D59="",AB59="",AB59="N/A"),"N/A",D59/AB59-1)</f>
        <v>-0.903637465898757</v>
      </c>
      <c r="AD59" s="43" t="str">
        <f aca="false">IF(OR(F59="",AB59="",AB59="N/A"),"N/A",F59/AB59-1)</f>
        <v>N/A</v>
      </c>
      <c r="AE59" s="41" t="s">
        <v>293</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257</v>
      </c>
      <c r="K60" s="42" t="s">
        <v>257</v>
      </c>
      <c r="L60" s="42" t="s">
        <v>257</v>
      </c>
      <c r="M60" s="42" t="s">
        <v>257</v>
      </c>
      <c r="N60" s="42" t="s">
        <v>257</v>
      </c>
      <c r="O60" s="42" t="s">
        <v>257</v>
      </c>
      <c r="P60" s="42" t="s">
        <v>257</v>
      </c>
      <c r="Q60" s="42" t="s">
        <v>257</v>
      </c>
      <c r="R60" s="42" t="s">
        <v>257</v>
      </c>
      <c r="S60" s="42" t="s">
        <v>257</v>
      </c>
      <c r="T60" s="42" t="s">
        <v>257</v>
      </c>
      <c r="U60" s="42" t="s">
        <v>257</v>
      </c>
      <c r="V60" s="42" t="s">
        <v>257</v>
      </c>
      <c r="W60" s="42" t="s">
        <v>257</v>
      </c>
      <c r="X60" s="42" t="s">
        <v>257</v>
      </c>
      <c r="Y60" s="42" t="s">
        <v>257</v>
      </c>
      <c r="Z60" s="42"/>
      <c r="AA60" s="42"/>
      <c r="AB60" s="11" t="n">
        <f aca="false">IF(COUNT(I60,K60,M60,O60,Q60,S60,U60,W60,Y60,AA60)=0,"N/A",MIN(I60,K60,M60,O60,Q60,S60,U60,W60,Y60,AA60))</f>
        <v>45.4454545454545</v>
      </c>
      <c r="AC60" s="43" t="n">
        <f aca="false">IF(OR(D60="",AB60="",AB60="N/A"),"N/A",D60/AB60-1)</f>
        <v>-0.957311462292458</v>
      </c>
      <c r="AD60" s="43" t="str">
        <f aca="false">IF(OR(F60="",AB60="",AB60="N/A"),"N/A",F60/AB60-1)</f>
        <v>N/A</v>
      </c>
      <c r="AE60" s="41" t="s">
        <v>293</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257</v>
      </c>
      <c r="K61" s="42" t="s">
        <v>257</v>
      </c>
      <c r="L61" s="42" t="s">
        <v>257</v>
      </c>
      <c r="M61" s="42" t="s">
        <v>257</v>
      </c>
      <c r="N61" s="42" t="s">
        <v>257</v>
      </c>
      <c r="O61" s="42" t="s">
        <v>257</v>
      </c>
      <c r="P61" s="42" t="s">
        <v>257</v>
      </c>
      <c r="Q61" s="42" t="s">
        <v>257</v>
      </c>
      <c r="R61" s="42" t="s">
        <v>257</v>
      </c>
      <c r="S61" s="42" t="s">
        <v>257</v>
      </c>
      <c r="T61" s="42" t="s">
        <v>257</v>
      </c>
      <c r="U61" s="42" t="s">
        <v>257</v>
      </c>
      <c r="V61" s="42" t="s">
        <v>257</v>
      </c>
      <c r="W61" s="42" t="s">
        <v>257</v>
      </c>
      <c r="X61" s="42" t="s">
        <v>257</v>
      </c>
      <c r="Y61" s="42" t="s">
        <v>257</v>
      </c>
      <c r="Z61" s="42"/>
      <c r="AA61" s="42"/>
      <c r="AB61" s="11" t="n">
        <f aca="false">IF(COUNT(I61,K61,M61,O61,Q61,S61,U61,W61,Y61,AA61)=0,"N/A",MIN(I61,K61,M61,O61,Q61,S61,U61,W61,Y61,AA61))</f>
        <v>45.4454545454545</v>
      </c>
      <c r="AC61" s="43" t="n">
        <f aca="false">IF(OR(D61="",AB61="",AB61="N/A"),"N/A",D61/AB61-1)</f>
        <v>-0.764772954590918</v>
      </c>
      <c r="AD61" s="43" t="str">
        <f aca="false">IF(OR(F61="",AB61="",AB61="N/A"),"N/A",F61/AB61-1)</f>
        <v>N/A</v>
      </c>
      <c r="AE61" s="41" t="s">
        <v>293</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257</v>
      </c>
      <c r="K62" s="42" t="s">
        <v>257</v>
      </c>
      <c r="L62" s="42" t="s">
        <v>257</v>
      </c>
      <c r="M62" s="42" t="s">
        <v>257</v>
      </c>
      <c r="N62" s="42" t="s">
        <v>257</v>
      </c>
      <c r="O62" s="42" t="s">
        <v>257</v>
      </c>
      <c r="P62" s="42" t="s">
        <v>257</v>
      </c>
      <c r="Q62" s="42" t="s">
        <v>257</v>
      </c>
      <c r="R62" s="42" t="s">
        <v>257</v>
      </c>
      <c r="S62" s="42" t="s">
        <v>257</v>
      </c>
      <c r="T62" s="42" t="s">
        <v>257</v>
      </c>
      <c r="U62" s="42" t="s">
        <v>257</v>
      </c>
      <c r="V62" s="42" t="s">
        <v>257</v>
      </c>
      <c r="W62" s="42" t="s">
        <v>257</v>
      </c>
      <c r="X62" s="42" t="s">
        <v>257</v>
      </c>
      <c r="Y62" s="42" t="s">
        <v>257</v>
      </c>
      <c r="Z62" s="42"/>
      <c r="AA62" s="42"/>
      <c r="AB62" s="11" t="n">
        <f aca="false">IF(COUNT(I62,K62,M62,O62,Q62,S62,U62,W62,Y62,AA62)=0,"N/A",MIN(I62,K62,M62,O62,Q62,S62,U62,W62,Y62,AA62))</f>
        <v>29.9909090909091</v>
      </c>
      <c r="AC62" s="43" t="n">
        <f aca="false">IF(OR(D62="",AB62="",AB62="N/A"),"N/A",D62/AB62-1)</f>
        <v>-0.893267656865717</v>
      </c>
      <c r="AD62" s="43" t="str">
        <f aca="false">IF(OR(F62="",AB62="",AB62="N/A"),"N/A",F62/AB62-1)</f>
        <v>N/A</v>
      </c>
      <c r="AE62" s="41" t="s">
        <v>293</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257</v>
      </c>
      <c r="K63" s="42" t="s">
        <v>257</v>
      </c>
      <c r="L63" s="42" t="s">
        <v>257</v>
      </c>
      <c r="M63" s="42" t="s">
        <v>257</v>
      </c>
      <c r="N63" s="42" t="s">
        <v>257</v>
      </c>
      <c r="O63" s="42" t="s">
        <v>257</v>
      </c>
      <c r="P63" s="42" t="s">
        <v>257</v>
      </c>
      <c r="Q63" s="42" t="s">
        <v>257</v>
      </c>
      <c r="R63" s="42" t="s">
        <v>257</v>
      </c>
      <c r="S63" s="42" t="s">
        <v>257</v>
      </c>
      <c r="T63" s="42" t="s">
        <v>257</v>
      </c>
      <c r="U63" s="42" t="s">
        <v>257</v>
      </c>
      <c r="V63" s="42" t="s">
        <v>257</v>
      </c>
      <c r="W63" s="42" t="s">
        <v>257</v>
      </c>
      <c r="X63" s="42" t="s">
        <v>257</v>
      </c>
      <c r="Y63" s="42" t="s">
        <v>257</v>
      </c>
      <c r="Z63" s="42"/>
      <c r="AA63" s="42"/>
      <c r="AB63" s="11" t="n">
        <f aca="false">IF(COUNT(I63,K63,M63,O63,Q63,S63,U63,W63,Y63,AA63)=0,"N/A",MIN(I63,K63,M63,O63,Q63,S63,U63,W63,Y63,AA63))</f>
        <v>29.9909090909091</v>
      </c>
      <c r="AC63" s="43" t="n">
        <f aca="false">IF(OR(D63="",AB63="",AB63="N/A"),"N/A",D63/AB63-1)</f>
        <v>-0.821612609881782</v>
      </c>
      <c r="AD63" s="43" t="str">
        <f aca="false">IF(OR(F63="",AB63="",AB63="N/A"),"N/A",F63/AB63-1)</f>
        <v>N/A</v>
      </c>
      <c r="AE63" s="41" t="s">
        <v>293</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257</v>
      </c>
      <c r="K64" s="42" t="s">
        <v>257</v>
      </c>
      <c r="L64" s="42" t="s">
        <v>257</v>
      </c>
      <c r="M64" s="42" t="s">
        <v>257</v>
      </c>
      <c r="N64" s="42" t="s">
        <v>257</v>
      </c>
      <c r="O64" s="42" t="s">
        <v>257</v>
      </c>
      <c r="P64" s="42" t="s">
        <v>257</v>
      </c>
      <c r="Q64" s="42" t="s">
        <v>257</v>
      </c>
      <c r="R64" s="42" t="s">
        <v>257</v>
      </c>
      <c r="S64" s="42" t="s">
        <v>257</v>
      </c>
      <c r="T64" s="42" t="s">
        <v>257</v>
      </c>
      <c r="U64" s="42" t="s">
        <v>257</v>
      </c>
      <c r="V64" s="42" t="s">
        <v>257</v>
      </c>
      <c r="W64" s="42" t="s">
        <v>257</v>
      </c>
      <c r="X64" s="42" t="s">
        <v>257</v>
      </c>
      <c r="Y64" s="42" t="s">
        <v>257</v>
      </c>
      <c r="Z64" s="42"/>
      <c r="AA64" s="42"/>
      <c r="AB64" s="11" t="n">
        <f aca="false">IF(COUNT(I64,K64,M64,O64,Q64,S64,U64,W64,Y64,AA64)=0,"N/A",MIN(I64,K64,M64,O64,Q64,S64,U64,W64,Y64,AA64))</f>
        <v>29.9909090909091</v>
      </c>
      <c r="AC64" s="43" t="n">
        <f aca="false">IF(OR(D64="",AB64="",AB64="N/A"),"N/A",D64/AB64-1)</f>
        <v>-0.910973022127918</v>
      </c>
      <c r="AD64" s="43" t="str">
        <f aca="false">IF(OR(F64="",AB64="",AB64="N/A"),"N/A",F64/AB64-1)</f>
        <v>N/A</v>
      </c>
      <c r="AE64" s="41" t="s">
        <v>293</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257</v>
      </c>
      <c r="K65" s="42" t="s">
        <v>257</v>
      </c>
      <c r="L65" s="42" t="s">
        <v>257</v>
      </c>
      <c r="M65" s="42" t="s">
        <v>257</v>
      </c>
      <c r="N65" s="11" t="n">
        <v>108.6</v>
      </c>
      <c r="O65" s="11" t="n">
        <f aca="false">N65/1.1</f>
        <v>98.7272727272727</v>
      </c>
      <c r="P65" s="42" t="s">
        <v>257</v>
      </c>
      <c r="Q65" s="42" t="s">
        <v>257</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f aca="false">IF(COUNT(I65,K65,M65,O65,Q65,S65,U65,W65,Y65,AA65)=0,"N/A",MIN(I65,K65,M65,O65,Q65,S65,U65,W65,Y65,AA65))</f>
        <v>27.2727272727273</v>
      </c>
      <c r="AC65" s="43" t="n">
        <f aca="false">IF(OR(D65="",AB65="",AB65="N/A"),"N/A",D65/AB65-1)</f>
        <v>-0.608033333333333</v>
      </c>
      <c r="AD65" s="43" t="str">
        <f aca="false">IF(OR(F65="",AB65="",AB65="N/A"),"N/A",F65/AB65-1)</f>
        <v>N/A</v>
      </c>
      <c r="AE65" s="41" t="s">
        <v>299</v>
      </c>
    </row>
    <row r="67" customFormat="false" ht="15" hidden="false" customHeight="true" outlineLevel="0" collapsed="false">
      <c r="A67" s="44" t="s">
        <v>226</v>
      </c>
    </row>
    <row r="68" customFormat="false" ht="15" hidden="false" customHeight="true" outlineLevel="0" collapsed="false">
      <c r="A68" s="35" t="s">
        <v>300</v>
      </c>
      <c r="B68" s="35"/>
      <c r="C68" s="35"/>
      <c r="D68" s="45" t="n">
        <f aca="false">COUNTA(B6:B65)</f>
        <v>60</v>
      </c>
    </row>
    <row r="69" customFormat="false" ht="15" hidden="false" customHeight="true" outlineLevel="0" collapsed="false">
      <c r="A69" s="35" t="s">
        <v>301</v>
      </c>
      <c r="B69" s="35"/>
      <c r="C69" s="35"/>
      <c r="D69" s="45" t="n">
        <f aca="false">COUNTIF(K6:K65,"&gt;0")+COUNTIF(M6:M65,"&gt;0")+COUNTIF(O6:O65,"&gt;0")+COUNTIF(Q6:Q65,"&gt;0")+COUNTIF(S6:S65,"&gt;0")+COUNTIF(U6:U65,"&gt;0")+COUNTIF(W6:W65,"&gt;0")+COUNTIF(Y6:Y65,"&gt;0")+COUNTIF(AA6:AA65,"&gt;0")</f>
        <v>222</v>
      </c>
    </row>
    <row r="70" customFormat="false" ht="15" hidden="false" customHeight="true" outlineLevel="0" collapsed="false">
      <c r="A70" s="35" t="s">
        <v>302</v>
      </c>
      <c r="B70" s="35"/>
      <c r="C70" s="35"/>
      <c r="D70" s="45" t="n">
        <f aca="false">COUNTIF(AC6:AC65,"&lt;0")</f>
        <v>53</v>
      </c>
    </row>
    <row r="71" customFormat="false" ht="15" hidden="false" customHeight="true" outlineLevel="0" collapsed="false">
      <c r="A71" s="35" t="s">
        <v>303</v>
      </c>
      <c r="B71" s="35"/>
      <c r="C71" s="35"/>
      <c r="D71" s="45" t="n">
        <f aca="false">COUNTIF(AC6:AC65,"&gt;0")</f>
        <v>7</v>
      </c>
    </row>
    <row r="72" customFormat="false" ht="15" hidden="false" customHeight="true" outlineLevel="0" collapsed="false">
      <c r="A72" s="35" t="s">
        <v>304</v>
      </c>
      <c r="B72" s="35"/>
      <c r="C72" s="35"/>
      <c r="D72" s="46" t="n">
        <f aca="false">AVERAGE(AC6:AC65)</f>
        <v>-0.502241855727076</v>
      </c>
    </row>
    <row r="73" customFormat="false" ht="15" hidden="false" customHeight="true" outlineLevel="0" collapsed="false">
      <c r="A73" s="35" t="s">
        <v>305</v>
      </c>
      <c r="B73" s="35"/>
      <c r="C73" s="35"/>
      <c r="D73" s="46" t="n">
        <f aca="false">MEDIAN(AC6:AC65)</f>
        <v>-0.578387096774194</v>
      </c>
    </row>
    <row r="74" customFormat="false" ht="15" hidden="false" customHeight="true" outlineLevel="0" collapsed="false">
      <c r="A74" s="35" t="s">
        <v>306</v>
      </c>
      <c r="B74" s="35"/>
      <c r="C74" s="35"/>
      <c r="D74" s="45" t="n">
        <f aca="false">COUNTIF(AD6:AD65,"&lt;0")</f>
        <v>15</v>
      </c>
    </row>
    <row r="75" customFormat="false" ht="15" hidden="false" customHeight="true" outlineLevel="0" collapsed="false">
      <c r="A75" s="35" t="s">
        <v>307</v>
      </c>
      <c r="B75" s="35"/>
      <c r="C75" s="35"/>
      <c r="D75" s="45" t="n">
        <f aca="false">COUNTIF(AD6:AD65,"&gt;0")</f>
        <v>7</v>
      </c>
    </row>
    <row r="76" customFormat="false" ht="15" hidden="false" customHeight="true" outlineLevel="0" collapsed="false">
      <c r="A76" s="35" t="s">
        <v>308</v>
      </c>
      <c r="B76" s="35"/>
      <c r="C76" s="35"/>
      <c r="D76" s="46" t="n">
        <f aca="false">AVERAGE(AD6:AD65)</f>
        <v>-0.175684855421017</v>
      </c>
    </row>
    <row r="77" customFormat="false" ht="15" hidden="false" customHeight="true" outlineLevel="0" collapsed="false">
      <c r="A77" s="35" t="s">
        <v>309</v>
      </c>
      <c r="B77" s="35"/>
      <c r="C77" s="35"/>
      <c r="D77" s="46"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2026-10-14T22:51:25Z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