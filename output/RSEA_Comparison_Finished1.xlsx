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<sst xmlns="http://schemas.openxmlformats.org/spreadsheetml/2006/main" count="1984" uniqueCount="341">
  <si>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</si>
  <si>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</si>
  <si>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</si>
  <si>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</si>
  <si>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</si>
  <si>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</si>
  <si>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</si>
  <si>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</si>
  <si>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</si>
  <si>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</si>
  <si>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</si>
  <si>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</si>
  <si>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</si>
  <si>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</si>
  <si>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</si>
  <si>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</si>
  <si>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</si>
  <si>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</si>
  <si>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</si>
  <si>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</si>
  <si>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</si>
  <si>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</si>
  <si>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</si>
  <si>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</si>
  <si>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</si>
  <si>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</si>
  <si>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</si>
  <si>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</si>
  <si>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</si>
  <si>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</si>
  <si>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</si>
  <si>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</si>
  <si>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</si>
  <si>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</si>
  <si>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</si>
  <si>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</si>
  <si>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</si>
  <si>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</si>
  <si>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</si>
  <si>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</si>
  <si>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</si>
  <si>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</si>
  <si>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</si>
  <si>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</si>
  <si>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</si>
  <si>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</si>
  <si>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</si>
  <si>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</si>
  <si>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</si>
  <si>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</si>
  <si>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</si>
  <si>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</si>
  <si>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</si>
  <si>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</si>
  <si>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</si>
  <si>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</si>
  <si>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</si>
  <si>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</si>
  <si>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</si>
  <si>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</si>
  <si>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</si>
  <si>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</si>
  <si>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</si>
  <si>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</si>
  <si>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</si>
  <si>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</si>
  <si>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</si>
  <si>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</si>
  <si>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</si>
  <si>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</si>
  <si>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</si>
  <si>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</si>
  <si>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</si>
  <si>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</si>
  <si>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</si>
  <si>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</si>
  <si>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</si>
  <si>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</si>
  <si>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</si>
  <si>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</si>
  <si>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</si>
  <si>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</si>
  <si>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</si>
  <si>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</si>
  <si>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</si>
  <si>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</si>
  <si>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</si>
  <si>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</si>
  <si>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</si>
  <si>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</si>
  <si>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</si>
  <si>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</si>
  <si>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</si>
  <si>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</si>
  <si>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</si>
  <si>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</si>
  <si>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</si>
  <si>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</si>
  <si>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</si>
  <si>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</si>
  <si>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</si>
  <si>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</si>
  <si>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</si>
  <si>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</si>
  <si>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</si>
  <si>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</si>
  <si>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</si>
  <si>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</si>
  <si>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</si>
  <si>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</si>
  <si>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</si>
  <si>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</si>
  <si>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</si>
  <si>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</si>
  <si>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</si>
  <si>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</si>
  <si>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</si>
  <si>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</si>
  <si>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</si>
  <si>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</si>
  <si>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</si>
  <si>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</si>
  <si>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</si>
  <si>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</si>
  <si>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</si>
  <si>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</si>
  <si>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</si>
  <si>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</si>
  <si>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</si>
  <si>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</si>
  <si>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</si>
  <si>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</si>
  <si>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</si>
  <si>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</si>
  <si>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</si>
  <si>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</si>
  <si>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</si>
  <si>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</si>
  <si>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</si>
  <si>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</si>
  <si>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</si>
  <si>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</si>
  <si>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</si>
  <si>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</si>
  <si>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</si>
  <si>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</si>
  <si>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</si>
  <si>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</si>
  <si>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</si>
  <si>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</si>
  <si>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</si>
  <si>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</si>
  <si>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</si>
  <si>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</si>
  <si>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</si>
  <si>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</si>
  <si>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</si>
  <si>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</si>
  <si>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</si>
  <si>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</si>
  <si>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</si>
  <si>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</si>
  <si>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</si>
  <si>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</si>
  <si>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</si>
  <si>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</si>
  <si>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</si>
  <si>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</si>
  <si>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</si>
  <si>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</si>
  <si>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</si>
  <si>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</si>
  <si>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</si>
  <si>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</si>
  <si>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</si>
  <si>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</si>
  <si>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</si>
  <si>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</si>
  <si>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</si>
  <si>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</si>
  <si>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</si>
  <si>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</si>
  <si>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</si>
  <si>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</si>
  <si>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</si>
  <si>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</si>
  <si>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</si>
  <si>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</si>
  <si>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</si>
  <si>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</si>
  <si>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</si>
  <si>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</si>
  <si>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</si>
  <si>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</si>
  <si>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</si>
  <si>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</si>
  <si>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</si>
  <si>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</si>
  <si>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</si>
  <si>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</si>
  <si>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</si>
  <si>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</si>
  <si>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</si>
  <si>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</si>
  <si>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</si>
  <si>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</si>
  <si>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</si>
  <si>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</si>
  <si>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</si>
  <si>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</si>
  <si>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</si>
  <si>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</si>
  <si>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</si>
  <si>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</si>
  <si>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</si>
  <si>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</si>
  <si>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</si>
  <si>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</si>
  <si>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</si>
  <si>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</si>
  <si>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</si>
  <si>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</si>
  <si>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</si>
  <si>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</si>
  <si>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</si>
  <si>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</si>
  <si>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</si>
  <si>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</si>
  <si>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</si>
  <si>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</si>
  <si>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</si>
  <si>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</si>
  <si>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9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</si>
  <si>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</si>
  <si>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Captured 14 October 2026.</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</si>
  <si>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</si>
  <si>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</si>
  <si>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</si>
  <si>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</si>
  <si>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</si>
  <si>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</si>
  <si>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</si>
  <si>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</si>
  <si>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</si>
  <si>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</si>
  <si>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</si>
  <si>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</si>
  <si>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</si>
  <si>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</si>
  <si>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</si>
  <si>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</si>
  <si>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t>
  </si>
  <si>
    <t xml:space="preserve">Seton
(ex GST)</t>
  </si>
  <si>
    <t xml:space="preserve">Cheapest of RSEA +
9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</si>
  <si>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</si>
  <si>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</si>
  <si>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</si>
  <si>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</si>
  <si>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</si>
  <si>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</si>
  <si>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</si>
  <si>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</si>
  <si>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</si>
  <si>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</si>
  <si>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</si>
  <si>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</si>
  <si>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</si>
  <si>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</si>
  <si>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</si>
  <si>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</si>
  <si>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</si>
  <si>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</si>
  <si>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</si>
  <si>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</si>
  <si>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</si>
  <si>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</si>
  <si>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</si>
  <si>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</si>
  <si>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</si>
  <si>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</si>
  <si>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</si>
  <si>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</si>
  <si>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</si>
  <si>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</si>
  <si>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</si>
  <si>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</si>
  <si>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t>
  </si>
  <si>
    <t xml:space="preserve">Safety Signs Australia: 300x1200, 6mm Corflute - exact match | SafetyXpress: 1200x300 corflute - exact match | Traffic Control Products: 1200x300, 'White on Blue' corflute MMS - exact match | National Safety Signs: Not found</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</si>
  <si>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</si>
  <si>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</si>
  <si>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</si>
  <si>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</si>
  <si>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t>
  </si>
  <si>
    <t xml:space="preserve">No comparable product found at any of the 9 researched retailers - likely generic site-safety signage outside their core road/traffic-sign range.</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</si>
  <si>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</si>
  <si>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</si>
  <si>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</si>
  <si>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</si>
  <si>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</si>
  <si>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n/a</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</si>
  <si>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t>
  </si>
  <si>
    <t xml:space="preserve">Items compared (60 total line items)</t>
  </si>
  <si>
    <t xml:space="preserve">Total numeric price points captured across these 9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</si>
  <si>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</si>
  <si>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</si>
  <si>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</si>
  <si>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</si>
  <si>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</si>
  <si>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</si>
  <si>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</si>
  <si>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</si>
  <si>
    <t xml:space="preserve">Summary — Closest-Priced Competitor &amp; Where We're More Expensive (1200 &amp; 1220 Stock)</t>
  </si>
  <si>
    <t xml:space="preserve">For each of our 60 line items: the competitor (or RSEA) whose ex-GST price is CLOSEST to our quoted price — this can be either above or below ours — shown separately for the 1200-stock and 1220-stock quoted prices, with the $ and % gap to that closest price. This is a different question from "cheapest": closest tells you who's most directly comparable to us in the market; cheapest (separately reported, see the two call-out sections below) tells you who undercuts us the most. Figures pulled from the 'Market Comparison' tab as of 15 October 2026 — re-run this summary if competitor prices there change. All $ / % figures compare ex-GST prices.</t>
  </si>
  <si>
    <t xml:space="preserve">Our Quoted Price
(ex GST, 1200 Stock)</t>
  </si>
  <si>
    <t xml:space="preserve">Closest-Priced
Competitor (1200)</t>
  </si>
  <si>
    <t xml:space="preserve">Their Price
(ex GST)</t>
  </si>
  <si>
    <t xml:space="preserve">$ Difference
(Them − Us)</t>
  </si>
  <si>
    <t xml:space="preserve">% Difference
(vs Our Price)</t>
  </si>
  <si>
    <t xml:space="preserve">Are We More
Expensive? (1200)</t>
  </si>
  <si>
    <t xml:space="preserve">Closest-Priced
Competitor (1220)</t>
  </si>
  <si>
    <t xml:space="preserve">Are We More
Expensive? (1220)</t>
  </si>
  <si>
    <t xml:space="preserve">eSafety Supplies</t>
  </si>
  <si>
    <t xml:space="preserve">No</t>
  </si>
  <si>
    <t xml:space="preserve">RSEA</t>
  </si>
  <si>
    <t xml:space="preserve">N/A — no 1220 price</t>
  </si>
  <si>
    <t xml:space="preserve">Seton</t>
  </si>
  <si>
    <t xml:space="preserve">Traffic Control Products</t>
  </si>
  <si>
    <t xml:space="preserve">HiVis</t>
  </si>
  <si>
    <t xml:space="preserve">All Trades Group</t>
  </si>
  <si>
    <t xml:space="preserve">Yes</t>
  </si>
  <si>
    <t xml:space="preserve">SafetyXpress</t>
  </si>
  <si>
    <t xml:space="preserve">Jaybro</t>
  </si>
  <si>
    <t xml:space="preserve">National Safety Signs</t>
  </si>
  <si>
    <t xml:space="preserve">Safety Signs Australia</t>
  </si>
  <si>
    <t xml:space="preserve">Items We're MORE EXPENSIVE On — 1200 Stock (7 of 60 items)</t>
  </si>
  <si>
    <t xml:space="preserve">Cheapest Alternative</t>
  </si>
  <si>
    <t xml:space="preserve">Their Price (ex GST)</t>
  </si>
  <si>
    <t xml:space="preserve">Our Price (ex GST)</t>
  </si>
  <si>
    <t xml:space="preserve">$ We're More Expensive By</t>
  </si>
  <si>
    <t xml:space="preserve">% We're More Expensive By</t>
  </si>
  <si>
    <t xml:space="preserve">Items We're MORE EXPENSIVE On — 1220 Stock (7 of 60 items)</t>
  </si>
</sst>
</file>

<file path=xl/styles.xml><?xml version="1.0" encoding="utf-8"?>
<styleSheet xmlns="http://schemas.openxmlformats.org/spreadsheetml/2006/main">
  <numFmts count="7">
    <numFmt numFmtId="164" formatCode="General"/>
    <numFmt numFmtId="165" formatCode="\$#,##0.00"/>
    <numFmt numFmtId="166" formatCode="\$#,##0.00_);[RED]&quot;($&quot;#,##0.00\)"/>
    <numFmt numFmtId="167" formatCode="0.0000"/>
    <numFmt numFmtId="168" formatCode="0.0%"/>
    <numFmt numFmtId="169" formatCode="0"/>
    <numFmt numFmtId="170" formatCode="\$#,##0.00"/>
  </numFmts>
  <fonts count="22">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sz val="10"/>
      <color rgb="FF595959"/>
      <name val="Calibri"/>
      <family val="2"/>
      <charset val="1"/>
    </font>
    <font>
      <i val="true"/>
      <sz val="11"/>
      <color rgb="FF9B9B9B"/>
      <name val="Calibri"/>
      <family val="2"/>
      <charset val="1"/>
    </font>
    <font>
      <sz val="11"/>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1"/>
      <color rgb="FFC00000"/>
      <name val="Calibri"/>
      <family val="0"/>
      <charset val="1"/>
    </font>
    <font>
      <sz val="11"/>
      <color rgb="FF1B7A4D"/>
      <name val="Calibri"/>
      <family val="0"/>
      <charset val="1"/>
    </font>
    <font>
      <b val="true"/>
      <sz val="13"/>
      <color rgb="FF17365D"/>
      <name val="Calibri"/>
      <family val="0"/>
      <charset val="1"/>
    </font>
  </fonts>
  <fills count="7">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FCC"/>
      </patternFill>
    </fill>
    <fill>
      <patternFill patternType="solid">
        <fgColor rgb="FFE2EFDA"/>
        <bgColor rgb="FFFFFFCC"/>
      </patternFill>
    </fill>
  </fills>
  <borders count="4">
    <border diagonalUp="false" diagonalDown="false">
      <left/>
      <right/>
      <top/>
      <bottom/>
      <diagonal/>
    </border>
    <border diagonalUp="false" diagonalDown="false">
      <left style="thin">
        <color theme="4" tint="0.3997"/>
      </left>
      <right/>
      <top style="thin">
        <color theme="4" tint="0.3997"/>
      </top>
      <bottom style="thin">
        <color theme="4" tint="0.3997"/>
      </bottom>
      <diagonal/>
    </border>
    <border diagonalUp="false" diagonalDown="false">
      <left/>
      <right/>
      <top style="thin">
        <color theme="4" tint="0.3997"/>
      </top>
      <bottom style="thin">
        <color theme="4" tint="0.3997"/>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8"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68" fontId="20"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B7A4D"/>
      <rgbColor rgb="FFBFBFBF"/>
      <rgbColor rgb="FF808080"/>
      <rgbColor rgb="FF9999FF"/>
      <rgbColor rgb="FF993366"/>
      <rgbColor rgb="FFFFFF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45B1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405720</xdr:colOff>
      <xdr:row>57</xdr:row>
      <xdr:rowOff>262080</xdr:rowOff>
    </xdr:to>
    <xdr:pic>
      <xdr:nvPicPr>
        <xdr:cNvPr id="0" name="Picture 1" descr=""/>
        <xdr:cNvPicPr/>
      </xdr:nvPicPr>
      <xdr:blipFill>
        <a:blip r:embed="rId1"/>
        <a:stretch/>
      </xdr:blipFill>
      <xdr:spPr>
        <a:xfrm>
          <a:off x="17428680" y="22115880"/>
          <a:ext cx="2193480" cy="233964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77"/>
  <sheetViews>
    <sheetView showFormulas="false" showGridLines="false" showRowColHeaders="true" showZeros="true" rightToLeft="false" tabSelected="true" showOutlineSymbols="true" defaultGridColor="true" view="normal" topLeftCell="A1" colorId="64" zoomScale="75" zoomScaleNormal="75" zoomScalePageLayoutView="100" workbookViewId="0">
      <pane xSplit="0" ySplit="5" topLeftCell="A8" activePane="bottomLeft" state="frozen"/>
      <selection pane="topLeft" activeCell="A1" activeCellId="0" sqref="A1"/>
      <selection pane="bottomLeft" activeCell="Z6" activeCellId="0" sqref="Z6"/>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27" min="4" style="1" width="13"/>
    <col collapsed="false" customWidth="true" hidden="false" outlineLevel="0" max="30" min="28" style="1" width="14"/>
    <col collapsed="false" customWidth="true" hidden="false" outlineLevel="0" max="31" min="31" style="1" width="50"/>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row>
    <row r="2" customFormat="false" ht="72" hidden="false" customHeight="true" outlineLevel="0" collapsed="false">
      <c r="A2" s="40" t="s">
        <v>233</v>
      </c>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row>
    <row r="3" customFormat="false" ht="72" hidden="false" customHeight="true" outlineLevel="0" collapsed="false">
      <c r="A3" s="40" t="s">
        <v>234</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row>
    <row r="5" customFormat="false" ht="102.75" hidden="false" customHeight="true" outlineLevel="0" collapsed="false">
      <c r="A5" s="25" t="s">
        <v>212</v>
      </c>
      <c r="B5" s="25" t="s">
        <v>0</v>
      </c>
      <c r="C5" s="25" t="s">
        <v>1</v>
      </c>
      <c r="D5" s="25" t="s">
        <v>215</v>
      </c>
      <c r="E5" s="25" t="s">
        <v>216</v>
      </c>
      <c r="F5" s="25" t="s">
        <v>217</v>
      </c>
      <c r="G5" s="25" t="s">
        <v>218</v>
      </c>
      <c r="H5" s="25" t="s">
        <v>213</v>
      </c>
      <c r="I5" s="25" t="s">
        <v>214</v>
      </c>
      <c r="J5" s="25" t="s">
        <v>235</v>
      </c>
      <c r="K5" s="25" t="s">
        <v>236</v>
      </c>
      <c r="L5" s="25" t="s">
        <v>237</v>
      </c>
      <c r="M5" s="25" t="s">
        <v>238</v>
      </c>
      <c r="N5" s="25" t="s">
        <v>239</v>
      </c>
      <c r="O5" s="25" t="s">
        <v>240</v>
      </c>
      <c r="P5" s="25" t="s">
        <v>241</v>
      </c>
      <c r="Q5" s="25" t="s">
        <v>242</v>
      </c>
      <c r="R5" s="25" t="s">
        <v>243</v>
      </c>
      <c r="S5" s="25" t="s">
        <v>244</v>
      </c>
      <c r="T5" s="25" t="s">
        <v>245</v>
      </c>
      <c r="U5" s="25" t="s">
        <v>246</v>
      </c>
      <c r="V5" s="25" t="s">
        <v>247</v>
      </c>
      <c r="W5" s="25" t="s">
        <v>248</v>
      </c>
      <c r="X5" s="25" t="s">
        <v>249</v>
      </c>
      <c r="Y5" s="25" t="s">
        <v>250</v>
      </c>
      <c r="Z5" s="25" t="s">
        <v>251</v>
      </c>
      <c r="AA5" s="25" t="s">
        <v>252</v>
      </c>
      <c r="AB5" s="25" t="s">
        <v>253</v>
      </c>
      <c r="AC5" s="25" t="s">
        <v>254</v>
      </c>
      <c r="AD5" s="25" t="s">
        <v>255</v>
      </c>
      <c r="AE5" s="25" t="s">
        <v>256</v>
      </c>
    </row>
    <row r="6" customFormat="false" ht="108.75" hidden="false" customHeight="true" outlineLevel="0" collapsed="false">
      <c r="A6" s="1" t="s">
        <v>222</v>
      </c>
      <c r="B6" s="1" t="s">
        <v>7</v>
      </c>
      <c r="C6" s="41" t="s">
        <v>8</v>
      </c>
      <c r="D6" s="11" t="n">
        <f aca="false">'RSEA vs Quoted Comparison'!F6</f>
        <v>16.71</v>
      </c>
      <c r="E6" s="11" t="n">
        <f aca="false">'RSEA vs Quoted Comparison'!G6</f>
        <v>18.381</v>
      </c>
      <c r="F6" s="11" t="n">
        <f aca="false">IF('RSEA vs Quoted Comparison'!H6="","",'RSEA vs Quoted Comparison'!H6)</f>
        <v>16.93275</v>
      </c>
      <c r="G6" s="11" t="n">
        <f aca="false">IF('RSEA vs Quoted Comparison'!I6="","",'RSEA vs Quoted Comparison'!I6)</f>
        <v>18.626025</v>
      </c>
      <c r="H6" s="11" t="n">
        <f aca="false">'RSEA vs Quoted Comparison'!D6</f>
        <v>42.99</v>
      </c>
      <c r="I6" s="11" t="n">
        <f aca="false">'RSEA vs Quoted Comparison'!E6</f>
        <v>39.0818181818182</v>
      </c>
      <c r="J6" s="42" t="s">
        <v>257</v>
      </c>
      <c r="K6" s="42" t="s">
        <v>257</v>
      </c>
      <c r="L6" s="42" t="s">
        <v>257</v>
      </c>
      <c r="M6" s="42" t="s">
        <v>257</v>
      </c>
      <c r="N6" s="11" t="n">
        <v>42.5</v>
      </c>
      <c r="O6" s="11" t="n">
        <f aca="false">N6/1.1</f>
        <v>38.6363636363636</v>
      </c>
      <c r="P6" s="11" t="n">
        <v>22.05</v>
      </c>
      <c r="Q6" s="11" t="n">
        <v>20.05</v>
      </c>
      <c r="R6" s="11" t="n">
        <v>30</v>
      </c>
      <c r="S6" s="11" t="n">
        <f aca="false">R6/1.1</f>
        <v>27.2727272727273</v>
      </c>
      <c r="T6" s="11" t="n">
        <v>31.19</v>
      </c>
      <c r="U6" s="11" t="n">
        <f aca="false">T6/1.1</f>
        <v>28.3545454545455</v>
      </c>
      <c r="V6" s="42" t="s">
        <v>257</v>
      </c>
      <c r="W6" s="42" t="s">
        <v>257</v>
      </c>
      <c r="X6" s="11" t="n">
        <v>10.29</v>
      </c>
      <c r="Y6" s="11" t="n">
        <f aca="false">X6/1.1</f>
        <v>9.35454545454545</v>
      </c>
      <c r="Z6" s="11" t="n">
        <v>65.63</v>
      </c>
      <c r="AA6" s="11" t="n">
        <f aca="false">Z6/1.1</f>
        <v>59.6636363636364</v>
      </c>
      <c r="AB6" s="11" t="n">
        <f aca="false">IF(COUNT(I6,K6,M6,O6,Q6,S6,U6,W6,Y6,AA6)=0,"N/A",MIN(I6,K6,M6,O6,Q6,S6,U6,W6,Y6,AA6))</f>
        <v>9.35454545454545</v>
      </c>
      <c r="AC6" s="43" t="n">
        <f aca="false">IF(OR(D6="",AB6="",AB6="N/A"),"N/A",D6/AB6-1)</f>
        <v>0.786297376093295</v>
      </c>
      <c r="AD6" s="43" t="n">
        <f aca="false">IF(OR(F6="",AB6="",AB6="N/A"),"N/A",F6/AB6-1)</f>
        <v>0.810109329446064</v>
      </c>
      <c r="AE6" s="41" t="s">
        <v>258</v>
      </c>
    </row>
    <row r="7" customFormat="false" ht="63.75" hidden="false" customHeight="true" outlineLevel="0" collapsed="false">
      <c r="A7" s="1" t="s">
        <v>222</v>
      </c>
      <c r="B7" s="1" t="s">
        <v>9</v>
      </c>
      <c r="C7" s="41" t="s">
        <v>10</v>
      </c>
      <c r="D7" s="11" t="n">
        <f aca="false">'RSEA vs Quoted Comparison'!F7</f>
        <v>66.83</v>
      </c>
      <c r="E7" s="11" t="n">
        <f aca="false">'RSEA vs Quoted Comparison'!G7</f>
        <v>73.513</v>
      </c>
      <c r="F7" s="44"/>
      <c r="G7" s="44"/>
      <c r="H7" s="11" t="n">
        <f aca="false">'RSEA vs Quoted Comparison'!D7</f>
        <v>134.99</v>
      </c>
      <c r="I7" s="11" t="n">
        <f aca="false">'RSEA vs Quoted Comparison'!E7</f>
        <v>122.718181818182</v>
      </c>
      <c r="J7" s="42" t="s">
        <v>257</v>
      </c>
      <c r="K7" s="42" t="s">
        <v>257</v>
      </c>
      <c r="L7" s="42" t="s">
        <v>257</v>
      </c>
      <c r="M7" s="42" t="s">
        <v>257</v>
      </c>
      <c r="N7" s="42" t="s">
        <v>257</v>
      </c>
      <c r="O7" s="42" t="s">
        <v>257</v>
      </c>
      <c r="P7" s="42" t="s">
        <v>257</v>
      </c>
      <c r="Q7" s="42" t="s">
        <v>257</v>
      </c>
      <c r="R7" s="42" t="s">
        <v>257</v>
      </c>
      <c r="S7" s="42" t="s">
        <v>257</v>
      </c>
      <c r="T7" s="42" t="s">
        <v>257</v>
      </c>
      <c r="U7" s="42" t="s">
        <v>257</v>
      </c>
      <c r="V7" s="42" t="s">
        <v>257</v>
      </c>
      <c r="W7" s="42" t="s">
        <v>257</v>
      </c>
      <c r="X7" s="42" t="s">
        <v>257</v>
      </c>
      <c r="Y7" s="42" t="s">
        <v>257</v>
      </c>
      <c r="Z7" s="45" t="n">
        <f aca="false">AA7*1.1</f>
        <v>141.625</v>
      </c>
      <c r="AA7" s="45" t="n">
        <v>128.75</v>
      </c>
      <c r="AB7" s="11" t="n">
        <f aca="false">IF(COUNT(I7,K7,M7,O7,Q7,S7,U7,W7,Y7,AA7)=0,"N/A",MIN(I7,K7,M7,O7,Q7,S7,U7,W7,Y7,AA7))</f>
        <v>122.718181818182</v>
      </c>
      <c r="AC7" s="43" t="n">
        <f aca="false">IF(OR(D7="",AB7="",AB7="N/A"),"N/A",D7/AB7-1)</f>
        <v>-0.455418919919994</v>
      </c>
      <c r="AD7" s="43" t="str">
        <f aca="false">IF(OR(F7="",AB7="",AB7="N/A"),"N/A",F7/AB7-1)</f>
        <v>N/A</v>
      </c>
      <c r="AE7" s="41" t="s">
        <v>259</v>
      </c>
    </row>
    <row r="8" customFormat="false" ht="97.5" hidden="false" customHeight="true" outlineLevel="0" collapsed="false">
      <c r="A8" s="1" t="s">
        <v>222</v>
      </c>
      <c r="B8" s="1" t="s">
        <v>11</v>
      </c>
      <c r="C8" s="41" t="s">
        <v>12</v>
      </c>
      <c r="D8" s="11" t="n">
        <f aca="false">'RSEA vs Quoted Comparison'!F8</f>
        <v>44.55</v>
      </c>
      <c r="E8" s="11" t="n">
        <f aca="false">'RSEA vs Quoted Comparison'!G8</f>
        <v>49.005</v>
      </c>
      <c r="F8" s="11" t="str">
        <f aca="false">IF('RSEA vs Quoted Comparison'!H8="","",'RSEA vs Quoted Comparison'!H8)</f>
        <v/>
      </c>
      <c r="G8" s="11" t="str">
        <f aca="false">IF('RSEA vs Quoted Comparison'!I8="","",'RSEA vs Quoted Comparison'!I8)</f>
        <v/>
      </c>
      <c r="H8" s="11" t="n">
        <f aca="false">'RSEA vs Quoted Comparison'!D8</f>
        <v>167.99</v>
      </c>
      <c r="I8" s="11" t="n">
        <f aca="false">'RSEA vs Quoted Comparison'!E8</f>
        <v>152.718181818182</v>
      </c>
      <c r="J8" s="42" t="s">
        <v>257</v>
      </c>
      <c r="K8" s="42" t="s">
        <v>257</v>
      </c>
      <c r="L8" s="42" t="s">
        <v>257</v>
      </c>
      <c r="M8" s="42" t="s">
        <v>257</v>
      </c>
      <c r="N8" s="42" t="s">
        <v>257</v>
      </c>
      <c r="O8" s="42" t="s">
        <v>257</v>
      </c>
      <c r="P8" s="42" t="s">
        <v>257</v>
      </c>
      <c r="Q8" s="42" t="s">
        <v>257</v>
      </c>
      <c r="R8" s="42" t="s">
        <v>257</v>
      </c>
      <c r="S8" s="42" t="s">
        <v>257</v>
      </c>
      <c r="T8" s="42" t="s">
        <v>257</v>
      </c>
      <c r="U8" s="42" t="s">
        <v>257</v>
      </c>
      <c r="V8" s="42" t="s">
        <v>257</v>
      </c>
      <c r="W8" s="42" t="s">
        <v>257</v>
      </c>
      <c r="X8" s="42" t="s">
        <v>257</v>
      </c>
      <c r="Y8" s="42" t="s">
        <v>257</v>
      </c>
      <c r="Z8" s="45" t="n">
        <f aca="false">AA8*1.1</f>
        <v>141.625</v>
      </c>
      <c r="AA8" s="45" t="n">
        <v>128.75</v>
      </c>
      <c r="AB8" s="11" t="n">
        <f aca="false">IF(COUNT(I8,K8,M8,O8,Q8,S8,U8,W8,Y8,AA8)=0,"N/A",MIN(I8,K8,M8,O8,Q8,S8,U8,W8,Y8,AA8))</f>
        <v>128.75</v>
      </c>
      <c r="AC8" s="43" t="n">
        <f aca="false">IF(OR(D8="",AB8="",AB8="N/A"),"N/A",D8/AB8-1)</f>
        <v>-0.653980582524272</v>
      </c>
      <c r="AD8" s="43" t="str">
        <f aca="false">IF(OR(F8="",AB8="",AB8="N/A"),"N/A",F8/AB8-1)</f>
        <v>N/A</v>
      </c>
      <c r="AE8" s="41" t="s">
        <v>259</v>
      </c>
    </row>
    <row r="9" customFormat="false" ht="153.75" hidden="false" customHeight="true" outlineLevel="0" collapsed="false">
      <c r="A9" s="1" t="s">
        <v>222</v>
      </c>
      <c r="B9" s="1" t="s">
        <v>13</v>
      </c>
      <c r="C9" s="41" t="s">
        <v>14</v>
      </c>
      <c r="D9" s="11" t="n">
        <f aca="false">'RSEA vs Quoted Comparison'!F9</f>
        <v>44.55</v>
      </c>
      <c r="E9" s="11" t="n">
        <f aca="false">'RSEA vs Quoted Comparison'!G9</f>
        <v>49.005</v>
      </c>
      <c r="F9" s="11" t="n">
        <f aca="false">IF('RSEA vs Quoted Comparison'!H9="","",'RSEA vs Quoted Comparison'!H9)</f>
        <v>45.144</v>
      </c>
      <c r="G9" s="11" t="n">
        <f aca="false">IF('RSEA vs Quoted Comparison'!I9="","",'RSEA vs Quoted Comparison'!I9)</f>
        <v>49.6584</v>
      </c>
      <c r="H9" s="11" t="n">
        <f aca="false">'RSEA vs Quoted Comparison'!D9</f>
        <v>147.99</v>
      </c>
      <c r="I9" s="11" t="n">
        <f aca="false">'RSEA vs Quoted Comparison'!E9</f>
        <v>134.536363636364</v>
      </c>
      <c r="J9" s="11" t="n">
        <f aca="false">K9*1.1</f>
        <v>71.038</v>
      </c>
      <c r="K9" s="11" t="n">
        <v>64.58</v>
      </c>
      <c r="L9" s="11" t="n">
        <v>93.25</v>
      </c>
      <c r="M9" s="11" t="n">
        <v>84.77</v>
      </c>
      <c r="N9" s="11" t="n">
        <v>99</v>
      </c>
      <c r="O9" s="11" t="n">
        <f aca="false">N9/1.1</f>
        <v>90</v>
      </c>
      <c r="P9" s="11" t="n">
        <v>77.4</v>
      </c>
      <c r="Q9" s="11" t="n">
        <v>70.36</v>
      </c>
      <c r="R9" s="11" t="n">
        <v>92.4</v>
      </c>
      <c r="S9" s="11" t="n">
        <f aca="false">R9/1.1</f>
        <v>84</v>
      </c>
      <c r="T9" s="11" t="n">
        <v>106.09</v>
      </c>
      <c r="U9" s="11" t="n">
        <f aca="false">T9/1.1</f>
        <v>96.4454545454545</v>
      </c>
      <c r="V9" s="11" t="n">
        <f aca="false">W9*1.1</f>
        <v>69.245</v>
      </c>
      <c r="W9" s="11" t="n">
        <v>62.95</v>
      </c>
      <c r="X9" s="11" t="n">
        <v>117.4</v>
      </c>
      <c r="Y9" s="11" t="n">
        <f aca="false">X9/1.1</f>
        <v>106.727272727273</v>
      </c>
      <c r="Z9" s="11" t="n">
        <v>128.81</v>
      </c>
      <c r="AA9" s="11" t="n">
        <f aca="false">Z9/1.1</f>
        <v>117.1</v>
      </c>
      <c r="AB9" s="11" t="n">
        <f aca="false">IF(COUNT(I9,K9,M9,O9,Q9,S9,U9,W9,Y9,AA9)=0,"N/A",MIN(I9,K9,M9,O9,Q9,S9,U9,W9,Y9,AA9))</f>
        <v>62.95</v>
      </c>
      <c r="AC9" s="43" t="n">
        <f aca="false">IF(OR(D9="",AB9="",AB9="N/A"),"N/A",D9/AB9-1)</f>
        <v>-0.2922954725973</v>
      </c>
      <c r="AD9" s="43" t="n">
        <f aca="false">IF(OR(F9="",AB9="",AB9="N/A"),"N/A",F9/AB9-1)</f>
        <v>-0.28285941223193</v>
      </c>
      <c r="AE9" s="41" t="s">
        <v>260</v>
      </c>
    </row>
    <row r="10" customFormat="false" ht="123.75" hidden="false" customHeight="true" outlineLevel="0" collapsed="false">
      <c r="A10" s="1" t="s">
        <v>222</v>
      </c>
      <c r="B10" s="1" t="s">
        <v>15</v>
      </c>
      <c r="C10" s="41" t="s">
        <v>16</v>
      </c>
      <c r="D10" s="11" t="n">
        <f aca="false">'RSEA vs Quoted Comparison'!F10</f>
        <v>69.61</v>
      </c>
      <c r="E10" s="11" t="n">
        <f aca="false">'RSEA vs Quoted Comparison'!G10</f>
        <v>76.571</v>
      </c>
      <c r="F10" s="11" t="n">
        <f aca="false">IF('RSEA vs Quoted Comparison'!H10="","",'RSEA vs Quoted Comparison'!H10)</f>
        <v>70.538125</v>
      </c>
      <c r="G10" s="11" t="n">
        <f aca="false">IF('RSEA vs Quoted Comparison'!I10="","",'RSEA vs Quoted Comparison'!I10)</f>
        <v>77.5919375</v>
      </c>
      <c r="H10" s="11" t="n">
        <f aca="false">'RSEA vs Quoted Comparison'!D10</f>
        <v>167.99</v>
      </c>
      <c r="I10" s="11" t="n">
        <f aca="false">'RSEA vs Quoted Comparison'!E10</f>
        <v>152.718181818182</v>
      </c>
      <c r="J10" s="11" t="n">
        <f aca="false">K10*1.1</f>
        <v>84.15</v>
      </c>
      <c r="K10" s="11" t="n">
        <v>76.5</v>
      </c>
      <c r="L10" s="11" t="n">
        <v>117.3</v>
      </c>
      <c r="M10" s="11" t="n">
        <v>106.64</v>
      </c>
      <c r="N10" s="11" t="n">
        <v>124.95</v>
      </c>
      <c r="O10" s="11" t="n">
        <f aca="false">N10/1.1</f>
        <v>113.590909090909</v>
      </c>
      <c r="P10" s="11" t="n">
        <v>95.4</v>
      </c>
      <c r="Q10" s="11" t="n">
        <v>86.73</v>
      </c>
      <c r="R10" s="11" t="n">
        <v>118.8</v>
      </c>
      <c r="S10" s="11" t="n">
        <f aca="false">R10/1.1</f>
        <v>108</v>
      </c>
      <c r="T10" s="11" t="n">
        <v>98.18</v>
      </c>
      <c r="U10" s="11" t="n">
        <f aca="false">T10/1.1</f>
        <v>89.2545454545455</v>
      </c>
      <c r="V10" s="11" t="n">
        <f aca="false">W10*1.1</f>
        <v>81.4</v>
      </c>
      <c r="W10" s="11" t="n">
        <v>74</v>
      </c>
      <c r="X10" s="11" t="n">
        <v>128.32</v>
      </c>
      <c r="Y10" s="11" t="n">
        <f aca="false">X10/1.1</f>
        <v>116.654545454545</v>
      </c>
      <c r="Z10" s="11" t="n">
        <v>220.92</v>
      </c>
      <c r="AA10" s="11" t="n">
        <f aca="false">Z10/1.1</f>
        <v>200.836363636364</v>
      </c>
      <c r="AB10" s="11" t="n">
        <f aca="false">IF(COUNT(I10,K10,M10,O10,Q10,S10,U10,W10,Y10,AA10)=0,"N/A",MIN(I10,K10,M10,O10,Q10,S10,U10,W10,Y10,AA10))</f>
        <v>74</v>
      </c>
      <c r="AC10" s="43" t="n">
        <f aca="false">IF(OR(D10="",AB10="",AB10="N/A"),"N/A",D10/AB10-1)</f>
        <v>-0.0593243243243243</v>
      </c>
      <c r="AD10" s="43" t="n">
        <f aca="false">IF(OR(F10="",AB10="",AB10="N/A"),"N/A",F10/AB10-1)</f>
        <v>-0.0467820945945947</v>
      </c>
      <c r="AE10" s="41" t="s">
        <v>261</v>
      </c>
    </row>
    <row r="11" customFormat="false" ht="123.75" hidden="false" customHeight="true" outlineLevel="0" collapsed="false">
      <c r="A11" s="1" t="s">
        <v>222</v>
      </c>
      <c r="B11" s="1" t="s">
        <v>17</v>
      </c>
      <c r="C11" s="41" t="s">
        <v>18</v>
      </c>
      <c r="D11" s="11" t="n">
        <f aca="false">'RSEA vs Quoted Comparison'!F11</f>
        <v>33.41</v>
      </c>
      <c r="E11" s="11" t="n">
        <f aca="false">'RSEA vs Quoted Comparison'!G11</f>
        <v>36.751</v>
      </c>
      <c r="F11" s="11" t="n">
        <f aca="false">IF('RSEA vs Quoted Comparison'!H11="","",'RSEA vs Quoted Comparison'!H11)</f>
        <v>33.8555</v>
      </c>
      <c r="G11" s="11" t="n">
        <f aca="false">IF('RSEA vs Quoted Comparison'!I11="","",'RSEA vs Quoted Comparison'!I11)</f>
        <v>37.24105</v>
      </c>
      <c r="H11" s="11" t="n">
        <f aca="false">'RSEA vs Quoted Comparison'!D11</f>
        <v>142.99</v>
      </c>
      <c r="I11" s="11" t="n">
        <f aca="false">'RSEA vs Quoted Comparison'!E11</f>
        <v>129.990909090909</v>
      </c>
      <c r="J11" s="11" t="n">
        <f aca="false">K11*1.1</f>
        <v>44.209</v>
      </c>
      <c r="K11" s="11" t="n">
        <v>40.19</v>
      </c>
      <c r="L11" s="11" t="n">
        <v>63.11</v>
      </c>
      <c r="M11" s="11" t="n">
        <v>57.37</v>
      </c>
      <c r="N11" s="11" t="n">
        <v>90.3</v>
      </c>
      <c r="O11" s="11" t="n">
        <f aca="false">N11/1.1</f>
        <v>82.0909090909091</v>
      </c>
      <c r="P11" s="11" t="n">
        <v>57</v>
      </c>
      <c r="Q11" s="11" t="n">
        <v>51.82</v>
      </c>
      <c r="R11" s="11" t="n">
        <v>74.8</v>
      </c>
      <c r="S11" s="11" t="n">
        <f aca="false">R11/1.1</f>
        <v>68</v>
      </c>
      <c r="T11" s="11" t="n">
        <v>78.64</v>
      </c>
      <c r="U11" s="11" t="n">
        <f aca="false">T11/1.1</f>
        <v>71.4909090909091</v>
      </c>
      <c r="V11" s="11" t="n">
        <f aca="false">W11*1.1</f>
        <v>63.8</v>
      </c>
      <c r="W11" s="11" t="n">
        <v>58</v>
      </c>
      <c r="X11" s="11" t="n">
        <v>80.22</v>
      </c>
      <c r="Y11" s="11" t="n">
        <f aca="false">X11/1.1</f>
        <v>72.9272727272727</v>
      </c>
      <c r="Z11" s="11" t="n">
        <v>173.98</v>
      </c>
      <c r="AA11" s="11" t="n">
        <f aca="false">Z11/1.1</f>
        <v>158.163636363636</v>
      </c>
      <c r="AB11" s="11" t="n">
        <f aca="false">IF(COUNT(I11,K11,M11,O11,Q11,S11,U11,W11,Y11,AA11)=0,"N/A",MIN(I11,K11,M11,O11,Q11,S11,U11,W11,Y11,AA11))</f>
        <v>40.19</v>
      </c>
      <c r="AC11" s="43" t="n">
        <f aca="false">IF(OR(D11="",AB11="",AB11="N/A"),"N/A",D11/AB11-1)</f>
        <v>-0.168698681263996</v>
      </c>
      <c r="AD11" s="43" t="n">
        <f aca="false">IF(OR(F11="",AB11="",AB11="N/A"),"N/A",F11/AB11-1)</f>
        <v>-0.157613834287136</v>
      </c>
      <c r="AE11" s="41" t="s">
        <v>262</v>
      </c>
    </row>
    <row r="12" customFormat="false" ht="123.75" hidden="false" customHeight="true" outlineLevel="0" collapsed="false">
      <c r="A12" s="1" t="s">
        <v>222</v>
      </c>
      <c r="B12" s="1" t="s">
        <v>19</v>
      </c>
      <c r="C12" s="41" t="s">
        <v>20</v>
      </c>
      <c r="D12" s="11" t="n">
        <f aca="false">'RSEA vs Quoted Comparison'!F12</f>
        <v>44.55</v>
      </c>
      <c r="E12" s="11" t="n">
        <f aca="false">'RSEA vs Quoted Comparison'!G12</f>
        <v>49.005</v>
      </c>
      <c r="F12" s="11" t="n">
        <f aca="false">IF('RSEA vs Quoted Comparison'!H12="","",'RSEA vs Quoted Comparison'!H12)</f>
        <v>45.144</v>
      </c>
      <c r="G12" s="11" t="n">
        <f aca="false">IF('RSEA vs Quoted Comparison'!I12="","",'RSEA vs Quoted Comparison'!I12)</f>
        <v>49.6584</v>
      </c>
      <c r="H12" s="11" t="n">
        <f aca="false">'RSEA vs Quoted Comparison'!D12</f>
        <v>157.99</v>
      </c>
      <c r="I12" s="11" t="n">
        <f aca="false">'RSEA vs Quoted Comparison'!E12</f>
        <v>143.627272727273</v>
      </c>
      <c r="J12" s="11" t="n">
        <f aca="false">K12*1.1</f>
        <v>88.781</v>
      </c>
      <c r="K12" s="11" t="n">
        <v>80.71</v>
      </c>
      <c r="L12" s="11" t="n">
        <v>95.35</v>
      </c>
      <c r="M12" s="11" t="n">
        <v>86.68</v>
      </c>
      <c r="N12" s="11" t="n">
        <v>105.6</v>
      </c>
      <c r="O12" s="11" t="n">
        <f aca="false">N12/1.1</f>
        <v>96</v>
      </c>
      <c r="P12" s="11" t="n">
        <v>77.4</v>
      </c>
      <c r="Q12" s="11" t="n">
        <v>70.36</v>
      </c>
      <c r="R12" s="11" t="n">
        <v>107.8</v>
      </c>
      <c r="S12" s="11" t="n">
        <f aca="false">R12/1.1</f>
        <v>98</v>
      </c>
      <c r="T12" s="11" t="n">
        <v>94.5</v>
      </c>
      <c r="U12" s="11" t="n">
        <f aca="false">T12/1.1</f>
        <v>85.9090909090909</v>
      </c>
      <c r="V12" s="11" t="n">
        <f aca="false">W12*1.1</f>
        <v>97.35</v>
      </c>
      <c r="W12" s="11" t="n">
        <v>88.5</v>
      </c>
      <c r="X12" s="11" t="n">
        <v>127.75</v>
      </c>
      <c r="Y12" s="11" t="n">
        <f aca="false">X12/1.1</f>
        <v>116.136363636364</v>
      </c>
      <c r="Z12" s="11" t="n">
        <v>179.74</v>
      </c>
      <c r="AA12" s="11" t="n">
        <f aca="false">Z12/1.1</f>
        <v>163.4</v>
      </c>
      <c r="AB12" s="11" t="n">
        <f aca="false">IF(COUNT(I12,K12,M12,O12,Q12,S12,U12,W12,Y12,AA12)=0,"N/A",MIN(I12,K12,M12,O12,Q12,S12,U12,W12,Y12,AA12))</f>
        <v>70.36</v>
      </c>
      <c r="AC12" s="43" t="n">
        <f aca="false">IF(OR(D12="",AB12="",AB12="N/A"),"N/A",D12/AB12-1)</f>
        <v>-0.366827743035816</v>
      </c>
      <c r="AD12" s="43" t="n">
        <f aca="false">IF(OR(F12="",AB12="",AB12="N/A"),"N/A",F12/AB12-1)</f>
        <v>-0.358385446276293</v>
      </c>
      <c r="AE12" s="41" t="s">
        <v>263</v>
      </c>
    </row>
    <row r="13" customFormat="false" ht="168.75" hidden="false" customHeight="true" outlineLevel="0" collapsed="false">
      <c r="A13" s="1" t="s">
        <v>222</v>
      </c>
      <c r="B13" s="1" t="s">
        <v>79</v>
      </c>
      <c r="C13" s="41" t="s">
        <v>80</v>
      </c>
      <c r="D13" s="11" t="n">
        <f aca="false">'RSEA vs Quoted Comparison'!F13</f>
        <v>33.41</v>
      </c>
      <c r="E13" s="11" t="n">
        <f aca="false">'RSEA vs Quoted Comparison'!G13</f>
        <v>36.751</v>
      </c>
      <c r="F13" s="11" t="n">
        <f aca="false">IF('RSEA vs Quoted Comparison'!H13="","",'RSEA vs Quoted Comparison'!H13)</f>
        <v>33.8555</v>
      </c>
      <c r="G13" s="11" t="n">
        <f aca="false">IF('RSEA vs Quoted Comparison'!I13="","",'RSEA vs Quoted Comparison'!I13)</f>
        <v>37.24105</v>
      </c>
      <c r="H13" s="11" t="n">
        <f aca="false">'RSEA vs Quoted Comparison'!D13</f>
        <v>142.99</v>
      </c>
      <c r="I13" s="11" t="n">
        <f aca="false">'RSEA vs Quoted Comparison'!E13</f>
        <v>129.990909090909</v>
      </c>
      <c r="J13" s="11" t="n">
        <f aca="false">K13*1.1</f>
        <v>109.153</v>
      </c>
      <c r="K13" s="11" t="n">
        <v>99.23</v>
      </c>
      <c r="L13" s="11" t="n">
        <v>61.59</v>
      </c>
      <c r="M13" s="11" t="n">
        <v>55.99</v>
      </c>
      <c r="N13" s="11" t="n">
        <v>36.5</v>
      </c>
      <c r="O13" s="11" t="n">
        <f aca="false">N13/1.1</f>
        <v>33.1818181818182</v>
      </c>
      <c r="P13" s="11" t="n">
        <v>57</v>
      </c>
      <c r="Q13" s="11" t="n">
        <v>51.82</v>
      </c>
      <c r="R13" s="11" t="n">
        <v>74.8</v>
      </c>
      <c r="S13" s="11" t="n">
        <f aca="false">R13/1.1</f>
        <v>68</v>
      </c>
      <c r="T13" s="11" t="n">
        <v>31.19</v>
      </c>
      <c r="U13" s="11" t="n">
        <f aca="false">T13/1.1</f>
        <v>28.3545454545455</v>
      </c>
      <c r="V13" s="42" t="s">
        <v>257</v>
      </c>
      <c r="W13" s="42" t="s">
        <v>257</v>
      </c>
      <c r="X13" s="11" t="n">
        <v>110.1</v>
      </c>
      <c r="Y13" s="11" t="n">
        <f aca="false">X13/1.1</f>
        <v>100.090909090909</v>
      </c>
      <c r="Z13" s="11" t="n">
        <v>44</v>
      </c>
      <c r="AA13" s="11" t="n">
        <f aca="false">Z13/1.1</f>
        <v>40</v>
      </c>
      <c r="AB13" s="11" t="n">
        <f aca="false">IF(COUNT(I13,K13,M13,O13,Q13,S13,U13,W13,Y13,AA13)=0,"N/A",MIN(I13,K13,M13,O13,Q13,S13,U13,W13,Y13,AA13))</f>
        <v>28.3545454545455</v>
      </c>
      <c r="AC13" s="43" t="n">
        <f aca="false">IF(OR(D13="",AB13="",AB13="N/A"),"N/A",D13/AB13-1)</f>
        <v>0.1782943251042</v>
      </c>
      <c r="AD13" s="43" t="n">
        <f aca="false">IF(OR(F13="",AB13="",AB13="N/A"),"N/A",F13/AB13-1)</f>
        <v>0.194006091696056</v>
      </c>
      <c r="AE13" s="41" t="s">
        <v>264</v>
      </c>
    </row>
    <row r="14" customFormat="false" ht="138.75" hidden="false" customHeight="true" outlineLevel="0" collapsed="false">
      <c r="A14" s="1" t="s">
        <v>222</v>
      </c>
      <c r="B14" s="1" t="s">
        <v>81</v>
      </c>
      <c r="C14" s="41" t="s">
        <v>82</v>
      </c>
      <c r="D14" s="11" t="n">
        <f aca="false">'RSEA vs Quoted Comparison'!F14</f>
        <v>25.06</v>
      </c>
      <c r="E14" s="11" t="n">
        <f aca="false">'RSEA vs Quoted Comparison'!G14</f>
        <v>27.566</v>
      </c>
      <c r="F14" s="11" t="n">
        <f aca="false">IF('RSEA vs Quoted Comparison'!H14="","",'RSEA vs Quoted Comparison'!H14)</f>
        <v>25.394125</v>
      </c>
      <c r="G14" s="11" t="n">
        <f aca="false">IF('RSEA vs Quoted Comparison'!I14="","",'RSEA vs Quoted Comparison'!I14)</f>
        <v>27.9335375</v>
      </c>
      <c r="H14" s="11" t="n">
        <f aca="false">'RSEA vs Quoted Comparison'!D14</f>
        <v>112.99</v>
      </c>
      <c r="I14" s="11" t="n">
        <f aca="false">'RSEA vs Quoted Comparison'!E14</f>
        <v>102.718181818182</v>
      </c>
      <c r="J14" s="11" t="n">
        <f aca="false">K14*1.1</f>
        <v>77.968</v>
      </c>
      <c r="K14" s="11" t="n">
        <v>70.88</v>
      </c>
      <c r="L14" s="11" t="n">
        <v>61.29</v>
      </c>
      <c r="M14" s="11" t="n">
        <v>55.72</v>
      </c>
      <c r="N14" s="11" t="n">
        <v>49.5</v>
      </c>
      <c r="O14" s="11" t="n">
        <f aca="false">N14/1.1</f>
        <v>45</v>
      </c>
      <c r="P14" s="11" t="n">
        <v>47.4</v>
      </c>
      <c r="Q14" s="11" t="n">
        <v>43.09</v>
      </c>
      <c r="R14" s="11" t="n">
        <v>61.6</v>
      </c>
      <c r="S14" s="11" t="n">
        <f aca="false">R14/1.1</f>
        <v>56</v>
      </c>
      <c r="T14" s="11" t="n">
        <v>76.56</v>
      </c>
      <c r="U14" s="11" t="n">
        <f aca="false">T14/1.1</f>
        <v>69.6</v>
      </c>
      <c r="V14" s="11" t="n">
        <f aca="false">W14*1.1</f>
        <v>69.245</v>
      </c>
      <c r="W14" s="11" t="n">
        <v>62.95</v>
      </c>
      <c r="X14" s="11" t="n">
        <v>100.71</v>
      </c>
      <c r="Y14" s="11" t="n">
        <f aca="false">X14/1.1</f>
        <v>91.5545454545455</v>
      </c>
      <c r="Z14" s="11" t="n">
        <v>159.24</v>
      </c>
      <c r="AA14" s="11" t="n">
        <f aca="false">Z14/1.1</f>
        <v>144.763636363636</v>
      </c>
      <c r="AB14" s="11" t="n">
        <f aca="false">IF(COUNT(I14,K14,M14,O14,Q14,S14,U14,W14,Y14,AA14)=0,"N/A",MIN(I14,K14,M14,O14,Q14,S14,U14,W14,Y14,AA14))</f>
        <v>43.09</v>
      </c>
      <c r="AC14" s="43" t="n">
        <f aca="false">IF(OR(D14="",AB14="",AB14="N/A"),"N/A",D14/AB14-1)</f>
        <v>-0.418426549083314</v>
      </c>
      <c r="AD14" s="43" t="n">
        <f aca="false">IF(OR(F14="",AB14="",AB14="N/A"),"N/A",F14/AB14-1)</f>
        <v>-0.410672429798097</v>
      </c>
      <c r="AE14" s="41" t="s">
        <v>265</v>
      </c>
    </row>
    <row r="15" customFormat="false" ht="78.75" hidden="false" customHeight="true" outlineLevel="0" collapsed="false">
      <c r="A15" s="1" t="s">
        <v>222</v>
      </c>
      <c r="B15" s="1" t="s">
        <v>101</v>
      </c>
      <c r="C15" s="41" t="s">
        <v>102</v>
      </c>
      <c r="D15" s="11" t="n">
        <f aca="false">'RSEA vs Quoted Comparison'!F15</f>
        <v>8.35</v>
      </c>
      <c r="E15" s="11" t="n">
        <f aca="false">'RSEA vs Quoted Comparison'!G15</f>
        <v>9.185</v>
      </c>
      <c r="F15" s="11" t="n">
        <f aca="false">IF('RSEA vs Quoted Comparison'!H15="","",'RSEA vs Quoted Comparison'!H15)</f>
        <v>8.461375</v>
      </c>
      <c r="G15" s="11" t="n">
        <f aca="false">IF('RSEA vs Quoted Comparison'!I15="","",'RSEA vs Quoted Comparison'!I15)</f>
        <v>9.3075125</v>
      </c>
      <c r="H15" s="11" t="n">
        <f aca="false">'RSEA vs Quoted Comparison'!D15</f>
        <v>32.99</v>
      </c>
      <c r="I15" s="11" t="n">
        <f aca="false">'RSEA vs Quoted Comparison'!E15</f>
        <v>29.9909090909091</v>
      </c>
      <c r="J15" s="42" t="s">
        <v>257</v>
      </c>
      <c r="K15" s="42" t="s">
        <v>257</v>
      </c>
      <c r="L15" s="42" t="s">
        <v>257</v>
      </c>
      <c r="M15" s="42" t="s">
        <v>257</v>
      </c>
      <c r="N15" s="42" t="s">
        <v>257</v>
      </c>
      <c r="O15" s="42" t="s">
        <v>257</v>
      </c>
      <c r="P15" s="42" t="s">
        <v>257</v>
      </c>
      <c r="Q15" s="42" t="s">
        <v>257</v>
      </c>
      <c r="R15" s="42" t="s">
        <v>257</v>
      </c>
      <c r="S15" s="42" t="s">
        <v>257</v>
      </c>
      <c r="T15" s="42" t="s">
        <v>257</v>
      </c>
      <c r="U15" s="42" t="s">
        <v>257</v>
      </c>
      <c r="V15" s="42" t="s">
        <v>257</v>
      </c>
      <c r="W15" s="42" t="s">
        <v>257</v>
      </c>
      <c r="X15" s="42" t="s">
        <v>257</v>
      </c>
      <c r="Y15" s="42" t="s">
        <v>257</v>
      </c>
      <c r="Z15" s="45" t="n">
        <f aca="false">AA15*1.1</f>
        <v>46.134</v>
      </c>
      <c r="AA15" s="45" t="n">
        <v>41.94</v>
      </c>
      <c r="AB15" s="11" t="n">
        <f aca="false">IF(COUNT(I15,K15,M15,O15,Q15,S15,U15,W15,Y15,AA15)=0,"N/A",MIN(I15,K15,M15,O15,Q15,S15,U15,W15,Y15,AA15))</f>
        <v>29.9909090909091</v>
      </c>
      <c r="AC15" s="43" t="n">
        <f aca="false">IF(OR(D15="",AB15="",AB15="N/A"),"N/A",D15/AB15-1)</f>
        <v>-0.721582297665959</v>
      </c>
      <c r="AD15" s="43" t="n">
        <f aca="false">IF(OR(F15="",AB15="",AB15="N/A"),"N/A",F15/AB15-1)</f>
        <v>-0.717868672324947</v>
      </c>
      <c r="AE15" s="41" t="s">
        <v>266</v>
      </c>
    </row>
    <row r="16" customFormat="false" ht="78.75" hidden="false" customHeight="true" outlineLevel="0" collapsed="false">
      <c r="A16" s="1" t="s">
        <v>222</v>
      </c>
      <c r="B16" s="1" t="s">
        <v>107</v>
      </c>
      <c r="C16" s="41" t="s">
        <v>108</v>
      </c>
      <c r="D16" s="11" t="n">
        <f aca="false">'RSEA vs Quoted Comparison'!F16</f>
        <v>15.59</v>
      </c>
      <c r="E16" s="11" t="n">
        <f aca="false">'RSEA vs Quoted Comparison'!G16</f>
        <v>17.149</v>
      </c>
      <c r="F16" s="11" t="n">
        <f aca="false">IF('RSEA vs Quoted Comparison'!H16="","",'RSEA vs Quoted Comparison'!H16)</f>
        <v>15.81275</v>
      </c>
      <c r="G16" s="11" t="n">
        <f aca="false">IF('RSEA vs Quoted Comparison'!I16="","",'RSEA vs Quoted Comparison'!I16)</f>
        <v>17.394025</v>
      </c>
      <c r="H16" s="11" t="n">
        <f aca="false">'RSEA vs Quoted Comparison'!D16</f>
        <v>44.99</v>
      </c>
      <c r="I16" s="11" t="n">
        <f aca="false">'RSEA vs Quoted Comparison'!E16</f>
        <v>40.9</v>
      </c>
      <c r="J16" s="42" t="s">
        <v>257</v>
      </c>
      <c r="K16" s="42" t="s">
        <v>257</v>
      </c>
      <c r="L16" s="42" t="s">
        <v>257</v>
      </c>
      <c r="M16" s="42" t="s">
        <v>257</v>
      </c>
      <c r="N16" s="42" t="s">
        <v>257</v>
      </c>
      <c r="O16" s="42" t="s">
        <v>257</v>
      </c>
      <c r="P16" s="42" t="s">
        <v>257</v>
      </c>
      <c r="Q16" s="42" t="s">
        <v>257</v>
      </c>
      <c r="R16" s="42" t="s">
        <v>257</v>
      </c>
      <c r="S16" s="42" t="s">
        <v>257</v>
      </c>
      <c r="T16" s="42" t="s">
        <v>257</v>
      </c>
      <c r="U16" s="42" t="s">
        <v>257</v>
      </c>
      <c r="V16" s="42" t="s">
        <v>257</v>
      </c>
      <c r="W16" s="42" t="s">
        <v>257</v>
      </c>
      <c r="X16" s="42" t="s">
        <v>257</v>
      </c>
      <c r="Y16" s="42" t="s">
        <v>257</v>
      </c>
      <c r="Z16" s="45" t="n">
        <f aca="false">AA16*1.1</f>
        <v>48.851</v>
      </c>
      <c r="AA16" s="45" t="n">
        <v>44.41</v>
      </c>
      <c r="AB16" s="11" t="n">
        <f aca="false">IF(COUNT(I16,K16,M16,O16,Q16,S16,U16,W16,Y16,AA16)=0,"N/A",MIN(I16,K16,M16,O16,Q16,S16,U16,W16,Y16,AA16))</f>
        <v>40.9</v>
      </c>
      <c r="AC16" s="43" t="n">
        <f aca="false">IF(OR(D16="",AB16="",AB16="N/A"),"N/A",D16/AB16-1)</f>
        <v>-0.618826405867971</v>
      </c>
      <c r="AD16" s="43" t="n">
        <f aca="false">IF(OR(F16="",AB16="",AB16="N/A"),"N/A",F16/AB16-1)</f>
        <v>-0.613380195599022</v>
      </c>
      <c r="AE16" s="41" t="s">
        <v>267</v>
      </c>
    </row>
    <row r="17" customFormat="false" ht="48.75" hidden="false" customHeight="true" outlineLevel="0" collapsed="false">
      <c r="A17" s="1" t="s">
        <v>222</v>
      </c>
      <c r="B17" s="1" t="s">
        <v>117</v>
      </c>
      <c r="C17" s="41" t="s">
        <v>118</v>
      </c>
      <c r="D17" s="11" t="n">
        <f aca="false">'RSEA vs Quoted Comparison'!F17</f>
        <v>8.35</v>
      </c>
      <c r="E17" s="11" t="n">
        <f aca="false">'RSEA vs Quoted Comparison'!G17</f>
        <v>9.185</v>
      </c>
      <c r="F17" s="11" t="n">
        <f aca="false">IF('RSEA vs Quoted Comparison'!H17="","",'RSEA vs Quoted Comparison'!H17)</f>
        <v>8.461375</v>
      </c>
      <c r="G17" s="11" t="n">
        <f aca="false">IF('RSEA vs Quoted Comparison'!I17="","",'RSEA vs Quoted Comparison'!I17)</f>
        <v>9.3075125</v>
      </c>
      <c r="H17" s="11" t="n">
        <f aca="false">'RSEA vs Quoted Comparison'!D17</f>
        <v>32.99</v>
      </c>
      <c r="I17" s="11" t="n">
        <f aca="false">'RSEA vs Quoted Comparison'!E17</f>
        <v>29.9909090909091</v>
      </c>
      <c r="J17" s="42" t="s">
        <v>257</v>
      </c>
      <c r="K17" s="42" t="s">
        <v>257</v>
      </c>
      <c r="L17" s="42" t="s">
        <v>257</v>
      </c>
      <c r="M17" s="42" t="s">
        <v>257</v>
      </c>
      <c r="N17" s="42" t="s">
        <v>257</v>
      </c>
      <c r="O17" s="42" t="s">
        <v>257</v>
      </c>
      <c r="P17" s="42" t="s">
        <v>257</v>
      </c>
      <c r="Q17" s="42" t="s">
        <v>257</v>
      </c>
      <c r="R17" s="42" t="s">
        <v>257</v>
      </c>
      <c r="S17" s="42" t="s">
        <v>257</v>
      </c>
      <c r="T17" s="42" t="s">
        <v>257</v>
      </c>
      <c r="U17" s="42" t="s">
        <v>257</v>
      </c>
      <c r="V17" s="42" t="s">
        <v>257</v>
      </c>
      <c r="W17" s="42" t="s">
        <v>257</v>
      </c>
      <c r="X17" s="42" t="s">
        <v>257</v>
      </c>
      <c r="Y17" s="42" t="s">
        <v>257</v>
      </c>
      <c r="Z17" s="45" t="n">
        <f aca="false">AA17*1.1</f>
        <v>46.134</v>
      </c>
      <c r="AA17" s="45" t="n">
        <v>41.94</v>
      </c>
      <c r="AB17" s="11" t="n">
        <f aca="false">IF(COUNT(I17,K17,M17,O17,Q17,S17,U17,W17,Y17,AA17)=0,"N/A",MIN(I17,K17,M17,O17,Q17,S17,U17,W17,Y17,AA17))</f>
        <v>29.9909090909091</v>
      </c>
      <c r="AC17" s="43" t="n">
        <f aca="false">IF(OR(D17="",AB17="",AB17="N/A"),"N/A",D17/AB17-1)</f>
        <v>-0.721582297665959</v>
      </c>
      <c r="AD17" s="43" t="n">
        <f aca="false">IF(OR(F17="",AB17="",AB17="N/A"),"N/A",F17/AB17-1)</f>
        <v>-0.717868672324947</v>
      </c>
      <c r="AE17" s="41" t="s">
        <v>268</v>
      </c>
    </row>
    <row r="18" customFormat="false" ht="108.75" hidden="false" customHeight="true" outlineLevel="0" collapsed="false">
      <c r="A18" s="1" t="s">
        <v>222</v>
      </c>
      <c r="B18" s="1" t="s">
        <v>127</v>
      </c>
      <c r="C18" s="41" t="s">
        <v>128</v>
      </c>
      <c r="D18" s="11" t="n">
        <f aca="false">'RSEA vs Quoted Comparison'!F18</f>
        <v>29.7</v>
      </c>
      <c r="E18" s="11" t="n">
        <f aca="false">'RSEA vs Quoted Comparison'!G18</f>
        <v>32.67</v>
      </c>
      <c r="F18" s="11" t="n">
        <f aca="false">IF('RSEA vs Quoted Comparison'!H18="","",'RSEA vs Quoted Comparison'!H18)</f>
        <v>30.1455</v>
      </c>
      <c r="G18" s="11" t="n">
        <f aca="false">IF('RSEA vs Quoted Comparison'!I18="","",'RSEA vs Quoted Comparison'!I18)</f>
        <v>33.16005</v>
      </c>
      <c r="H18" s="11" t="n">
        <f aca="false">'RSEA vs Quoted Comparison'!D18</f>
        <v>69.99</v>
      </c>
      <c r="I18" s="11" t="n">
        <f aca="false">'RSEA vs Quoted Comparison'!E18</f>
        <v>63.6272727272727</v>
      </c>
      <c r="J18" s="42" t="s">
        <v>257</v>
      </c>
      <c r="K18" s="42" t="s">
        <v>257</v>
      </c>
      <c r="L18" s="42" t="s">
        <v>257</v>
      </c>
      <c r="M18" s="42" t="s">
        <v>257</v>
      </c>
      <c r="N18" s="42" t="s">
        <v>257</v>
      </c>
      <c r="O18" s="42" t="s">
        <v>257</v>
      </c>
      <c r="P18" s="11" t="n">
        <v>57</v>
      </c>
      <c r="Q18" s="11" t="n">
        <v>51.82</v>
      </c>
      <c r="R18" s="11" t="n">
        <v>74.8</v>
      </c>
      <c r="S18" s="11" t="n">
        <f aca="false">R18/1.1</f>
        <v>68</v>
      </c>
      <c r="T18" s="11" t="n">
        <v>41.13</v>
      </c>
      <c r="U18" s="11" t="n">
        <f aca="false">T18/1.1</f>
        <v>37.3909090909091</v>
      </c>
      <c r="V18" s="42" t="s">
        <v>257</v>
      </c>
      <c r="W18" s="42" t="s">
        <v>257</v>
      </c>
      <c r="X18" s="11" t="n">
        <v>110.1</v>
      </c>
      <c r="Y18" s="11" t="n">
        <f aca="false">X18/1.1</f>
        <v>100.090909090909</v>
      </c>
      <c r="Z18" s="45" t="n">
        <f aca="false">AA18*1.1</f>
        <v>56.65</v>
      </c>
      <c r="AA18" s="45" t="n">
        <v>51.5</v>
      </c>
      <c r="AB18" s="11" t="n">
        <f aca="false">IF(COUNT(I18,K18,M18,O18,Q18,S18,U18,W18,Y18,AA18)=0,"N/A",MIN(I18,K18,M18,O18,Q18,S18,U18,W18,Y18,AA18))</f>
        <v>37.3909090909091</v>
      </c>
      <c r="AC18" s="43" t="n">
        <f aca="false">IF(OR(D18="",AB18="",AB18="N/A"),"N/A",D18/AB18-1)</f>
        <v>-0.205689277899344</v>
      </c>
      <c r="AD18" s="43" t="n">
        <f aca="false">IF(OR(F18="",AB18="",AB18="N/A"),"N/A",F18/AB18-1)</f>
        <v>-0.193774617067834</v>
      </c>
      <c r="AE18" s="41" t="s">
        <v>269</v>
      </c>
    </row>
    <row r="19" customFormat="false" ht="138.75" hidden="false" customHeight="true" outlineLevel="0" collapsed="false">
      <c r="A19" s="1" t="s">
        <v>222</v>
      </c>
      <c r="B19" s="1" t="s">
        <v>131</v>
      </c>
      <c r="C19" s="41" t="s">
        <v>132</v>
      </c>
      <c r="D19" s="11" t="n">
        <f aca="false">'RSEA vs Quoted Comparison'!F19</f>
        <v>29.7</v>
      </c>
      <c r="E19" s="11" t="n">
        <f aca="false">'RSEA vs Quoted Comparison'!G19</f>
        <v>32.67</v>
      </c>
      <c r="F19" s="11" t="n">
        <f aca="false">IF('RSEA vs Quoted Comparison'!H19="","",'RSEA vs Quoted Comparison'!H19)</f>
        <v>30.1455</v>
      </c>
      <c r="G19" s="11" t="n">
        <f aca="false">IF('RSEA vs Quoted Comparison'!I19="","",'RSEA vs Quoted Comparison'!I19)</f>
        <v>33.16005</v>
      </c>
      <c r="H19" s="11" t="n">
        <f aca="false">'RSEA vs Quoted Comparison'!D19</f>
        <v>84.99</v>
      </c>
      <c r="I19" s="11" t="n">
        <f aca="false">'RSEA vs Quoted Comparison'!E19</f>
        <v>77.2636363636364</v>
      </c>
      <c r="J19" s="11" t="n">
        <f aca="false">K19*1.1</f>
        <v>109.153</v>
      </c>
      <c r="K19" s="11" t="n">
        <v>99.23</v>
      </c>
      <c r="L19" s="42" t="s">
        <v>257</v>
      </c>
      <c r="M19" s="42" t="s">
        <v>257</v>
      </c>
      <c r="N19" s="11" t="n">
        <v>36.5</v>
      </c>
      <c r="O19" s="11" t="n">
        <f aca="false">N19/1.1</f>
        <v>33.1818181818182</v>
      </c>
      <c r="P19" s="11" t="n">
        <v>57</v>
      </c>
      <c r="Q19" s="11" t="n">
        <v>51.82</v>
      </c>
      <c r="R19" s="11" t="n">
        <v>74.8</v>
      </c>
      <c r="S19" s="11" t="n">
        <f aca="false">R19/1.1</f>
        <v>68</v>
      </c>
      <c r="T19" s="11" t="n">
        <v>31.19</v>
      </c>
      <c r="U19" s="11" t="n">
        <f aca="false">T19/1.1</f>
        <v>28.3545454545455</v>
      </c>
      <c r="V19" s="42" t="s">
        <v>257</v>
      </c>
      <c r="W19" s="42" t="s">
        <v>257</v>
      </c>
      <c r="X19" s="11" t="n">
        <v>110.1</v>
      </c>
      <c r="Y19" s="11" t="n">
        <f aca="false">X19/1.1</f>
        <v>100.090909090909</v>
      </c>
      <c r="Z19" s="45" t="n">
        <f aca="false">AA19*1.1</f>
        <v>56.65</v>
      </c>
      <c r="AA19" s="45" t="n">
        <v>51.5</v>
      </c>
      <c r="AB19" s="11" t="n">
        <f aca="false">IF(COUNT(I19,K19,M19,O19,Q19,S19,U19,W19,Y19,AA19)=0,"N/A",MIN(I19,K19,M19,O19,Q19,S19,U19,W19,Y19,AA19))</f>
        <v>28.3545454545455</v>
      </c>
      <c r="AC19" s="43" t="n">
        <f aca="false">IF(OR(D19="",AB19="",AB19="N/A"),"N/A",D19/AB19-1)</f>
        <v>0.0474511061237577</v>
      </c>
      <c r="AD19" s="43" t="n">
        <f aca="false">IF(OR(F19="",AB19="",AB19="N/A"),"N/A",F19/AB19-1)</f>
        <v>0.0631628727156139</v>
      </c>
      <c r="AE19" s="41" t="s">
        <v>270</v>
      </c>
    </row>
    <row r="20" customFormat="false" ht="123.75" hidden="false" customHeight="true" outlineLevel="0" collapsed="false">
      <c r="A20" s="1" t="s">
        <v>222</v>
      </c>
      <c r="B20" s="1" t="s">
        <v>137</v>
      </c>
      <c r="C20" s="41" t="s">
        <v>138</v>
      </c>
      <c r="D20" s="11" t="n">
        <f aca="false">'RSEA vs Quoted Comparison'!F20</f>
        <v>16.71</v>
      </c>
      <c r="E20" s="11" t="n">
        <f aca="false">'RSEA vs Quoted Comparison'!G20</f>
        <v>18.381</v>
      </c>
      <c r="F20" s="11" t="n">
        <f aca="false">IF('RSEA vs Quoted Comparison'!H20="","",'RSEA vs Quoted Comparison'!H20)</f>
        <v>16.93275</v>
      </c>
      <c r="G20" s="11" t="n">
        <f aca="false">IF('RSEA vs Quoted Comparison'!I20="","",'RSEA vs Quoted Comparison'!I20)</f>
        <v>18.626025</v>
      </c>
      <c r="H20" s="11" t="n">
        <f aca="false">'RSEA vs Quoted Comparison'!D20</f>
        <v>44.99</v>
      </c>
      <c r="I20" s="11" t="n">
        <f aca="false">'RSEA vs Quoted Comparison'!E20</f>
        <v>40.9</v>
      </c>
      <c r="J20" s="11" t="n">
        <f aca="false">K20*1.1</f>
        <v>26.653</v>
      </c>
      <c r="K20" s="11" t="n">
        <v>24.23</v>
      </c>
      <c r="L20" s="11" t="n">
        <v>29.61</v>
      </c>
      <c r="M20" s="11" t="n">
        <v>26.92</v>
      </c>
      <c r="N20" s="11" t="n">
        <v>35.7</v>
      </c>
      <c r="O20" s="11" t="n">
        <f aca="false">N20/1.1</f>
        <v>32.4545454545455</v>
      </c>
      <c r="P20" s="11" t="n">
        <v>33</v>
      </c>
      <c r="Q20" s="11" t="n">
        <v>30</v>
      </c>
      <c r="R20" s="11" t="n">
        <v>27.5</v>
      </c>
      <c r="S20" s="11" t="n">
        <f aca="false">R20/1.1</f>
        <v>25</v>
      </c>
      <c r="T20" s="11" t="n">
        <v>25.64</v>
      </c>
      <c r="U20" s="11" t="n">
        <f aca="false">T20/1.1</f>
        <v>23.3090909090909</v>
      </c>
      <c r="V20" s="42" t="s">
        <v>257</v>
      </c>
      <c r="W20" s="42" t="s">
        <v>257</v>
      </c>
      <c r="X20" s="11" t="n">
        <v>26.77</v>
      </c>
      <c r="Y20" s="11" t="n">
        <f aca="false">X20/1.1</f>
        <v>24.3363636363636</v>
      </c>
      <c r="Z20" s="11" t="n">
        <v>49.78</v>
      </c>
      <c r="AA20" s="11" t="n">
        <f aca="false">Z20/1.1</f>
        <v>45.2545454545455</v>
      </c>
      <c r="AB20" s="11" t="n">
        <f aca="false">IF(COUNT(I20,K20,M20,O20,Q20,S20,U20,W20,Y20,AA20)=0,"N/A",MIN(I20,K20,M20,O20,Q20,S20,U20,W20,Y20,AA20))</f>
        <v>23.3090909090909</v>
      </c>
      <c r="AC20" s="43" t="n">
        <f aca="false">IF(OR(D20="",AB20="",AB20="N/A"),"N/A",D20/AB20-1)</f>
        <v>-0.28311232449298</v>
      </c>
      <c r="AD20" s="43" t="n">
        <f aca="false">IF(OR(F20="",AB20="",AB20="N/A"),"N/A",F20/AB20-1)</f>
        <v>-0.27355596723869</v>
      </c>
      <c r="AE20" s="41" t="s">
        <v>271</v>
      </c>
    </row>
    <row r="21" customFormat="false" ht="138.75" hidden="false" customHeight="true" outlineLevel="0" collapsed="false">
      <c r="A21" s="1" t="s">
        <v>222</v>
      </c>
      <c r="B21" s="1" t="s">
        <v>141</v>
      </c>
      <c r="C21" s="41" t="s">
        <v>142</v>
      </c>
      <c r="D21" s="11" t="n">
        <f aca="false">'RSEA vs Quoted Comparison'!F21</f>
        <v>33.41</v>
      </c>
      <c r="E21" s="11" t="n">
        <f aca="false">'RSEA vs Quoted Comparison'!G21</f>
        <v>36.751</v>
      </c>
      <c r="F21" s="11" t="n">
        <f aca="false">IF('RSEA vs Quoted Comparison'!H21="","",'RSEA vs Quoted Comparison'!H21)</f>
        <v>33.8555</v>
      </c>
      <c r="G21" s="11" t="n">
        <f aca="false">IF('RSEA vs Quoted Comparison'!I21="","",'RSEA vs Quoted Comparison'!I21)</f>
        <v>37.24105</v>
      </c>
      <c r="H21" s="11" t="n">
        <f aca="false">'RSEA vs Quoted Comparison'!D21</f>
        <v>64.99</v>
      </c>
      <c r="I21" s="11" t="n">
        <f aca="false">'RSEA vs Quoted Comparison'!E21</f>
        <v>59.0818181818182</v>
      </c>
      <c r="J21" s="11" t="n">
        <f aca="false">K21*1.1</f>
        <v>26.653</v>
      </c>
      <c r="K21" s="11" t="n">
        <v>24.23</v>
      </c>
      <c r="L21" s="11" t="n">
        <v>31.89</v>
      </c>
      <c r="M21" s="11" t="n">
        <v>28.99</v>
      </c>
      <c r="N21" s="11" t="n">
        <v>53.4</v>
      </c>
      <c r="O21" s="11" t="n">
        <f aca="false">N21/1.1</f>
        <v>48.5454545454545</v>
      </c>
      <c r="P21" s="11" t="n">
        <v>45</v>
      </c>
      <c r="Q21" s="11" t="n">
        <v>40.91</v>
      </c>
      <c r="R21" s="42" t="s">
        <v>257</v>
      </c>
      <c r="S21" s="42" t="s">
        <v>257</v>
      </c>
      <c r="T21" s="11" t="n">
        <v>82.82</v>
      </c>
      <c r="U21" s="11" t="n">
        <f aca="false">T21/1.1</f>
        <v>75.2909090909091</v>
      </c>
      <c r="V21" s="42" t="s">
        <v>257</v>
      </c>
      <c r="W21" s="42" t="s">
        <v>257</v>
      </c>
      <c r="X21" s="11" t="n">
        <v>23.32</v>
      </c>
      <c r="Y21" s="11" t="n">
        <f aca="false">X21/1.1</f>
        <v>21.2</v>
      </c>
      <c r="Z21" s="45" t="n">
        <f aca="false">AA21*1.1</f>
        <v>48.851</v>
      </c>
      <c r="AA21" s="45" t="n">
        <v>44.41</v>
      </c>
      <c r="AB21" s="11" t="n">
        <f aca="false">IF(COUNT(I21,K21,M21,O21,Q21,S21,U21,W21,Y21,AA21)=0,"N/A",MIN(I21,K21,M21,O21,Q21,S21,U21,W21,Y21,AA21))</f>
        <v>21.2</v>
      </c>
      <c r="AC21" s="43" t="n">
        <f aca="false">IF(OR(D21="",AB21="",AB21="N/A"),"N/A",D21/AB21-1)</f>
        <v>0.575943396226415</v>
      </c>
      <c r="AD21" s="43" t="n">
        <f aca="false">IF(OR(F21="",AB21="",AB21="N/A"),"N/A",F21/AB21-1)</f>
        <v>0.596957547169811</v>
      </c>
      <c r="AE21" s="41" t="s">
        <v>272</v>
      </c>
    </row>
    <row r="22" customFormat="false" ht="138.75" hidden="false" customHeight="true" outlineLevel="0" collapsed="false">
      <c r="A22" s="1" t="s">
        <v>222</v>
      </c>
      <c r="B22" s="1" t="s">
        <v>147</v>
      </c>
      <c r="C22" s="41" t="s">
        <v>148</v>
      </c>
      <c r="D22" s="11" t="n">
        <f aca="false">'RSEA vs Quoted Comparison'!F22</f>
        <v>11.81</v>
      </c>
      <c r="E22" s="11" t="n">
        <f aca="false">'RSEA vs Quoted Comparison'!G22</f>
        <v>12.991</v>
      </c>
      <c r="F22" s="11" t="n">
        <f aca="false">IF('RSEA vs Quoted Comparison'!H22="","",'RSEA vs Quoted Comparison'!H22)</f>
        <v>12.03275</v>
      </c>
      <c r="G22" s="11" t="n">
        <f aca="false">IF('RSEA vs Quoted Comparison'!I22="","",'RSEA vs Quoted Comparison'!I22)</f>
        <v>13.236025</v>
      </c>
      <c r="H22" s="11" t="n">
        <f aca="false">'RSEA vs Quoted Comparison'!D22</f>
        <v>44.99</v>
      </c>
      <c r="I22" s="11" t="n">
        <f aca="false">'RSEA vs Quoted Comparison'!E22</f>
        <v>40.9</v>
      </c>
      <c r="J22" s="42" t="s">
        <v>257</v>
      </c>
      <c r="K22" s="42" t="s">
        <v>257</v>
      </c>
      <c r="L22" s="11" t="n">
        <v>29.61</v>
      </c>
      <c r="M22" s="11" t="n">
        <v>26.92</v>
      </c>
      <c r="N22" s="11" t="n">
        <v>42.5</v>
      </c>
      <c r="O22" s="11" t="n">
        <f aca="false">N22/1.1</f>
        <v>38.6363636363636</v>
      </c>
      <c r="P22" s="11" t="n">
        <v>24.2</v>
      </c>
      <c r="Q22" s="11" t="n">
        <v>22</v>
      </c>
      <c r="R22" s="11" t="n">
        <v>27.5</v>
      </c>
      <c r="S22" s="11" t="n">
        <f aca="false">R22/1.1</f>
        <v>25</v>
      </c>
      <c r="T22" s="11" t="n">
        <v>33.12</v>
      </c>
      <c r="U22" s="11" t="n">
        <f aca="false">T22/1.1</f>
        <v>30.1090909090909</v>
      </c>
      <c r="V22" s="42" t="s">
        <v>257</v>
      </c>
      <c r="W22" s="42" t="s">
        <v>257</v>
      </c>
      <c r="X22" s="11" t="n">
        <v>23.32</v>
      </c>
      <c r="Y22" s="11" t="n">
        <f aca="false">X22/1.1</f>
        <v>21.2</v>
      </c>
      <c r="Z22" s="11" t="n">
        <v>48.85</v>
      </c>
      <c r="AA22" s="11" t="n">
        <f aca="false">Z22/1.1</f>
        <v>44.4090909090909</v>
      </c>
      <c r="AB22" s="11" t="n">
        <f aca="false">IF(COUNT(I22,K22,M22,O22,Q22,S22,U22,W22,Y22,AA22)=0,"N/A",MIN(I22,K22,M22,O22,Q22,S22,U22,W22,Y22,AA22))</f>
        <v>21.2</v>
      </c>
      <c r="AC22" s="43" t="n">
        <f aca="false">IF(OR(D22="",AB22="",AB22="N/A"),"N/A",D22/AB22-1)</f>
        <v>-0.442924528301887</v>
      </c>
      <c r="AD22" s="43" t="n">
        <f aca="false">IF(OR(F22="",AB22="",AB22="N/A"),"N/A",F22/AB22-1)</f>
        <v>-0.432417452830189</v>
      </c>
      <c r="AE22" s="41" t="s">
        <v>273</v>
      </c>
    </row>
    <row r="23" customFormat="false" ht="108.75" hidden="false" customHeight="true" outlineLevel="0" collapsed="false">
      <c r="A23" s="1" t="s">
        <v>222</v>
      </c>
      <c r="B23" s="1" t="s">
        <v>151</v>
      </c>
      <c r="C23" s="41" t="s">
        <v>152</v>
      </c>
      <c r="D23" s="11" t="n">
        <f aca="false">'RSEA vs Quoted Comparison'!F23</f>
        <v>11.81</v>
      </c>
      <c r="E23" s="11" t="n">
        <f aca="false">'RSEA vs Quoted Comparison'!G23</f>
        <v>12.991</v>
      </c>
      <c r="F23" s="11" t="n">
        <f aca="false">IF('RSEA vs Quoted Comparison'!H23="","",'RSEA vs Quoted Comparison'!H23)</f>
        <v>12.03275</v>
      </c>
      <c r="G23" s="11" t="n">
        <f aca="false">IF('RSEA vs Quoted Comparison'!I23="","",'RSEA vs Quoted Comparison'!I23)</f>
        <v>13.236025</v>
      </c>
      <c r="H23" s="11" t="n">
        <f aca="false">'RSEA vs Quoted Comparison'!D23</f>
        <v>49.99</v>
      </c>
      <c r="I23" s="11" t="n">
        <f aca="false">'RSEA vs Quoted Comparison'!E23</f>
        <v>45.4454545454545</v>
      </c>
      <c r="J23" s="11" t="n">
        <f aca="false">K23*1.1</f>
        <v>26.653</v>
      </c>
      <c r="K23" s="11" t="n">
        <v>24.23</v>
      </c>
      <c r="L23" s="11" t="n">
        <v>31.21</v>
      </c>
      <c r="M23" s="11" t="n">
        <v>28.37</v>
      </c>
      <c r="N23" s="11" t="n">
        <v>53.4</v>
      </c>
      <c r="O23" s="11" t="n">
        <f aca="false">N23/1.1</f>
        <v>48.5454545454545</v>
      </c>
      <c r="P23" s="11" t="n">
        <v>24.2</v>
      </c>
      <c r="Q23" s="11" t="n">
        <v>22</v>
      </c>
      <c r="R23" s="11" t="n">
        <v>27.5</v>
      </c>
      <c r="S23" s="11" t="n">
        <f aca="false">R23/1.1</f>
        <v>25</v>
      </c>
      <c r="T23" s="11" t="n">
        <v>33.33</v>
      </c>
      <c r="U23" s="11" t="n">
        <f aca="false">T23/1.1</f>
        <v>30.3</v>
      </c>
      <c r="V23" s="42" t="s">
        <v>257</v>
      </c>
      <c r="W23" s="42" t="s">
        <v>257</v>
      </c>
      <c r="X23" s="11" t="n">
        <v>23.32</v>
      </c>
      <c r="Y23" s="11" t="n">
        <f aca="false">X23/1.1</f>
        <v>21.2</v>
      </c>
      <c r="Z23" s="45" t="n">
        <v>48.85</v>
      </c>
      <c r="AA23" s="45" t="n">
        <v>44.41</v>
      </c>
      <c r="AB23" s="11" t="n">
        <f aca="false">IF(COUNT(I23,K23,M23,O23,Q23,S23,U23,W23,Y23,AA23)=0,"N/A",MIN(I23,K23,M23,O23,Q23,S23,U23,W23,Y23,AA23))</f>
        <v>21.2</v>
      </c>
      <c r="AC23" s="43" t="n">
        <f aca="false">IF(OR(D23="",AB23="",AB23="N/A"),"N/A",D23/AB23-1)</f>
        <v>-0.442924528301887</v>
      </c>
      <c r="AD23" s="43" t="n">
        <f aca="false">IF(OR(F23="",AB23="",AB23="N/A"),"N/A",F23/AB23-1)</f>
        <v>-0.432417452830189</v>
      </c>
      <c r="AE23" s="41" t="s">
        <v>274</v>
      </c>
    </row>
    <row r="24" customFormat="false" ht="48.75" hidden="false" customHeight="true" outlineLevel="0" collapsed="false">
      <c r="A24" s="1" t="s">
        <v>222</v>
      </c>
      <c r="B24" s="1" t="s">
        <v>153</v>
      </c>
      <c r="C24" s="41" t="s">
        <v>154</v>
      </c>
      <c r="D24" s="11" t="n">
        <f aca="false">'RSEA vs Quoted Comparison'!F24</f>
        <v>5.9</v>
      </c>
      <c r="E24" s="11" t="n">
        <f aca="false">'RSEA vs Quoted Comparison'!G24</f>
        <v>6.49</v>
      </c>
      <c r="F24" s="11" t="n">
        <f aca="false">IF('RSEA vs Quoted Comparison'!H24="","",'RSEA vs Quoted Comparison'!H24)</f>
        <v>6.011375</v>
      </c>
      <c r="G24" s="11" t="n">
        <f aca="false">IF('RSEA vs Quoted Comparison'!I24="","",'RSEA vs Quoted Comparison'!I24)</f>
        <v>6.6125125</v>
      </c>
      <c r="H24" s="11" t="n">
        <f aca="false">'RSEA vs Quoted Comparison'!D24</f>
        <v>37.99</v>
      </c>
      <c r="I24" s="11" t="n">
        <f aca="false">'RSEA vs Quoted Comparison'!E24</f>
        <v>34.5363636363636</v>
      </c>
      <c r="J24" s="42" t="s">
        <v>257</v>
      </c>
      <c r="K24" s="42" t="s">
        <v>257</v>
      </c>
      <c r="L24" s="42" t="s">
        <v>257</v>
      </c>
      <c r="M24" s="42" t="s">
        <v>257</v>
      </c>
      <c r="N24" s="42" t="s">
        <v>257</v>
      </c>
      <c r="O24" s="42" t="s">
        <v>257</v>
      </c>
      <c r="P24" s="42" t="s">
        <v>257</v>
      </c>
      <c r="Q24" s="42" t="s">
        <v>257</v>
      </c>
      <c r="R24" s="42" t="s">
        <v>257</v>
      </c>
      <c r="S24" s="42" t="s">
        <v>257</v>
      </c>
      <c r="T24" s="42" t="s">
        <v>257</v>
      </c>
      <c r="U24" s="42" t="s">
        <v>257</v>
      </c>
      <c r="V24" s="42" t="s">
        <v>257</v>
      </c>
      <c r="W24" s="42" t="s">
        <v>257</v>
      </c>
      <c r="X24" s="42" t="s">
        <v>257</v>
      </c>
      <c r="Y24" s="42" t="s">
        <v>257</v>
      </c>
      <c r="Z24" s="45" t="n">
        <v>46.13</v>
      </c>
      <c r="AA24" s="45" t="n">
        <v>41.94</v>
      </c>
      <c r="AB24" s="11" t="n">
        <f aca="false">IF(COUNT(I24,K24,M24,O24,Q24,S24,U24,W24,Y24,AA24)=0,"N/A",MIN(I24,K24,M24,O24,Q24,S24,U24,W24,Y24,AA24))</f>
        <v>34.5363636363636</v>
      </c>
      <c r="AC24" s="43" t="n">
        <f aca="false">IF(OR(D24="",AB24="",AB24="N/A"),"N/A",D24/AB24-1)</f>
        <v>-0.829165569886812</v>
      </c>
      <c r="AD24" s="43" t="n">
        <f aca="false">IF(OR(F24="",AB24="",AB24="N/A"),"N/A",F24/AB24-1)</f>
        <v>-0.825940708081074</v>
      </c>
      <c r="AE24" s="41" t="s">
        <v>268</v>
      </c>
    </row>
    <row r="25" customFormat="false" ht="153.75" hidden="false" customHeight="true" outlineLevel="0" collapsed="false">
      <c r="A25" s="1" t="s">
        <v>222</v>
      </c>
      <c r="B25" s="1" t="s">
        <v>159</v>
      </c>
      <c r="C25" s="41" t="s">
        <v>160</v>
      </c>
      <c r="D25" s="11" t="n">
        <f aca="false">'RSEA vs Quoted Comparison'!F25</f>
        <v>11.81</v>
      </c>
      <c r="E25" s="11" t="n">
        <f aca="false">'RSEA vs Quoted Comparison'!G25</f>
        <v>12.991</v>
      </c>
      <c r="F25" s="11" t="n">
        <f aca="false">IF('RSEA vs Quoted Comparison'!H25="","",'RSEA vs Quoted Comparison'!H25)</f>
        <v>12.03275</v>
      </c>
      <c r="G25" s="11" t="n">
        <f aca="false">IF('RSEA vs Quoted Comparison'!I25="","",'RSEA vs Quoted Comparison'!I25)</f>
        <v>13.236025</v>
      </c>
      <c r="H25" s="11" t="n">
        <f aca="false">'RSEA vs Quoted Comparison'!D25</f>
        <v>49.99</v>
      </c>
      <c r="I25" s="11" t="n">
        <f aca="false">'RSEA vs Quoted Comparison'!E25</f>
        <v>45.4454545454545</v>
      </c>
      <c r="J25" s="42" t="s">
        <v>257</v>
      </c>
      <c r="K25" s="42" t="s">
        <v>257</v>
      </c>
      <c r="L25" s="42" t="s">
        <v>257</v>
      </c>
      <c r="M25" s="42" t="s">
        <v>257</v>
      </c>
      <c r="N25" s="11" t="n">
        <v>42.5</v>
      </c>
      <c r="O25" s="11" t="n">
        <f aca="false">N25/1.1</f>
        <v>38.6363636363636</v>
      </c>
      <c r="P25" s="11" t="n">
        <v>24.2</v>
      </c>
      <c r="Q25" s="11" t="n">
        <v>22</v>
      </c>
      <c r="R25" s="11" t="n">
        <v>33.5</v>
      </c>
      <c r="S25" s="11" t="n">
        <f aca="false">R25/1.1</f>
        <v>30.4545454545455</v>
      </c>
      <c r="T25" s="11" t="n">
        <v>34.46</v>
      </c>
      <c r="U25" s="11" t="n">
        <f aca="false">T25/1.1</f>
        <v>31.3272727272727</v>
      </c>
      <c r="V25" s="11" t="n">
        <f aca="false">W25*1.1</f>
        <v>24.75</v>
      </c>
      <c r="W25" s="11" t="n">
        <v>22.5</v>
      </c>
      <c r="X25" s="11" t="n">
        <v>10.29</v>
      </c>
      <c r="Y25" s="11" t="n">
        <f aca="false">X25/1.1</f>
        <v>9.35454545454545</v>
      </c>
      <c r="Z25" s="45" t="n">
        <v>48.85</v>
      </c>
      <c r="AA25" s="45" t="n">
        <v>44.41</v>
      </c>
      <c r="AB25" s="11" t="n">
        <f aca="false">IF(COUNT(I25,K25,M25,O25,Q25,S25,U25,W25,Y25,AA25)=0,"N/A",MIN(I25,K25,M25,O25,Q25,S25,U25,W25,Y25,AA25))</f>
        <v>9.35454545454545</v>
      </c>
      <c r="AC25" s="43" t="n">
        <f aca="false">IF(OR(D25="",AB25="",AB25="N/A"),"N/A",D25/AB25-1)</f>
        <v>0.262487852283771</v>
      </c>
      <c r="AD25" s="43" t="n">
        <f aca="false">IF(OR(F25="",AB25="",AB25="N/A"),"N/A",F25/AB25-1)</f>
        <v>0.28629980563654</v>
      </c>
      <c r="AE25" s="41" t="s">
        <v>275</v>
      </c>
    </row>
    <row r="26" customFormat="false" ht="108.75" hidden="false" customHeight="true" outlineLevel="0" collapsed="false">
      <c r="A26" s="1" t="s">
        <v>222</v>
      </c>
      <c r="B26" s="1" t="s">
        <v>171</v>
      </c>
      <c r="C26" s="41" t="s">
        <v>172</v>
      </c>
      <c r="D26" s="11" t="n">
        <f aca="false">'RSEA vs Quoted Comparison'!F26</f>
        <v>11.81</v>
      </c>
      <c r="E26" s="11" t="n">
        <f aca="false">'RSEA vs Quoted Comparison'!G26</f>
        <v>12.991</v>
      </c>
      <c r="F26" s="11" t="n">
        <f aca="false">IF('RSEA vs Quoted Comparison'!H26="","",'RSEA vs Quoted Comparison'!H26)</f>
        <v>12.03275</v>
      </c>
      <c r="G26" s="11" t="n">
        <f aca="false">IF('RSEA vs Quoted Comparison'!I26="","",'RSEA vs Quoted Comparison'!I26)</f>
        <v>13.236025</v>
      </c>
      <c r="H26" s="11" t="n">
        <f aca="false">'RSEA vs Quoted Comparison'!D26</f>
        <v>44.99</v>
      </c>
      <c r="I26" s="11" t="n">
        <f aca="false">'RSEA vs Quoted Comparison'!E26</f>
        <v>40.9</v>
      </c>
      <c r="J26" s="42" t="s">
        <v>257</v>
      </c>
      <c r="K26" s="42" t="s">
        <v>257</v>
      </c>
      <c r="L26" s="42" t="s">
        <v>257</v>
      </c>
      <c r="M26" s="42" t="s">
        <v>257</v>
      </c>
      <c r="N26" s="11" t="n">
        <v>42.5</v>
      </c>
      <c r="O26" s="11" t="n">
        <f aca="false">N26/1.1</f>
        <v>38.6363636363636</v>
      </c>
      <c r="P26" s="11" t="n">
        <v>22.05</v>
      </c>
      <c r="Q26" s="11" t="n">
        <v>20.05</v>
      </c>
      <c r="R26" s="11" t="n">
        <v>30</v>
      </c>
      <c r="S26" s="11" t="n">
        <f aca="false">R26/1.1</f>
        <v>27.2727272727273</v>
      </c>
      <c r="T26" s="11" t="n">
        <v>31.19</v>
      </c>
      <c r="U26" s="11" t="n">
        <f aca="false">T26/1.1</f>
        <v>28.3545454545455</v>
      </c>
      <c r="V26" s="42" t="s">
        <v>257</v>
      </c>
      <c r="W26" s="42" t="s">
        <v>257</v>
      </c>
      <c r="X26" s="11" t="n">
        <v>10.29</v>
      </c>
      <c r="Y26" s="11" t="n">
        <f aca="false">X26/1.1</f>
        <v>9.35454545454545</v>
      </c>
      <c r="Z26" s="11" t="n">
        <v>65.63</v>
      </c>
      <c r="AA26" s="11" t="n">
        <f aca="false">Z26/1.1</f>
        <v>59.6636363636364</v>
      </c>
      <c r="AB26" s="11" t="n">
        <f aca="false">IF(COUNT(I26,K26,M26,O26,Q26,S26,U26,W26,Y26,AA26)=0,"N/A",MIN(I26,K26,M26,O26,Q26,S26,U26,W26,Y26,AA26))</f>
        <v>9.35454545454545</v>
      </c>
      <c r="AC26" s="43" t="n">
        <f aca="false">IF(OR(D26="",AB26="",AB26="N/A"),"N/A",D26/AB26-1)</f>
        <v>0.262487852283771</v>
      </c>
      <c r="AD26" s="43" t="n">
        <f aca="false">IF(OR(F26="",AB26="",AB26="N/A"),"N/A",F26/AB26-1)</f>
        <v>0.28629980563654</v>
      </c>
      <c r="AE26" s="41" t="s">
        <v>258</v>
      </c>
    </row>
    <row r="27" customFormat="false" ht="108.75" hidden="false" customHeight="true" outlineLevel="0" collapsed="false">
      <c r="A27" s="1" t="s">
        <v>222</v>
      </c>
      <c r="B27" s="1" t="s">
        <v>276</v>
      </c>
      <c r="C27" s="41" t="s">
        <v>173</v>
      </c>
      <c r="D27" s="11" t="n">
        <f aca="false">'RSEA vs Quoted Comparison'!F27</f>
        <v>11.81</v>
      </c>
      <c r="E27" s="11" t="n">
        <f aca="false">'RSEA vs Quoted Comparison'!G27</f>
        <v>12.991</v>
      </c>
      <c r="F27" s="11" t="n">
        <f aca="false">IF('RSEA vs Quoted Comparison'!H27="","",'RSEA vs Quoted Comparison'!H27)</f>
        <v>12.03275</v>
      </c>
      <c r="G27" s="11" t="n">
        <f aca="false">IF('RSEA vs Quoted Comparison'!I27="","",'RSEA vs Quoted Comparison'!I27)</f>
        <v>13.236025</v>
      </c>
      <c r="H27" s="11" t="n">
        <f aca="false">'RSEA vs Quoted Comparison'!D27</f>
        <v>44.99</v>
      </c>
      <c r="I27" s="11" t="n">
        <f aca="false">'RSEA vs Quoted Comparison'!E27</f>
        <v>40.9</v>
      </c>
      <c r="J27" s="42" t="s">
        <v>257</v>
      </c>
      <c r="K27" s="42" t="s">
        <v>257</v>
      </c>
      <c r="L27" s="42" t="s">
        <v>257</v>
      </c>
      <c r="M27" s="42" t="s">
        <v>257</v>
      </c>
      <c r="N27" s="11" t="n">
        <v>35.75</v>
      </c>
      <c r="O27" s="11" t="n">
        <f aca="false">N27/1.1</f>
        <v>32.5</v>
      </c>
      <c r="P27" s="11" t="n">
        <v>42.5</v>
      </c>
      <c r="Q27" s="11" t="n">
        <v>38.64</v>
      </c>
      <c r="R27" s="11" t="n">
        <v>27.5</v>
      </c>
      <c r="S27" s="11" t="n">
        <f aca="false">R27/1.1</f>
        <v>25</v>
      </c>
      <c r="T27" s="11" t="n">
        <v>30.11</v>
      </c>
      <c r="U27" s="11" t="n">
        <f aca="false">T27/1.1</f>
        <v>27.3727272727273</v>
      </c>
      <c r="V27" s="42" t="s">
        <v>257</v>
      </c>
      <c r="W27" s="42" t="s">
        <v>257</v>
      </c>
      <c r="X27" s="11" t="n">
        <v>23.32</v>
      </c>
      <c r="Y27" s="11" t="n">
        <f aca="false">X27/1.1</f>
        <v>21.2</v>
      </c>
      <c r="Z27" s="11" t="n">
        <v>49.78</v>
      </c>
      <c r="AA27" s="11" t="n">
        <f aca="false">Z27/1.1</f>
        <v>45.2545454545455</v>
      </c>
      <c r="AB27" s="11" t="n">
        <f aca="false">IF(COUNT(I27,K27,M27,O27,Q27,S27,U27,W27,Y27,AA27)=0,"N/A",MIN(I27,K27,M27,O27,Q27,S27,U27,W27,Y27,AA27))</f>
        <v>21.2</v>
      </c>
      <c r="AC27" s="43" t="n">
        <f aca="false">IF(OR(D27="",AB27="",AB27="N/A"),"N/A",D27/AB27-1)</f>
        <v>-0.442924528301887</v>
      </c>
      <c r="AD27" s="43" t="n">
        <f aca="false">IF(OR(F27="",AB27="",AB27="N/A"),"N/A",F27/AB27-1)</f>
        <v>-0.432417452830189</v>
      </c>
      <c r="AE27" s="41" t="s">
        <v>277</v>
      </c>
    </row>
    <row r="28" customFormat="false" ht="153.75" hidden="false" customHeight="true" outlineLevel="0" collapsed="false">
      <c r="A28" s="1" t="s">
        <v>222</v>
      </c>
      <c r="B28" s="1" t="s">
        <v>167</v>
      </c>
      <c r="C28" s="41" t="s">
        <v>168</v>
      </c>
      <c r="D28" s="11" t="n">
        <f aca="false">'RSEA vs Quoted Comparison'!F28</f>
        <v>33.41</v>
      </c>
      <c r="E28" s="11" t="n">
        <f aca="false">'RSEA vs Quoted Comparison'!G28</f>
        <v>36.751</v>
      </c>
      <c r="F28" s="11" t="n">
        <f aca="false">IF('RSEA vs Quoted Comparison'!H28="","",'RSEA vs Quoted Comparison'!H28)</f>
        <v>33.8555</v>
      </c>
      <c r="G28" s="11" t="n">
        <f aca="false">IF('RSEA vs Quoted Comparison'!I28="","",'RSEA vs Quoted Comparison'!I28)</f>
        <v>37.24105</v>
      </c>
      <c r="H28" s="11" t="n">
        <f aca="false">'RSEA vs Quoted Comparison'!D28</f>
        <v>142.99</v>
      </c>
      <c r="I28" s="11" t="n">
        <f aca="false">'RSEA vs Quoted Comparison'!E28</f>
        <v>129.990909090909</v>
      </c>
      <c r="J28" s="42" t="s">
        <v>257</v>
      </c>
      <c r="K28" s="42" t="s">
        <v>257</v>
      </c>
      <c r="L28" s="42" t="s">
        <v>257</v>
      </c>
      <c r="M28" s="42" t="s">
        <v>257</v>
      </c>
      <c r="N28" s="11" t="n">
        <v>35.75</v>
      </c>
      <c r="O28" s="11" t="n">
        <f aca="false">N28/1.1</f>
        <v>32.5</v>
      </c>
      <c r="P28" s="11" t="n">
        <v>57</v>
      </c>
      <c r="Q28" s="11" t="n">
        <v>51.82</v>
      </c>
      <c r="R28" s="11" t="n">
        <v>74.8</v>
      </c>
      <c r="S28" s="11" t="n">
        <f aca="false">R28/1.1</f>
        <v>68</v>
      </c>
      <c r="T28" s="11" t="n">
        <v>98.07</v>
      </c>
      <c r="U28" s="11" t="n">
        <f aca="false">T28/1.1</f>
        <v>89.1545454545454</v>
      </c>
      <c r="V28" s="42" t="s">
        <v>257</v>
      </c>
      <c r="W28" s="42" t="s">
        <v>257</v>
      </c>
      <c r="X28" s="11" t="n">
        <v>110.1</v>
      </c>
      <c r="Y28" s="11" t="n">
        <f aca="false">X28/1.1</f>
        <v>100.090909090909</v>
      </c>
      <c r="Z28" s="42" t="s">
        <v>257</v>
      </c>
      <c r="AA28" s="42" t="s">
        <v>257</v>
      </c>
      <c r="AB28" s="11" t="n">
        <f aca="false">IF(COUNT(I28,K28,M28,O28,Q28,S28,U28,W28,Y28,AA28)=0,"N/A",MIN(I28,K28,M28,O28,Q28,S28,U28,W28,Y28,AA28))</f>
        <v>32.5</v>
      </c>
      <c r="AC28" s="43" t="n">
        <f aca="false">IF(OR(D28="",AB28="",AB28="N/A"),"N/A",D28/AB28-1)</f>
        <v>0.0279999999999998</v>
      </c>
      <c r="AD28" s="43" t="n">
        <f aca="false">IF(OR(F28="",AB28="",AB28="N/A"),"N/A",F28/AB28-1)</f>
        <v>0.0417076923076922</v>
      </c>
      <c r="AE28" s="41" t="s">
        <v>278</v>
      </c>
    </row>
    <row r="29" customFormat="false" ht="138.75" hidden="false" customHeight="true" outlineLevel="0" collapsed="false">
      <c r="A29" s="1" t="s">
        <v>222</v>
      </c>
      <c r="B29" s="1" t="s">
        <v>174</v>
      </c>
      <c r="C29" s="41" t="s">
        <v>175</v>
      </c>
      <c r="D29" s="11" t="n">
        <f aca="false">'RSEA vs Quoted Comparison'!F29</f>
        <v>33.41</v>
      </c>
      <c r="E29" s="11" t="n">
        <f aca="false">'RSEA vs Quoted Comparison'!G29</f>
        <v>36.751</v>
      </c>
      <c r="F29" s="11" t="n">
        <f aca="false">IF('RSEA vs Quoted Comparison'!H29="","",'RSEA vs Quoted Comparison'!H29)</f>
        <v>33.8555</v>
      </c>
      <c r="G29" s="11" t="n">
        <f aca="false">IF('RSEA vs Quoted Comparison'!I29="","",'RSEA vs Quoted Comparison'!I29)</f>
        <v>37.24105</v>
      </c>
      <c r="H29" s="11" t="n">
        <f aca="false">'RSEA vs Quoted Comparison'!D29</f>
        <v>142.99</v>
      </c>
      <c r="I29" s="11" t="n">
        <f aca="false">'RSEA vs Quoted Comparison'!E29</f>
        <v>129.990909090909</v>
      </c>
      <c r="J29" s="11" t="n">
        <f aca="false">K29*1.1</f>
        <v>109.153</v>
      </c>
      <c r="K29" s="11" t="n">
        <v>99.23</v>
      </c>
      <c r="L29" s="11" t="n">
        <v>61.59</v>
      </c>
      <c r="M29" s="11" t="n">
        <v>55.99</v>
      </c>
      <c r="N29" s="11" t="n">
        <v>49.5</v>
      </c>
      <c r="O29" s="11" t="n">
        <f aca="false">N29/1.1</f>
        <v>45</v>
      </c>
      <c r="P29" s="11" t="n">
        <v>57</v>
      </c>
      <c r="Q29" s="11" t="n">
        <v>51.82</v>
      </c>
      <c r="R29" s="11" t="n">
        <v>74.8</v>
      </c>
      <c r="S29" s="11" t="n">
        <f aca="false">R29/1.1</f>
        <v>68</v>
      </c>
      <c r="T29" s="11" t="n">
        <v>114.08</v>
      </c>
      <c r="U29" s="11" t="n">
        <f aca="false">T29/1.1</f>
        <v>103.709090909091</v>
      </c>
      <c r="V29" s="42" t="s">
        <v>257</v>
      </c>
      <c r="W29" s="42" t="s">
        <v>257</v>
      </c>
      <c r="X29" s="11" t="n">
        <v>110.1</v>
      </c>
      <c r="Y29" s="11" t="n">
        <f aca="false">X29/1.1</f>
        <v>100.090909090909</v>
      </c>
      <c r="Z29" s="45" t="n">
        <f aca="false">AA29*1.1</f>
        <v>133.386</v>
      </c>
      <c r="AA29" s="45" t="n">
        <v>121.26</v>
      </c>
      <c r="AB29" s="11" t="n">
        <f aca="false">IF(COUNT(I29,K29,M29,O29,Q29,S29,U29,W29,Y29,AA29)=0,"N/A",MIN(I29,K29,M29,O29,Q29,S29,U29,W29,Y29,AA29))</f>
        <v>45</v>
      </c>
      <c r="AC29" s="43" t="n">
        <f aca="false">IF(OR(D29="",AB29="",AB29="N/A"),"N/A",D29/AB29-1)</f>
        <v>-0.257555555555556</v>
      </c>
      <c r="AD29" s="43" t="n">
        <f aca="false">IF(OR(F29="",AB29="",AB29="N/A"),"N/A",F29/AB29-1)</f>
        <v>-0.247655555555555</v>
      </c>
      <c r="AE29" s="41" t="s">
        <v>279</v>
      </c>
    </row>
    <row r="30" customFormat="false" ht="153.75" hidden="false" customHeight="true" outlineLevel="0" collapsed="false">
      <c r="A30" s="1" t="s">
        <v>223</v>
      </c>
      <c r="B30" s="1" t="s">
        <v>49</v>
      </c>
      <c r="C30" s="41" t="s">
        <v>50</v>
      </c>
      <c r="D30" s="11" t="n">
        <f aca="false">'RSEA vs Quoted Comparison'!F30</f>
        <v>13.07</v>
      </c>
      <c r="E30" s="11" t="n">
        <f aca="false">'RSEA vs Quoted Comparison'!G30</f>
        <v>14.377</v>
      </c>
      <c r="F30" s="11" t="str">
        <f aca="false">IF('RSEA vs Quoted Comparison'!H30="","",'RSEA vs Quoted Comparison'!H30)</f>
        <v/>
      </c>
      <c r="G30" s="11" t="str">
        <f aca="false">IF('RSEA vs Quoted Comparison'!I30="","",'RSEA vs Quoted Comparison'!I30)</f>
        <v/>
      </c>
      <c r="H30" s="11" t="n">
        <f aca="false">'RSEA vs Quoted Comparison'!D30</f>
        <v>57.99</v>
      </c>
      <c r="I30" s="11" t="n">
        <f aca="false">'RSEA vs Quoted Comparison'!E30</f>
        <v>52.7181818181818</v>
      </c>
      <c r="J30" s="11" t="n">
        <f aca="false">K30*1.1</f>
        <v>164.098</v>
      </c>
      <c r="K30" s="11" t="n">
        <v>149.18</v>
      </c>
      <c r="L30" s="42" t="s">
        <v>257</v>
      </c>
      <c r="M30" s="42" t="s">
        <v>257</v>
      </c>
      <c r="N30" s="42" t="s">
        <v>257</v>
      </c>
      <c r="O30" s="42" t="s">
        <v>257</v>
      </c>
      <c r="P30" s="42" t="s">
        <v>257</v>
      </c>
      <c r="Q30" s="42" t="s">
        <v>257</v>
      </c>
      <c r="R30" s="11" t="n">
        <v>34.1</v>
      </c>
      <c r="S30" s="11" t="n">
        <f aca="false">R30/1.1</f>
        <v>31</v>
      </c>
      <c r="T30" s="11" t="n">
        <v>61.04</v>
      </c>
      <c r="U30" s="11" t="n">
        <f aca="false">T30/1.1</f>
        <v>55.4909090909091</v>
      </c>
      <c r="V30" s="11" t="n">
        <f aca="false">W30*1.1</f>
        <v>30.8</v>
      </c>
      <c r="W30" s="11" t="n">
        <v>28</v>
      </c>
      <c r="X30" s="42" t="s">
        <v>257</v>
      </c>
      <c r="Y30" s="42" t="s">
        <v>257</v>
      </c>
      <c r="Z30" s="42" t="s">
        <v>257</v>
      </c>
      <c r="AA30" s="42" t="s">
        <v>257</v>
      </c>
      <c r="AB30" s="11" t="n">
        <f aca="false">IF(COUNT(I30,K30,M30,O30,Q30,S30,U30,W30,Y30,AA30)=0,"N/A",MIN(I30,K30,M30,O30,Q30,S30,U30,W30,Y30,AA30))</f>
        <v>28</v>
      </c>
      <c r="AC30" s="43" t="n">
        <f aca="false">IF(OR(D30="",AB30="",AB30="N/A"),"N/A",D30/AB30-1)</f>
        <v>-0.533214285714286</v>
      </c>
      <c r="AD30" s="43" t="str">
        <f aca="false">IF(OR(F30="",AB30="",AB30="N/A"),"N/A",F30/AB30-1)</f>
        <v>N/A</v>
      </c>
      <c r="AE30" s="41" t="s">
        <v>280</v>
      </c>
    </row>
    <row r="31" customFormat="false" ht="108.75" hidden="false" customHeight="true" outlineLevel="0" collapsed="false">
      <c r="A31" s="1" t="s">
        <v>223</v>
      </c>
      <c r="B31" s="1" t="s">
        <v>51</v>
      </c>
      <c r="C31" s="41" t="s">
        <v>52</v>
      </c>
      <c r="D31" s="11" t="n">
        <f aca="false">'RSEA vs Quoted Comparison'!F31</f>
        <v>13.07</v>
      </c>
      <c r="E31" s="11" t="n">
        <f aca="false">'RSEA vs Quoted Comparison'!G31</f>
        <v>14.377</v>
      </c>
      <c r="F31" s="11" t="str">
        <f aca="false">IF('RSEA vs Quoted Comparison'!H31="","",'RSEA vs Quoted Comparison'!H31)</f>
        <v/>
      </c>
      <c r="G31" s="11" t="str">
        <f aca="false">IF('RSEA vs Quoted Comparison'!I31="","",'RSEA vs Quoted Comparison'!I31)</f>
        <v/>
      </c>
      <c r="H31" s="11" t="n">
        <f aca="false">'RSEA vs Quoted Comparison'!D31</f>
        <v>44.99</v>
      </c>
      <c r="I31" s="11" t="n">
        <f aca="false">'RSEA vs Quoted Comparison'!E31</f>
        <v>40.9</v>
      </c>
      <c r="J31" s="42" t="s">
        <v>257</v>
      </c>
      <c r="K31" s="42" t="s">
        <v>257</v>
      </c>
      <c r="L31" s="42" t="s">
        <v>257</v>
      </c>
      <c r="M31" s="42" t="s">
        <v>257</v>
      </c>
      <c r="N31" s="42" t="s">
        <v>257</v>
      </c>
      <c r="O31" s="42" t="s">
        <v>257</v>
      </c>
      <c r="P31" s="42" t="s">
        <v>257</v>
      </c>
      <c r="Q31" s="42" t="s">
        <v>257</v>
      </c>
      <c r="R31" s="11" t="n">
        <v>34.1</v>
      </c>
      <c r="S31" s="11" t="n">
        <f aca="false">R31/1.1</f>
        <v>31</v>
      </c>
      <c r="T31" s="11" t="n">
        <v>47.14</v>
      </c>
      <c r="U31" s="11" t="n">
        <f aca="false">T31/1.1</f>
        <v>42.8545454545455</v>
      </c>
      <c r="V31" s="42" t="s">
        <v>257</v>
      </c>
      <c r="W31" s="42" t="s">
        <v>257</v>
      </c>
      <c r="X31" s="11" t="n">
        <v>53.22</v>
      </c>
      <c r="Y31" s="11" t="n">
        <f aca="false">X31/1.1</f>
        <v>48.3818181818182</v>
      </c>
      <c r="Z31" s="42" t="s">
        <v>257</v>
      </c>
      <c r="AA31" s="42" t="s">
        <v>257</v>
      </c>
      <c r="AB31" s="11" t="n">
        <f aca="false">IF(COUNT(I31,K31,M31,O31,Q31,S31,U31,W31,Y31,AA31)=0,"N/A",MIN(I31,K31,M31,O31,Q31,S31,U31,W31,Y31,AA31))</f>
        <v>31</v>
      </c>
      <c r="AC31" s="43" t="n">
        <f aca="false">IF(OR(D31="",AB31="",AB31="N/A"),"N/A",D31/AB31-1)</f>
        <v>-0.578387096774194</v>
      </c>
      <c r="AD31" s="43" t="str">
        <f aca="false">IF(OR(F31="",AB31="",AB31="N/A"),"N/A",F31/AB31-1)</f>
        <v>N/A</v>
      </c>
      <c r="AE31" s="41" t="s">
        <v>281</v>
      </c>
    </row>
    <row r="32" customFormat="false" ht="138.75" hidden="false" customHeight="true" outlineLevel="0" collapsed="false">
      <c r="A32" s="1" t="s">
        <v>223</v>
      </c>
      <c r="B32" s="1" t="s">
        <v>53</v>
      </c>
      <c r="C32" s="41" t="s">
        <v>54</v>
      </c>
      <c r="D32" s="11" t="n">
        <f aca="false">'RSEA vs Quoted Comparison'!F32</f>
        <v>16.04</v>
      </c>
      <c r="E32" s="11" t="n">
        <f aca="false">'RSEA vs Quoted Comparison'!G32</f>
        <v>17.644</v>
      </c>
      <c r="F32" s="11" t="str">
        <f aca="false">IF('RSEA vs Quoted Comparison'!H32="","",'RSEA vs Quoted Comparison'!H32)</f>
        <v/>
      </c>
      <c r="G32" s="11" t="str">
        <f aca="false">IF('RSEA vs Quoted Comparison'!I32="","",'RSEA vs Quoted Comparison'!I32)</f>
        <v/>
      </c>
      <c r="H32" s="11" t="n">
        <f aca="false">'RSEA vs Quoted Comparison'!D32</f>
        <v>52.99</v>
      </c>
      <c r="I32" s="11" t="n">
        <f aca="false">'RSEA vs Quoted Comparison'!E32</f>
        <v>48.1727272727273</v>
      </c>
      <c r="J32" s="11" t="n">
        <f aca="false">K32*1.1</f>
        <v>159.885</v>
      </c>
      <c r="K32" s="11" t="n">
        <v>145.35</v>
      </c>
      <c r="L32" s="42" t="s">
        <v>257</v>
      </c>
      <c r="M32" s="42" t="s">
        <v>257</v>
      </c>
      <c r="N32" s="42" t="s">
        <v>257</v>
      </c>
      <c r="O32" s="42" t="s">
        <v>257</v>
      </c>
      <c r="P32" s="42" t="s">
        <v>257</v>
      </c>
      <c r="Q32" s="42" t="s">
        <v>257</v>
      </c>
      <c r="R32" s="11" t="n">
        <v>34.1</v>
      </c>
      <c r="S32" s="11" t="n">
        <f aca="false">R32/1.1</f>
        <v>31</v>
      </c>
      <c r="T32" s="11" t="n">
        <v>86.85</v>
      </c>
      <c r="U32" s="11" t="n">
        <f aca="false">T32/1.1</f>
        <v>78.9545454545454</v>
      </c>
      <c r="V32" s="11" t="n">
        <f aca="false">W32*1.1</f>
        <v>56.65</v>
      </c>
      <c r="W32" s="11" t="n">
        <v>51.5</v>
      </c>
      <c r="X32" s="42" t="s">
        <v>257</v>
      </c>
      <c r="Y32" s="42" t="s">
        <v>257</v>
      </c>
      <c r="Z32" s="42" t="s">
        <v>257</v>
      </c>
      <c r="AA32" s="42" t="s">
        <v>257</v>
      </c>
      <c r="AB32" s="11" t="n">
        <f aca="false">IF(COUNT(I32,K32,M32,O32,Q32,S32,U32,W32,Y32,AA32)=0,"N/A",MIN(I32,K32,M32,O32,Q32,S32,U32,W32,Y32,AA32))</f>
        <v>31</v>
      </c>
      <c r="AC32" s="43" t="n">
        <f aca="false">IF(OR(D32="",AB32="",AB32="N/A"),"N/A",D32/AB32-1)</f>
        <v>-0.48258064516129</v>
      </c>
      <c r="AD32" s="43" t="str">
        <f aca="false">IF(OR(F32="",AB32="",AB32="N/A"),"N/A",F32/AB32-1)</f>
        <v>N/A</v>
      </c>
      <c r="AE32" s="41" t="s">
        <v>282</v>
      </c>
    </row>
    <row r="33" customFormat="false" ht="123.75" hidden="false" customHeight="true" outlineLevel="0" collapsed="false">
      <c r="A33" s="1" t="s">
        <v>223</v>
      </c>
      <c r="B33" s="1" t="s">
        <v>55</v>
      </c>
      <c r="C33" s="41" t="s">
        <v>56</v>
      </c>
      <c r="D33" s="11" t="n">
        <f aca="false">'RSEA vs Quoted Comparison'!F33</f>
        <v>16.04</v>
      </c>
      <c r="E33" s="11" t="n">
        <f aca="false">'RSEA vs Quoted Comparison'!G33</f>
        <v>17.644</v>
      </c>
      <c r="F33" s="11" t="str">
        <f aca="false">IF('RSEA vs Quoted Comparison'!H33="","",'RSEA vs Quoted Comparison'!H33)</f>
        <v/>
      </c>
      <c r="G33" s="11" t="str">
        <f aca="false">IF('RSEA vs Quoted Comparison'!I33="","",'RSEA vs Quoted Comparison'!I33)</f>
        <v/>
      </c>
      <c r="H33" s="11" t="n">
        <f aca="false">'RSEA vs Quoted Comparison'!D33</f>
        <v>57.99</v>
      </c>
      <c r="I33" s="11" t="n">
        <f aca="false">'RSEA vs Quoted Comparison'!E33</f>
        <v>52.7181818181818</v>
      </c>
      <c r="J33" s="11" t="n">
        <f aca="false">K33*1.1</f>
        <v>200.354</v>
      </c>
      <c r="K33" s="11" t="n">
        <v>182.14</v>
      </c>
      <c r="L33" s="42" t="s">
        <v>257</v>
      </c>
      <c r="M33" s="42" t="s">
        <v>257</v>
      </c>
      <c r="N33" s="42" t="s">
        <v>257</v>
      </c>
      <c r="O33" s="42" t="s">
        <v>257</v>
      </c>
      <c r="P33" s="42" t="s">
        <v>257</v>
      </c>
      <c r="Q33" s="42" t="s">
        <v>257</v>
      </c>
      <c r="R33" s="11" t="n">
        <v>34.1</v>
      </c>
      <c r="S33" s="11" t="n">
        <f aca="false">R33/1.1</f>
        <v>31</v>
      </c>
      <c r="T33" s="11" t="n">
        <v>58.84</v>
      </c>
      <c r="U33" s="11" t="n">
        <f aca="false">T33/1.1</f>
        <v>53.4909090909091</v>
      </c>
      <c r="V33" s="42" t="s">
        <v>257</v>
      </c>
      <c r="W33" s="42" t="s">
        <v>257</v>
      </c>
      <c r="X33" s="11" t="n">
        <v>53.22</v>
      </c>
      <c r="Y33" s="11" t="n">
        <f aca="false">X33/1.1</f>
        <v>48.3818181818182</v>
      </c>
      <c r="Z33" s="42" t="s">
        <v>257</v>
      </c>
      <c r="AA33" s="42" t="s">
        <v>257</v>
      </c>
      <c r="AB33" s="11" t="n">
        <f aca="false">IF(COUNT(I33,K33,M33,O33,Q33,S33,U33,W33,Y33,AA33)=0,"N/A",MIN(I33,K33,M33,O33,Q33,S33,U33,W33,Y33,AA33))</f>
        <v>31</v>
      </c>
      <c r="AC33" s="43" t="n">
        <f aca="false">IF(OR(D33="",AB33="",AB33="N/A"),"N/A",D33/AB33-1)</f>
        <v>-0.48258064516129</v>
      </c>
      <c r="AD33" s="43" t="str">
        <f aca="false">IF(OR(F33="",AB33="",AB33="N/A"),"N/A",F33/AB33-1)</f>
        <v>N/A</v>
      </c>
      <c r="AE33" s="41" t="s">
        <v>283</v>
      </c>
    </row>
    <row r="34" customFormat="false" ht="123.75" hidden="false" customHeight="true" outlineLevel="0" collapsed="false">
      <c r="A34" s="1" t="s">
        <v>223</v>
      </c>
      <c r="B34" s="1" t="s">
        <v>57</v>
      </c>
      <c r="C34" s="41" t="s">
        <v>58</v>
      </c>
      <c r="D34" s="11" t="n">
        <f aca="false">'RSEA vs Quoted Comparison'!F34</f>
        <v>16.04</v>
      </c>
      <c r="E34" s="11" t="n">
        <f aca="false">'RSEA vs Quoted Comparison'!G34</f>
        <v>17.644</v>
      </c>
      <c r="F34" s="11" t="str">
        <f aca="false">IF('RSEA vs Quoted Comparison'!H34="","",'RSEA vs Quoted Comparison'!H34)</f>
        <v/>
      </c>
      <c r="G34" s="11" t="str">
        <f aca="false">IF('RSEA vs Quoted Comparison'!I34="","",'RSEA vs Quoted Comparison'!I34)</f>
        <v/>
      </c>
      <c r="H34" s="11" t="n">
        <f aca="false">'RSEA vs Quoted Comparison'!D34</f>
        <v>57.99</v>
      </c>
      <c r="I34" s="11" t="n">
        <f aca="false">'RSEA vs Quoted Comparison'!E34</f>
        <v>52.7181818181818</v>
      </c>
      <c r="J34" s="11" t="n">
        <f aca="false">K34*1.1</f>
        <v>200.354</v>
      </c>
      <c r="K34" s="11" t="n">
        <v>182.14</v>
      </c>
      <c r="L34" s="42" t="s">
        <v>257</v>
      </c>
      <c r="M34" s="42" t="s">
        <v>257</v>
      </c>
      <c r="N34" s="42" t="s">
        <v>257</v>
      </c>
      <c r="O34" s="42" t="s">
        <v>257</v>
      </c>
      <c r="P34" s="42" t="s">
        <v>257</v>
      </c>
      <c r="Q34" s="42" t="s">
        <v>257</v>
      </c>
      <c r="R34" s="11" t="n">
        <v>34.1</v>
      </c>
      <c r="S34" s="11" t="n">
        <f aca="false">R34/1.1</f>
        <v>31</v>
      </c>
      <c r="T34" s="11" t="n">
        <v>60.6</v>
      </c>
      <c r="U34" s="11" t="n">
        <f aca="false">T34/1.1</f>
        <v>55.0909090909091</v>
      </c>
      <c r="V34" s="11" t="n">
        <f aca="false">W34*1.1</f>
        <v>56.65</v>
      </c>
      <c r="W34" s="11" t="n">
        <v>51.5</v>
      </c>
      <c r="X34" s="11" t="n">
        <v>53.22</v>
      </c>
      <c r="Y34" s="11" t="n">
        <f aca="false">X34/1.1</f>
        <v>48.3818181818182</v>
      </c>
      <c r="Z34" s="42" t="s">
        <v>257</v>
      </c>
      <c r="AA34" s="42" t="s">
        <v>257</v>
      </c>
      <c r="AB34" s="11" t="n">
        <f aca="false">IF(COUNT(I34,K34,M34,O34,Q34,S34,U34,W34,Y34,AA34)=0,"N/A",MIN(I34,K34,M34,O34,Q34,S34,U34,W34,Y34,AA34))</f>
        <v>31</v>
      </c>
      <c r="AC34" s="43" t="n">
        <f aca="false">IF(OR(D34="",AB34="",AB34="N/A"),"N/A",D34/AB34-1)</f>
        <v>-0.48258064516129</v>
      </c>
      <c r="AD34" s="43" t="str">
        <f aca="false">IF(OR(F34="",AB34="",AB34="N/A"),"N/A",F34/AB34-1)</f>
        <v>N/A</v>
      </c>
      <c r="AE34" s="41" t="s">
        <v>284</v>
      </c>
    </row>
    <row r="35" customFormat="false" ht="123.75" hidden="false" customHeight="true" outlineLevel="0" collapsed="false">
      <c r="A35" s="1" t="s">
        <v>223</v>
      </c>
      <c r="B35" s="1" t="s">
        <v>59</v>
      </c>
      <c r="C35" s="41" t="s">
        <v>60</v>
      </c>
      <c r="D35" s="11" t="n">
        <f aca="false">'RSEA vs Quoted Comparison'!F35</f>
        <v>16.04</v>
      </c>
      <c r="E35" s="11" t="n">
        <f aca="false">'RSEA vs Quoted Comparison'!G35</f>
        <v>17.644</v>
      </c>
      <c r="F35" s="11" t="str">
        <f aca="false">IF('RSEA vs Quoted Comparison'!H35="","",'RSEA vs Quoted Comparison'!H35)</f>
        <v/>
      </c>
      <c r="G35" s="11" t="str">
        <f aca="false">IF('RSEA vs Quoted Comparison'!I35="","",'RSEA vs Quoted Comparison'!I35)</f>
        <v/>
      </c>
      <c r="H35" s="11" t="n">
        <f aca="false">'RSEA vs Quoted Comparison'!D35</f>
        <v>57.99</v>
      </c>
      <c r="I35" s="11" t="n">
        <f aca="false">'RSEA vs Quoted Comparison'!E35</f>
        <v>52.7181818181818</v>
      </c>
      <c r="J35" s="11" t="n">
        <f aca="false">K35*1.1</f>
        <v>130.24</v>
      </c>
      <c r="K35" s="11" t="n">
        <v>118.4</v>
      </c>
      <c r="L35" s="42" t="s">
        <v>257</v>
      </c>
      <c r="M35" s="42" t="s">
        <v>257</v>
      </c>
      <c r="N35" s="42" t="s">
        <v>257</v>
      </c>
      <c r="O35" s="42" t="s">
        <v>257</v>
      </c>
      <c r="P35" s="42" t="s">
        <v>257</v>
      </c>
      <c r="Q35" s="42" t="s">
        <v>257</v>
      </c>
      <c r="R35" s="11" t="n">
        <v>34.1</v>
      </c>
      <c r="S35" s="11" t="n">
        <f aca="false">R35/1.1</f>
        <v>31</v>
      </c>
      <c r="T35" s="11" t="n">
        <v>59.05</v>
      </c>
      <c r="U35" s="11" t="n">
        <f aca="false">T35/1.1</f>
        <v>53.6818181818182</v>
      </c>
      <c r="V35" s="11" t="n">
        <f aca="false">W35*1.1</f>
        <v>56.65</v>
      </c>
      <c r="W35" s="11" t="n">
        <v>51.5</v>
      </c>
      <c r="X35" s="11" t="n">
        <v>53.22</v>
      </c>
      <c r="Y35" s="11" t="n">
        <f aca="false">X35/1.1</f>
        <v>48.3818181818182</v>
      </c>
      <c r="Z35" s="42" t="s">
        <v>257</v>
      </c>
      <c r="AA35" s="42" t="s">
        <v>257</v>
      </c>
      <c r="AB35" s="11" t="n">
        <f aca="false">IF(COUNT(I35,K35,M35,O35,Q35,S35,U35,W35,Y35,AA35)=0,"N/A",MIN(I35,K35,M35,O35,Q35,S35,U35,W35,Y35,AA35))</f>
        <v>31</v>
      </c>
      <c r="AC35" s="43" t="n">
        <f aca="false">IF(OR(D35="",AB35="",AB35="N/A"),"N/A",D35/AB35-1)</f>
        <v>-0.48258064516129</v>
      </c>
      <c r="AD35" s="43" t="str">
        <f aca="false">IF(OR(F35="",AB35="",AB35="N/A"),"N/A",F35/AB35-1)</f>
        <v>N/A</v>
      </c>
      <c r="AE35" s="41" t="s">
        <v>285</v>
      </c>
    </row>
    <row r="36" customFormat="false" ht="138.75" hidden="false" customHeight="true" outlineLevel="0" collapsed="false">
      <c r="A36" s="1" t="s">
        <v>223</v>
      </c>
      <c r="B36" s="1" t="s">
        <v>61</v>
      </c>
      <c r="C36" s="41" t="s">
        <v>62</v>
      </c>
      <c r="D36" s="11" t="n">
        <f aca="false">'RSEA vs Quoted Comparison'!F36</f>
        <v>13.07</v>
      </c>
      <c r="E36" s="11" t="n">
        <f aca="false">'RSEA vs Quoted Comparison'!G36</f>
        <v>14.377</v>
      </c>
      <c r="F36" s="11" t="str">
        <f aca="false">IF('RSEA vs Quoted Comparison'!H36="","",'RSEA vs Quoted Comparison'!H36)</f>
        <v/>
      </c>
      <c r="G36" s="11" t="str">
        <f aca="false">IF('RSEA vs Quoted Comparison'!I36="","",'RSEA vs Quoted Comparison'!I36)</f>
        <v/>
      </c>
      <c r="H36" s="11" t="n">
        <f aca="false">'RSEA vs Quoted Comparison'!D36</f>
        <v>57.99</v>
      </c>
      <c r="I36" s="11" t="n">
        <f aca="false">'RSEA vs Quoted Comparison'!E36</f>
        <v>52.7181818181818</v>
      </c>
      <c r="J36" s="11" t="n">
        <f aca="false">K36*1.1</f>
        <v>164.098</v>
      </c>
      <c r="K36" s="11" t="n">
        <v>149.18</v>
      </c>
      <c r="L36" s="42" t="s">
        <v>257</v>
      </c>
      <c r="M36" s="42" t="s">
        <v>257</v>
      </c>
      <c r="N36" s="11" t="n">
        <v>46.6</v>
      </c>
      <c r="O36" s="11" t="n">
        <f aca="false">N36/1.1</f>
        <v>42.3636363636364</v>
      </c>
      <c r="P36" s="42" t="s">
        <v>257</v>
      </c>
      <c r="Q36" s="42" t="s">
        <v>257</v>
      </c>
      <c r="R36" s="11" t="n">
        <v>34.1</v>
      </c>
      <c r="S36" s="11" t="n">
        <f aca="false">R36/1.1</f>
        <v>31</v>
      </c>
      <c r="T36" s="11" t="n">
        <v>73.96</v>
      </c>
      <c r="U36" s="11" t="n">
        <f aca="false">T36/1.1</f>
        <v>67.2363636363636</v>
      </c>
      <c r="V36" s="11" t="n">
        <f aca="false">W36*1.1</f>
        <v>52.25</v>
      </c>
      <c r="W36" s="11" t="n">
        <v>47.5</v>
      </c>
      <c r="X36" s="11" t="n">
        <v>53.22</v>
      </c>
      <c r="Y36" s="11" t="n">
        <f aca="false">X36/1.1</f>
        <v>48.3818181818182</v>
      </c>
      <c r="Z36" s="42" t="s">
        <v>257</v>
      </c>
      <c r="AA36" s="42" t="s">
        <v>257</v>
      </c>
      <c r="AB36" s="11" t="n">
        <f aca="false">IF(COUNT(I36,K36,M36,O36,Q36,S36,U36,W36,Y36,AA36)=0,"N/A",MIN(I36,K36,M36,O36,Q36,S36,U36,W36,Y36,AA36))</f>
        <v>31</v>
      </c>
      <c r="AC36" s="43" t="n">
        <f aca="false">IF(OR(D36="",AB36="",AB36="N/A"),"N/A",D36/AB36-1)</f>
        <v>-0.578387096774194</v>
      </c>
      <c r="AD36" s="43" t="str">
        <f aca="false">IF(OR(F36="",AB36="",AB36="N/A"),"N/A",F36/AB36-1)</f>
        <v>N/A</v>
      </c>
      <c r="AE36" s="41" t="s">
        <v>286</v>
      </c>
    </row>
    <row r="37" customFormat="false" ht="93.75" hidden="false" customHeight="true" outlineLevel="0" collapsed="false">
      <c r="A37" s="1" t="s">
        <v>223</v>
      </c>
      <c r="B37" s="1" t="s">
        <v>63</v>
      </c>
      <c r="C37" s="41" t="s">
        <v>64</v>
      </c>
      <c r="D37" s="11" t="n">
        <f aca="false">'RSEA vs Quoted Comparison'!F37</f>
        <v>16.04</v>
      </c>
      <c r="E37" s="11" t="n">
        <f aca="false">'RSEA vs Quoted Comparison'!G37</f>
        <v>17.644</v>
      </c>
      <c r="F37" s="11" t="str">
        <f aca="false">IF('RSEA vs Quoted Comparison'!H37="","",'RSEA vs Quoted Comparison'!H37)</f>
        <v/>
      </c>
      <c r="G37" s="11" t="str">
        <f aca="false">IF('RSEA vs Quoted Comparison'!I37="","",'RSEA vs Quoted Comparison'!I37)</f>
        <v/>
      </c>
      <c r="H37" s="11" t="n">
        <f aca="false">'RSEA vs Quoted Comparison'!D37</f>
        <v>59.99</v>
      </c>
      <c r="I37" s="11" t="n">
        <f aca="false">'RSEA vs Quoted Comparison'!E37</f>
        <v>54.5363636363636</v>
      </c>
      <c r="J37" s="42" t="s">
        <v>257</v>
      </c>
      <c r="K37" s="42" t="s">
        <v>257</v>
      </c>
      <c r="L37" s="42" t="s">
        <v>257</v>
      </c>
      <c r="M37" s="42" t="s">
        <v>257</v>
      </c>
      <c r="N37" s="42" t="s">
        <v>257</v>
      </c>
      <c r="O37" s="42" t="s">
        <v>257</v>
      </c>
      <c r="P37" s="42" t="s">
        <v>257</v>
      </c>
      <c r="Q37" s="42" t="s">
        <v>257</v>
      </c>
      <c r="R37" s="11" t="n">
        <v>34.1</v>
      </c>
      <c r="S37" s="11" t="n">
        <f aca="false">R37/1.1</f>
        <v>31</v>
      </c>
      <c r="T37" s="11" t="n">
        <v>61.03</v>
      </c>
      <c r="U37" s="11" t="n">
        <f aca="false">T37/1.1</f>
        <v>55.4818181818182</v>
      </c>
      <c r="V37" s="11" t="n">
        <f aca="false">W37*1.1</f>
        <v>52.25</v>
      </c>
      <c r="W37" s="11" t="n">
        <v>47.5</v>
      </c>
      <c r="X37" s="42" t="s">
        <v>257</v>
      </c>
      <c r="Y37" s="42" t="s">
        <v>257</v>
      </c>
      <c r="Z37" s="42" t="s">
        <v>257</v>
      </c>
      <c r="AA37" s="42" t="s">
        <v>257</v>
      </c>
      <c r="AB37" s="11" t="n">
        <f aca="false">IF(COUNT(I37,K37,M37,O37,Q37,S37,U37,W37,Y37,AA37)=0,"N/A",MIN(I37,K37,M37,O37,Q37,S37,U37,W37,Y37,AA37))</f>
        <v>31</v>
      </c>
      <c r="AC37" s="43" t="n">
        <f aca="false">IF(OR(D37="",AB37="",AB37="N/A"),"N/A",D37/AB37-1)</f>
        <v>-0.48258064516129</v>
      </c>
      <c r="AD37" s="43" t="str">
        <f aca="false">IF(OR(F37="",AB37="",AB37="N/A"),"N/A",F37/AB37-1)</f>
        <v>N/A</v>
      </c>
      <c r="AE37" s="41" t="s">
        <v>287</v>
      </c>
    </row>
    <row r="38" customFormat="false" ht="138.75" hidden="false" customHeight="true" outlineLevel="0" collapsed="false">
      <c r="A38" s="1" t="s">
        <v>223</v>
      </c>
      <c r="B38" s="1" t="s">
        <v>65</v>
      </c>
      <c r="C38" s="41" t="s">
        <v>66</v>
      </c>
      <c r="D38" s="11" t="n">
        <f aca="false">'RSEA vs Quoted Comparison'!F38</f>
        <v>13.07</v>
      </c>
      <c r="E38" s="11" t="n">
        <f aca="false">'RSEA vs Quoted Comparison'!G38</f>
        <v>14.377</v>
      </c>
      <c r="F38" s="11" t="str">
        <f aca="false">IF('RSEA vs Quoted Comparison'!H38="","",'RSEA vs Quoted Comparison'!H38)</f>
        <v/>
      </c>
      <c r="G38" s="11" t="str">
        <f aca="false">IF('RSEA vs Quoted Comparison'!I38="","",'RSEA vs Quoted Comparison'!I38)</f>
        <v/>
      </c>
      <c r="H38" s="11" t="n">
        <f aca="false">'RSEA vs Quoted Comparison'!D38</f>
        <v>57.99</v>
      </c>
      <c r="I38" s="11" t="n">
        <f aca="false">'RSEA vs Quoted Comparison'!E38</f>
        <v>52.7181818181818</v>
      </c>
      <c r="J38" s="11" t="n">
        <f aca="false">K38*1.1</f>
        <v>102.047</v>
      </c>
      <c r="K38" s="11" t="n">
        <v>92.77</v>
      </c>
      <c r="L38" s="42" t="s">
        <v>257</v>
      </c>
      <c r="M38" s="42" t="s">
        <v>257</v>
      </c>
      <c r="N38" s="42" t="s">
        <v>257</v>
      </c>
      <c r="O38" s="42" t="s">
        <v>257</v>
      </c>
      <c r="P38" s="42" t="s">
        <v>257</v>
      </c>
      <c r="Q38" s="42" t="s">
        <v>257</v>
      </c>
      <c r="R38" s="11" t="n">
        <v>34.1</v>
      </c>
      <c r="S38" s="11" t="n">
        <f aca="false">R38/1.1</f>
        <v>31</v>
      </c>
      <c r="T38" s="11" t="n">
        <v>59.05</v>
      </c>
      <c r="U38" s="11" t="n">
        <f aca="false">T38/1.1</f>
        <v>53.6818181818182</v>
      </c>
      <c r="V38" s="42" t="s">
        <v>257</v>
      </c>
      <c r="W38" s="42" t="s">
        <v>257</v>
      </c>
      <c r="X38" s="11" t="n">
        <v>53.22</v>
      </c>
      <c r="Y38" s="11" t="n">
        <f aca="false">X38/1.1</f>
        <v>48.3818181818182</v>
      </c>
      <c r="Z38" s="42" t="s">
        <v>257</v>
      </c>
      <c r="AA38" s="42" t="s">
        <v>257</v>
      </c>
      <c r="AB38" s="11" t="n">
        <f aca="false">IF(COUNT(I38,K38,M38,O38,Q38,S38,U38,W38,Y38,AA38)=0,"N/A",MIN(I38,K38,M38,O38,Q38,S38,U38,W38,Y38,AA38))</f>
        <v>31</v>
      </c>
      <c r="AC38" s="43" t="n">
        <f aca="false">IF(OR(D38="",AB38="",AB38="N/A"),"N/A",D38/AB38-1)</f>
        <v>-0.578387096774194</v>
      </c>
      <c r="AD38" s="43" t="str">
        <f aca="false">IF(OR(F38="",AB38="",AB38="N/A"),"N/A",F38/AB38-1)</f>
        <v>N/A</v>
      </c>
      <c r="AE38" s="41" t="s">
        <v>288</v>
      </c>
    </row>
    <row r="39" customFormat="false" ht="153.75" hidden="false" customHeight="true" outlineLevel="0" collapsed="false">
      <c r="A39" s="1" t="s">
        <v>223</v>
      </c>
      <c r="B39" s="1" t="s">
        <v>67</v>
      </c>
      <c r="C39" s="41" t="s">
        <v>68</v>
      </c>
      <c r="D39" s="11" t="n">
        <f aca="false">'RSEA vs Quoted Comparison'!F39</f>
        <v>13.07</v>
      </c>
      <c r="E39" s="11" t="n">
        <f aca="false">'RSEA vs Quoted Comparison'!G39</f>
        <v>14.377</v>
      </c>
      <c r="F39" s="11" t="str">
        <f aca="false">IF('RSEA vs Quoted Comparison'!H39="","",'RSEA vs Quoted Comparison'!H39)</f>
        <v/>
      </c>
      <c r="G39" s="11" t="str">
        <f aca="false">IF('RSEA vs Quoted Comparison'!I39="","",'RSEA vs Quoted Comparison'!I39)</f>
        <v/>
      </c>
      <c r="H39" s="11" t="n">
        <f aca="false">'RSEA vs Quoted Comparison'!D39</f>
        <v>57.99</v>
      </c>
      <c r="I39" s="11" t="n">
        <f aca="false">'RSEA vs Quoted Comparison'!E39</f>
        <v>52.7181818181818</v>
      </c>
      <c r="J39" s="11" t="n">
        <f aca="false">K39*1.1</f>
        <v>72.391</v>
      </c>
      <c r="K39" s="11" t="n">
        <v>65.81</v>
      </c>
      <c r="L39" s="42" t="s">
        <v>257</v>
      </c>
      <c r="M39" s="42" t="s">
        <v>257</v>
      </c>
      <c r="N39" s="11" t="n">
        <v>115.9</v>
      </c>
      <c r="O39" s="11" t="n">
        <f aca="false">N39/1.1</f>
        <v>105.363636363636</v>
      </c>
      <c r="P39" s="42" t="s">
        <v>257</v>
      </c>
      <c r="Q39" s="42" t="s">
        <v>257</v>
      </c>
      <c r="R39" s="11" t="n">
        <v>34.1</v>
      </c>
      <c r="S39" s="11" t="n">
        <f aca="false">R39/1.1</f>
        <v>31</v>
      </c>
      <c r="T39" s="11" t="n">
        <v>61.04</v>
      </c>
      <c r="U39" s="11" t="n">
        <f aca="false">T39/1.1</f>
        <v>55.4909090909091</v>
      </c>
      <c r="V39" s="42" t="s">
        <v>257</v>
      </c>
      <c r="W39" s="42" t="s">
        <v>257</v>
      </c>
      <c r="X39" s="11" t="n">
        <v>124.21</v>
      </c>
      <c r="Y39" s="11" t="n">
        <f aca="false">X39/1.1</f>
        <v>112.918181818182</v>
      </c>
      <c r="Z39" s="42" t="s">
        <v>257</v>
      </c>
      <c r="AA39" s="42" t="s">
        <v>257</v>
      </c>
      <c r="AB39" s="11" t="n">
        <f aca="false">IF(COUNT(I39,K39,M39,O39,Q39,S39,U39,W39,Y39,AA39)=0,"N/A",MIN(I39,K39,M39,O39,Q39,S39,U39,W39,Y39,AA39))</f>
        <v>31</v>
      </c>
      <c r="AC39" s="43" t="n">
        <f aca="false">IF(OR(D39="",AB39="",AB39="N/A"),"N/A",D39/AB39-1)</f>
        <v>-0.578387096774194</v>
      </c>
      <c r="AD39" s="43" t="str">
        <f aca="false">IF(OR(F39="",AB39="",AB39="N/A"),"N/A",F39/AB39-1)</f>
        <v>N/A</v>
      </c>
      <c r="AE39" s="41" t="s">
        <v>289</v>
      </c>
    </row>
    <row r="40" customFormat="false" ht="123.75" hidden="false" customHeight="true" outlineLevel="0" collapsed="false">
      <c r="A40" s="1" t="s">
        <v>223</v>
      </c>
      <c r="B40" s="1" t="s">
        <v>69</v>
      </c>
      <c r="C40" s="41" t="s">
        <v>70</v>
      </c>
      <c r="D40" s="11" t="n">
        <f aca="false">'RSEA vs Quoted Comparison'!F40</f>
        <v>13.07</v>
      </c>
      <c r="E40" s="11" t="n">
        <f aca="false">'RSEA vs Quoted Comparison'!G40</f>
        <v>14.377</v>
      </c>
      <c r="F40" s="11" t="str">
        <f aca="false">IF('RSEA vs Quoted Comparison'!H40="","",'RSEA vs Quoted Comparison'!H40)</f>
        <v/>
      </c>
      <c r="G40" s="11" t="str">
        <f aca="false">IF('RSEA vs Quoted Comparison'!I40="","",'RSEA vs Quoted Comparison'!I40)</f>
        <v/>
      </c>
      <c r="H40" s="11" t="n">
        <f aca="false">'RSEA vs Quoted Comparison'!D40</f>
        <v>57.99</v>
      </c>
      <c r="I40" s="11" t="n">
        <f aca="false">'RSEA vs Quoted Comparison'!E40</f>
        <v>52.7181818181818</v>
      </c>
      <c r="J40" s="11" t="n">
        <f aca="false">K40*1.1</f>
        <v>72.391</v>
      </c>
      <c r="K40" s="11" t="n">
        <v>65.81</v>
      </c>
      <c r="L40" s="42" t="s">
        <v>257</v>
      </c>
      <c r="M40" s="42" t="s">
        <v>257</v>
      </c>
      <c r="N40" s="11" t="n">
        <v>115.9</v>
      </c>
      <c r="O40" s="11" t="n">
        <f aca="false">N40/1.1</f>
        <v>105.363636363636</v>
      </c>
      <c r="P40" s="42" t="s">
        <v>257</v>
      </c>
      <c r="Q40" s="42" t="s">
        <v>257</v>
      </c>
      <c r="R40" s="11" t="n">
        <v>34.1</v>
      </c>
      <c r="S40" s="11" t="n">
        <f aca="false">R40/1.1</f>
        <v>31</v>
      </c>
      <c r="T40" s="11" t="n">
        <v>61.04</v>
      </c>
      <c r="U40" s="11" t="n">
        <f aca="false">T40/1.1</f>
        <v>55.4909090909091</v>
      </c>
      <c r="V40" s="42" t="s">
        <v>257</v>
      </c>
      <c r="W40" s="42" t="s">
        <v>257</v>
      </c>
      <c r="X40" s="11" t="n">
        <v>124.21</v>
      </c>
      <c r="Y40" s="11" t="n">
        <f aca="false">X40/1.1</f>
        <v>112.918181818182</v>
      </c>
      <c r="Z40" s="42" t="s">
        <v>257</v>
      </c>
      <c r="AA40" s="42" t="s">
        <v>257</v>
      </c>
      <c r="AB40" s="11" t="n">
        <f aca="false">IF(COUNT(I40,K40,M40,O40,Q40,S40,U40,W40,Y40,AA40)=0,"N/A",MIN(I40,K40,M40,O40,Q40,S40,U40,W40,Y40,AA40))</f>
        <v>31</v>
      </c>
      <c r="AC40" s="43" t="n">
        <f aca="false">IF(OR(D40="",AB40="",AB40="N/A"),"N/A",D40/AB40-1)</f>
        <v>-0.578387096774194</v>
      </c>
      <c r="AD40" s="43" t="str">
        <f aca="false">IF(OR(F40="",AB40="",AB40="N/A"),"N/A",F40/AB40-1)</f>
        <v>N/A</v>
      </c>
      <c r="AE40" s="41" t="s">
        <v>290</v>
      </c>
    </row>
    <row r="41" customFormat="false" ht="138.75" hidden="false" customHeight="true" outlineLevel="0" collapsed="false">
      <c r="A41" s="1" t="s">
        <v>223</v>
      </c>
      <c r="B41" s="1" t="s">
        <v>71</v>
      </c>
      <c r="C41" s="41" t="s">
        <v>72</v>
      </c>
      <c r="D41" s="11" t="n">
        <f aca="false">'RSEA vs Quoted Comparison'!F41</f>
        <v>13.07</v>
      </c>
      <c r="E41" s="11" t="n">
        <f aca="false">'RSEA vs Quoted Comparison'!G41</f>
        <v>14.377</v>
      </c>
      <c r="F41" s="11" t="str">
        <f aca="false">IF('RSEA vs Quoted Comparison'!H41="","",'RSEA vs Quoted Comparison'!H41)</f>
        <v/>
      </c>
      <c r="G41" s="11" t="str">
        <f aca="false">IF('RSEA vs Quoted Comparison'!I41="","",'RSEA vs Quoted Comparison'!I41)</f>
        <v/>
      </c>
      <c r="H41" s="11" t="n">
        <f aca="false">'RSEA vs Quoted Comparison'!D41</f>
        <v>57.99</v>
      </c>
      <c r="I41" s="11" t="n">
        <f aca="false">'RSEA vs Quoted Comparison'!E41</f>
        <v>52.7181818181818</v>
      </c>
      <c r="J41" s="11" t="n">
        <f aca="false">K41*1.1</f>
        <v>108.163</v>
      </c>
      <c r="K41" s="11" t="n">
        <v>98.33</v>
      </c>
      <c r="L41" s="42" t="s">
        <v>257</v>
      </c>
      <c r="M41" s="42" t="s">
        <v>257</v>
      </c>
      <c r="N41" s="42" t="s">
        <v>257</v>
      </c>
      <c r="O41" s="42" t="s">
        <v>257</v>
      </c>
      <c r="P41" s="11" t="n">
        <v>96.1</v>
      </c>
      <c r="Q41" s="11" t="n">
        <v>87.36</v>
      </c>
      <c r="R41" s="11" t="n">
        <v>34.1</v>
      </c>
      <c r="S41" s="11" t="n">
        <f aca="false">R41/1.1</f>
        <v>31</v>
      </c>
      <c r="T41" s="11" t="n">
        <v>59.26</v>
      </c>
      <c r="U41" s="11" t="n">
        <f aca="false">T41/1.1</f>
        <v>53.8727272727273</v>
      </c>
      <c r="V41" s="11" t="n">
        <f aca="false">W41*1.1</f>
        <v>85.745</v>
      </c>
      <c r="W41" s="11" t="n">
        <v>77.95</v>
      </c>
      <c r="X41" s="11" t="n">
        <v>53.22</v>
      </c>
      <c r="Y41" s="11" t="n">
        <f aca="false">X41/1.1</f>
        <v>48.3818181818182</v>
      </c>
      <c r="Z41" s="42" t="s">
        <v>257</v>
      </c>
      <c r="AA41" s="42" t="s">
        <v>257</v>
      </c>
      <c r="AB41" s="11" t="n">
        <f aca="false">IF(COUNT(I41,K41,M41,O41,Q41,S41,U41,W41,Y41,AA41)=0,"N/A",MIN(I41,K41,M41,O41,Q41,S41,U41,W41,Y41,AA41))</f>
        <v>31</v>
      </c>
      <c r="AC41" s="43" t="n">
        <f aca="false">IF(OR(D41="",AB41="",AB41="N/A"),"N/A",D41/AB41-1)</f>
        <v>-0.578387096774194</v>
      </c>
      <c r="AD41" s="43" t="str">
        <f aca="false">IF(OR(F41="",AB41="",AB41="N/A"),"N/A",F41/AB41-1)</f>
        <v>N/A</v>
      </c>
      <c r="AE41" s="41" t="s">
        <v>291</v>
      </c>
    </row>
    <row r="42" customFormat="false" ht="138.75" hidden="false" customHeight="true" outlineLevel="0" collapsed="false">
      <c r="A42" s="1" t="s">
        <v>223</v>
      </c>
      <c r="B42" s="1" t="s">
        <v>73</v>
      </c>
      <c r="C42" s="41" t="s">
        <v>74</v>
      </c>
      <c r="D42" s="11" t="n">
        <f aca="false">'RSEA vs Quoted Comparison'!F42</f>
        <v>13.07</v>
      </c>
      <c r="E42" s="11" t="n">
        <f aca="false">'RSEA vs Quoted Comparison'!G42</f>
        <v>14.377</v>
      </c>
      <c r="F42" s="11" t="str">
        <f aca="false">IF('RSEA vs Quoted Comparison'!H42="","",'RSEA vs Quoted Comparison'!H42)</f>
        <v/>
      </c>
      <c r="G42" s="11" t="str">
        <f aca="false">IF('RSEA vs Quoted Comparison'!I42="","",'RSEA vs Quoted Comparison'!I42)</f>
        <v/>
      </c>
      <c r="H42" s="11" t="n">
        <f aca="false">'RSEA vs Quoted Comparison'!D42</f>
        <v>57.99</v>
      </c>
      <c r="I42" s="11" t="n">
        <f aca="false">'RSEA vs Quoted Comparison'!E42</f>
        <v>52.7181818181818</v>
      </c>
      <c r="J42" s="11" t="n">
        <f aca="false">K42*1.1</f>
        <v>108.163</v>
      </c>
      <c r="K42" s="11" t="n">
        <v>98.33</v>
      </c>
      <c r="L42" s="42" t="s">
        <v>257</v>
      </c>
      <c r="M42" s="42" t="s">
        <v>257</v>
      </c>
      <c r="N42" s="42" t="s">
        <v>257</v>
      </c>
      <c r="O42" s="42" t="s">
        <v>257</v>
      </c>
      <c r="P42" s="11" t="n">
        <v>96.1</v>
      </c>
      <c r="Q42" s="11" t="n">
        <v>87.36</v>
      </c>
      <c r="R42" s="11" t="n">
        <v>34.1</v>
      </c>
      <c r="S42" s="11" t="n">
        <f aca="false">R42/1.1</f>
        <v>31</v>
      </c>
      <c r="T42" s="11" t="n">
        <v>59.26</v>
      </c>
      <c r="U42" s="11" t="n">
        <f aca="false">T42/1.1</f>
        <v>53.8727272727273</v>
      </c>
      <c r="V42" s="11" t="n">
        <f aca="false">W42*1.1</f>
        <v>52.8</v>
      </c>
      <c r="W42" s="11" t="n">
        <v>48</v>
      </c>
      <c r="X42" s="11" t="n">
        <v>53.22</v>
      </c>
      <c r="Y42" s="11" t="n">
        <f aca="false">X42/1.1</f>
        <v>48.3818181818182</v>
      </c>
      <c r="Z42" s="42" t="s">
        <v>257</v>
      </c>
      <c r="AA42" s="42" t="s">
        <v>257</v>
      </c>
      <c r="AB42" s="11" t="n">
        <f aca="false">IF(COUNT(I42,K42,M42,O42,Q42,S42,U42,W42,Y42,AA42)=0,"N/A",MIN(I42,K42,M42,O42,Q42,S42,U42,W42,Y42,AA42))</f>
        <v>31</v>
      </c>
      <c r="AC42" s="43" t="n">
        <f aca="false">IF(OR(D42="",AB42="",AB42="N/A"),"N/A",D42/AB42-1)</f>
        <v>-0.578387096774194</v>
      </c>
      <c r="AD42" s="43" t="str">
        <f aca="false">IF(OR(F42="",AB42="",AB42="N/A"),"N/A",F42/AB42-1)</f>
        <v>N/A</v>
      </c>
      <c r="AE42" s="41" t="s">
        <v>292</v>
      </c>
    </row>
    <row r="43" customFormat="false" ht="63.75" hidden="false" customHeight="true" outlineLevel="0" collapsed="false">
      <c r="A43" s="1" t="s">
        <v>225</v>
      </c>
      <c r="B43" s="1" t="s">
        <v>4</v>
      </c>
      <c r="C43" s="41" t="s">
        <v>5</v>
      </c>
      <c r="D43" s="11" t="n">
        <f aca="false">'RSEA vs Quoted Comparison'!F43</f>
        <v>5.35</v>
      </c>
      <c r="E43" s="11" t="n">
        <f aca="false">'RSEA vs Quoted Comparison'!G43</f>
        <v>5.885</v>
      </c>
      <c r="F43" s="11" t="str">
        <f aca="false">IF('RSEA vs Quoted Comparison'!H43="","",'RSEA vs Quoted Comparison'!H43)</f>
        <v/>
      </c>
      <c r="G43" s="11" t="str">
        <f aca="false">IF('RSEA vs Quoted Comparison'!I43="","",'RSEA vs Quoted Comparison'!I43)</f>
        <v/>
      </c>
      <c r="H43" s="11" t="n">
        <f aca="false">'RSEA vs Quoted Comparison'!D43</f>
        <v>37.99</v>
      </c>
      <c r="I43" s="11" t="n">
        <f aca="false">'RSEA vs Quoted Comparison'!E43</f>
        <v>34.5363636363636</v>
      </c>
      <c r="J43" s="42" t="s">
        <v>257</v>
      </c>
      <c r="K43" s="42" t="s">
        <v>257</v>
      </c>
      <c r="L43" s="42" t="s">
        <v>257</v>
      </c>
      <c r="M43" s="42" t="s">
        <v>257</v>
      </c>
      <c r="N43" s="42" t="s">
        <v>257</v>
      </c>
      <c r="O43" s="42" t="s">
        <v>257</v>
      </c>
      <c r="P43" s="42" t="s">
        <v>257</v>
      </c>
      <c r="Q43" s="42" t="s">
        <v>257</v>
      </c>
      <c r="R43" s="42" t="s">
        <v>257</v>
      </c>
      <c r="S43" s="42" t="s">
        <v>257</v>
      </c>
      <c r="T43" s="42" t="s">
        <v>257</v>
      </c>
      <c r="U43" s="42" t="s">
        <v>257</v>
      </c>
      <c r="V43" s="42" t="s">
        <v>257</v>
      </c>
      <c r="W43" s="42" t="s">
        <v>257</v>
      </c>
      <c r="X43" s="42" t="s">
        <v>257</v>
      </c>
      <c r="Y43" s="42" t="s">
        <v>257</v>
      </c>
      <c r="Z43" s="42"/>
      <c r="AA43" s="42"/>
      <c r="AB43" s="11" t="n">
        <f aca="false">IF(COUNT(I43,K43,M43,O43,Q43,S43,U43,W43,Y43,AA43)=0,"N/A",MIN(I43,K43,M43,O43,Q43,S43,U43,W43,Y43,AA43))</f>
        <v>34.5363636363636</v>
      </c>
      <c r="AC43" s="43" t="n">
        <f aca="false">IF(OR(D43="",AB43="",AB43="N/A"),"N/A",D43/AB43-1)</f>
        <v>-0.84509081337194</v>
      </c>
      <c r="AD43" s="43" t="str">
        <f aca="false">IF(OR(F43="",AB43="",AB43="N/A"),"N/A",F43/AB43-1)</f>
        <v>N/A</v>
      </c>
      <c r="AE43" s="41" t="s">
        <v>293</v>
      </c>
    </row>
    <row r="44" customFormat="false" ht="138.75" hidden="false" customHeight="true" outlineLevel="0" collapsed="false">
      <c r="A44" s="1" t="s">
        <v>225</v>
      </c>
      <c r="B44" s="1" t="s">
        <v>95</v>
      </c>
      <c r="C44" s="41" t="s">
        <v>96</v>
      </c>
      <c r="D44" s="11" t="n">
        <f aca="false">'RSEA vs Quoted Comparison'!F44</f>
        <v>2.67</v>
      </c>
      <c r="E44" s="11" t="n">
        <f aca="false">'RSEA vs Quoted Comparison'!G44</f>
        <v>2.937</v>
      </c>
      <c r="F44" s="11" t="str">
        <f aca="false">IF('RSEA vs Quoted Comparison'!H44="","",'RSEA vs Quoted Comparison'!H44)</f>
        <v/>
      </c>
      <c r="G44" s="11" t="str">
        <f aca="false">IF('RSEA vs Quoted Comparison'!I44="","",'RSEA vs Quoted Comparison'!I44)</f>
        <v/>
      </c>
      <c r="H44" s="11" t="n">
        <f aca="false">'RSEA vs Quoted Comparison'!D44</f>
        <v>24.99</v>
      </c>
      <c r="I44" s="11" t="n">
        <f aca="false">'RSEA vs Quoted Comparison'!E44</f>
        <v>22.7181818181818</v>
      </c>
      <c r="J44" s="42" t="s">
        <v>257</v>
      </c>
      <c r="K44" s="42" t="s">
        <v>257</v>
      </c>
      <c r="L44" s="11" t="n">
        <v>34.67</v>
      </c>
      <c r="M44" s="11" t="n">
        <v>31.52</v>
      </c>
      <c r="N44" s="11" t="n">
        <v>42.5</v>
      </c>
      <c r="O44" s="11" t="n">
        <f aca="false">N44/1.1</f>
        <v>38.6363636363636</v>
      </c>
      <c r="P44" s="11" t="n">
        <v>24.2</v>
      </c>
      <c r="Q44" s="11" t="n">
        <v>22</v>
      </c>
      <c r="R44" s="42" t="s">
        <v>257</v>
      </c>
      <c r="S44" s="42" t="s">
        <v>257</v>
      </c>
      <c r="T44" s="11" t="n">
        <v>21.12</v>
      </c>
      <c r="U44" s="11" t="n">
        <f aca="false">T44/1.1</f>
        <v>19.2</v>
      </c>
      <c r="V44" s="42" t="s">
        <v>257</v>
      </c>
      <c r="W44" s="42" t="s">
        <v>257</v>
      </c>
      <c r="X44" s="11" t="n">
        <v>10.29</v>
      </c>
      <c r="Y44" s="11" t="n">
        <f aca="false">X44/1.1</f>
        <v>9.35454545454545</v>
      </c>
      <c r="Z44" s="11" t="n">
        <v>32.72</v>
      </c>
      <c r="AA44" s="11" t="n">
        <f aca="false">Z44/1.1</f>
        <v>29.7454545454545</v>
      </c>
      <c r="AB44" s="11" t="n">
        <f aca="false">IF(COUNT(I44,K44,M44,O44,Q44,S44,U44,W44,Y44,AA44)=0,"N/A",MIN(I44,K44,M44,O44,Q44,S44,U44,W44,Y44,AA44))</f>
        <v>9.35454545454545</v>
      </c>
      <c r="AC44" s="43" t="n">
        <f aca="false">IF(OR(D44="",AB44="",AB44="N/A"),"N/A",D44/AB44-1)</f>
        <v>-0.714577259475219</v>
      </c>
      <c r="AD44" s="43" t="str">
        <f aca="false">IF(OR(F44="",AB44="",AB44="N/A"),"N/A",F44/AB44-1)</f>
        <v>N/A</v>
      </c>
      <c r="AE44" s="41" t="s">
        <v>294</v>
      </c>
    </row>
    <row r="45" customFormat="false" ht="138.75" hidden="false" customHeight="true" outlineLevel="0" collapsed="false">
      <c r="A45" s="1" t="s">
        <v>225</v>
      </c>
      <c r="B45" s="1" t="s">
        <v>97</v>
      </c>
      <c r="C45" s="41" t="s">
        <v>98</v>
      </c>
      <c r="D45" s="11" t="n">
        <f aca="false">'RSEA vs Quoted Comparison'!F45</f>
        <v>10.69</v>
      </c>
      <c r="E45" s="11" t="n">
        <f aca="false">'RSEA vs Quoted Comparison'!G45</f>
        <v>11.759</v>
      </c>
      <c r="F45" s="11" t="str">
        <f aca="false">IF('RSEA vs Quoted Comparison'!H45="","",'RSEA vs Quoted Comparison'!H45)</f>
        <v/>
      </c>
      <c r="G45" s="11" t="str">
        <f aca="false">IF('RSEA vs Quoted Comparison'!I45="","",'RSEA vs Quoted Comparison'!I45)</f>
        <v/>
      </c>
      <c r="H45" s="11" t="n">
        <f aca="false">'RSEA vs Quoted Comparison'!D45</f>
        <v>44.99</v>
      </c>
      <c r="I45" s="11" t="n">
        <f aca="false">'RSEA vs Quoted Comparison'!E45</f>
        <v>40.9</v>
      </c>
      <c r="J45" s="42" t="s">
        <v>257</v>
      </c>
      <c r="K45" s="42" t="s">
        <v>257</v>
      </c>
      <c r="L45" s="11" t="n">
        <v>39.58</v>
      </c>
      <c r="M45" s="11" t="n">
        <v>35.98</v>
      </c>
      <c r="N45" s="11" t="n">
        <v>42.5</v>
      </c>
      <c r="O45" s="11" t="n">
        <f aca="false">N45/1.1</f>
        <v>38.6363636363636</v>
      </c>
      <c r="P45" s="11" t="n">
        <v>51</v>
      </c>
      <c r="Q45" s="11" t="n">
        <v>46.36</v>
      </c>
      <c r="R45" s="11" t="n">
        <v>25.75</v>
      </c>
      <c r="S45" s="11" t="n">
        <f aca="false">R45/1.1</f>
        <v>23.4090909090909</v>
      </c>
      <c r="T45" s="42" t="s">
        <v>257</v>
      </c>
      <c r="U45" s="42" t="s">
        <v>257</v>
      </c>
      <c r="V45" s="11" t="n">
        <f aca="false">W45*1.1</f>
        <v>29.15</v>
      </c>
      <c r="W45" s="11" t="n">
        <v>26.5</v>
      </c>
      <c r="X45" s="42" t="s">
        <v>257</v>
      </c>
      <c r="Y45" s="42" t="s">
        <v>257</v>
      </c>
      <c r="Z45" s="45" t="n">
        <f aca="false">AA45*1.1</f>
        <v>72.204</v>
      </c>
      <c r="AA45" s="45" t="n">
        <v>65.64</v>
      </c>
      <c r="AB45" s="11" t="n">
        <f aca="false">IF(COUNT(I45,K45,M45,O45,Q45,S45,U45,W45,Y45,AA45)=0,"N/A",MIN(I45,K45,M45,O45,Q45,S45,U45,W45,Y45,AA45))</f>
        <v>23.4090909090909</v>
      </c>
      <c r="AC45" s="43" t="n">
        <f aca="false">IF(OR(D45="",AB45="",AB45="N/A"),"N/A",D45/AB45-1)</f>
        <v>-0.543339805825243</v>
      </c>
      <c r="AD45" s="43" t="str">
        <f aca="false">IF(OR(F45="",AB45="",AB45="N/A"),"N/A",F45/AB45-1)</f>
        <v>N/A</v>
      </c>
      <c r="AE45" s="41" t="s">
        <v>295</v>
      </c>
    </row>
    <row r="46" customFormat="false" ht="63.75" hidden="false" customHeight="true" outlineLevel="0" collapsed="false">
      <c r="A46" s="1" t="s">
        <v>225</v>
      </c>
      <c r="B46" s="1" t="s">
        <v>99</v>
      </c>
      <c r="C46" s="41" t="s">
        <v>100</v>
      </c>
      <c r="D46" s="11" t="n">
        <f aca="false">'RSEA vs Quoted Comparison'!F46</f>
        <v>2.67</v>
      </c>
      <c r="E46" s="11" t="n">
        <f aca="false">'RSEA vs Quoted Comparison'!G46</f>
        <v>2.937</v>
      </c>
      <c r="F46" s="11" t="str">
        <f aca="false">IF('RSEA vs Quoted Comparison'!H46="","",'RSEA vs Quoted Comparison'!H46)</f>
        <v/>
      </c>
      <c r="G46" s="11" t="str">
        <f aca="false">IF('RSEA vs Quoted Comparison'!I46="","",'RSEA vs Quoted Comparison'!I46)</f>
        <v/>
      </c>
      <c r="H46" s="11" t="n">
        <f aca="false">'RSEA vs Quoted Comparison'!D46</f>
        <v>24.99</v>
      </c>
      <c r="I46" s="11" t="n">
        <f aca="false">'RSEA vs Quoted Comparison'!E46</f>
        <v>22.7181818181818</v>
      </c>
      <c r="J46" s="42" t="s">
        <v>257</v>
      </c>
      <c r="K46" s="42" t="s">
        <v>257</v>
      </c>
      <c r="L46" s="42" t="s">
        <v>257</v>
      </c>
      <c r="M46" s="42" t="s">
        <v>257</v>
      </c>
      <c r="N46" s="42" t="s">
        <v>257</v>
      </c>
      <c r="O46" s="42" t="s">
        <v>257</v>
      </c>
      <c r="P46" s="42" t="s">
        <v>257</v>
      </c>
      <c r="Q46" s="42" t="s">
        <v>257</v>
      </c>
      <c r="R46" s="42" t="s">
        <v>257</v>
      </c>
      <c r="S46" s="42" t="s">
        <v>257</v>
      </c>
      <c r="T46" s="42" t="s">
        <v>257</v>
      </c>
      <c r="U46" s="42" t="s">
        <v>257</v>
      </c>
      <c r="V46" s="42" t="s">
        <v>257</v>
      </c>
      <c r="W46" s="42" t="s">
        <v>257</v>
      </c>
      <c r="X46" s="42" t="s">
        <v>257</v>
      </c>
      <c r="Y46" s="42" t="s">
        <v>257</v>
      </c>
      <c r="Z46" s="45" t="n">
        <f aca="false">AA46*1.1</f>
        <v>46.134</v>
      </c>
      <c r="AA46" s="45" t="n">
        <v>41.94</v>
      </c>
      <c r="AB46" s="11" t="n">
        <f aca="false">IF(COUNT(I46,K46,M46,O46,Q46,S46,U46,W46,Y46,AA46)=0,"N/A",MIN(I46,K46,M46,O46,Q46,S46,U46,W46,Y46,AA46))</f>
        <v>22.7181818181818</v>
      </c>
      <c r="AC46" s="43" t="n">
        <f aca="false">IF(OR(D46="",AB46="",AB46="N/A"),"N/A",D46/AB46-1)</f>
        <v>-0.882472989195678</v>
      </c>
      <c r="AD46" s="43" t="str">
        <f aca="false">IF(OR(F46="",AB46="",AB46="N/A"),"N/A",F46/AB46-1)</f>
        <v>N/A</v>
      </c>
      <c r="AE46" s="41" t="s">
        <v>293</v>
      </c>
    </row>
    <row r="47" customFormat="false" ht="63.75" hidden="false" customHeight="true" outlineLevel="0" collapsed="false">
      <c r="A47" s="1" t="s">
        <v>225</v>
      </c>
      <c r="B47" s="1" t="s">
        <v>103</v>
      </c>
      <c r="C47" s="41" t="s">
        <v>104</v>
      </c>
      <c r="D47" s="11" t="n">
        <f aca="false">'RSEA vs Quoted Comparison'!F47</f>
        <v>9.5</v>
      </c>
      <c r="E47" s="11" t="n">
        <f aca="false">'RSEA vs Quoted Comparison'!G47</f>
        <v>10.45</v>
      </c>
      <c r="F47" s="11" t="str">
        <f aca="false">IF('RSEA vs Quoted Comparison'!H47="","",'RSEA vs Quoted Comparison'!H47)</f>
        <v/>
      </c>
      <c r="G47" s="11" t="str">
        <f aca="false">IF('RSEA vs Quoted Comparison'!I47="","",'RSEA vs Quoted Comparison'!I47)</f>
        <v/>
      </c>
      <c r="H47" s="11" t="n">
        <f aca="false">'RSEA vs Quoted Comparison'!D47</f>
        <v>44.99</v>
      </c>
      <c r="I47" s="11" t="n">
        <f aca="false">'RSEA vs Quoted Comparison'!E47</f>
        <v>40.9</v>
      </c>
      <c r="J47" s="42" t="s">
        <v>257</v>
      </c>
      <c r="K47" s="42" t="s">
        <v>257</v>
      </c>
      <c r="L47" s="42" t="s">
        <v>257</v>
      </c>
      <c r="M47" s="42" t="s">
        <v>257</v>
      </c>
      <c r="N47" s="42" t="s">
        <v>257</v>
      </c>
      <c r="O47" s="42" t="s">
        <v>257</v>
      </c>
      <c r="P47" s="42" t="s">
        <v>257</v>
      </c>
      <c r="Q47" s="42" t="s">
        <v>257</v>
      </c>
      <c r="R47" s="42" t="s">
        <v>257</v>
      </c>
      <c r="S47" s="42" t="s">
        <v>257</v>
      </c>
      <c r="T47" s="42" t="s">
        <v>257</v>
      </c>
      <c r="U47" s="42" t="s">
        <v>257</v>
      </c>
      <c r="V47" s="42" t="s">
        <v>257</v>
      </c>
      <c r="W47" s="42" t="s">
        <v>257</v>
      </c>
      <c r="X47" s="42" t="s">
        <v>257</v>
      </c>
      <c r="Y47" s="42" t="s">
        <v>257</v>
      </c>
      <c r="Z47" s="45" t="n">
        <f aca="false">AA47*1.1</f>
        <v>48.191</v>
      </c>
      <c r="AA47" s="45" t="n">
        <v>43.81</v>
      </c>
      <c r="AB47" s="11" t="n">
        <f aca="false">IF(COUNT(I47,K47,M47,O47,Q47,S47,U47,W47,Y47,AA47)=0,"N/A",MIN(I47,K47,M47,O47,Q47,S47,U47,W47,Y47,AA47))</f>
        <v>40.9</v>
      </c>
      <c r="AC47" s="43" t="n">
        <f aca="false">IF(OR(D47="",AB47="",AB47="N/A"),"N/A",D47/AB47-1)</f>
        <v>-0.767726161369193</v>
      </c>
      <c r="AD47" s="43" t="str">
        <f aca="false">IF(OR(F47="",AB47="",AB47="N/A"),"N/A",F47/AB47-1)</f>
        <v>N/A</v>
      </c>
      <c r="AE47" s="41" t="s">
        <v>293</v>
      </c>
    </row>
    <row r="48" customFormat="false" ht="63.75" hidden="false" customHeight="true" outlineLevel="0" collapsed="false">
      <c r="A48" s="1" t="s">
        <v>225</v>
      </c>
      <c r="B48" s="1" t="s">
        <v>105</v>
      </c>
      <c r="C48" s="41" t="s">
        <v>106</v>
      </c>
      <c r="D48" s="11" t="n">
        <f aca="false">'RSEA vs Quoted Comparison'!F48</f>
        <v>10.69</v>
      </c>
      <c r="E48" s="11" t="n">
        <f aca="false">'RSEA vs Quoted Comparison'!G48</f>
        <v>11.759</v>
      </c>
      <c r="F48" s="11" t="str">
        <f aca="false">IF('RSEA vs Quoted Comparison'!H48="","",'RSEA vs Quoted Comparison'!H48)</f>
        <v/>
      </c>
      <c r="G48" s="11" t="str">
        <f aca="false">IF('RSEA vs Quoted Comparison'!I48="","",'RSEA vs Quoted Comparison'!I48)</f>
        <v/>
      </c>
      <c r="H48" s="11" t="n">
        <f aca="false">'RSEA vs Quoted Comparison'!D48</f>
        <v>44.99</v>
      </c>
      <c r="I48" s="11" t="n">
        <f aca="false">'RSEA vs Quoted Comparison'!E48</f>
        <v>40.9</v>
      </c>
      <c r="J48" s="42" t="s">
        <v>257</v>
      </c>
      <c r="K48" s="42" t="s">
        <v>257</v>
      </c>
      <c r="L48" s="42" t="s">
        <v>257</v>
      </c>
      <c r="M48" s="42" t="s">
        <v>257</v>
      </c>
      <c r="N48" s="42" t="s">
        <v>257</v>
      </c>
      <c r="O48" s="42" t="s">
        <v>257</v>
      </c>
      <c r="P48" s="42" t="s">
        <v>257</v>
      </c>
      <c r="Q48" s="42" t="s">
        <v>257</v>
      </c>
      <c r="R48" s="42" t="s">
        <v>257</v>
      </c>
      <c r="S48" s="42" t="s">
        <v>257</v>
      </c>
      <c r="T48" s="42" t="s">
        <v>257</v>
      </c>
      <c r="U48" s="42" t="s">
        <v>257</v>
      </c>
      <c r="V48" s="42" t="s">
        <v>257</v>
      </c>
      <c r="W48" s="42" t="s">
        <v>257</v>
      </c>
      <c r="X48" s="42" t="s">
        <v>257</v>
      </c>
      <c r="Y48" s="42" t="s">
        <v>257</v>
      </c>
      <c r="Z48" s="45" t="n">
        <f aca="false">AA48*1.1</f>
        <v>165.242</v>
      </c>
      <c r="AA48" s="45" t="n">
        <v>150.22</v>
      </c>
      <c r="AB48" s="11" t="n">
        <f aca="false">IF(COUNT(I48,K48,M48,O48,Q48,S48,U48,W48,Y48,AA48)=0,"N/A",MIN(I48,K48,M48,O48,Q48,S48,U48,W48,Y48,AA48))</f>
        <v>40.9</v>
      </c>
      <c r="AC48" s="43" t="n">
        <f aca="false">IF(OR(D48="",AB48="",AB48="N/A"),"N/A",D48/AB48-1)</f>
        <v>-0.738630806845966</v>
      </c>
      <c r="AD48" s="43" t="str">
        <f aca="false">IF(OR(F48="",AB48="",AB48="N/A"),"N/A",F48/AB48-1)</f>
        <v>N/A</v>
      </c>
      <c r="AE48" s="41" t="s">
        <v>293</v>
      </c>
    </row>
    <row r="49" customFormat="false" ht="123.75" hidden="false" customHeight="true" outlineLevel="0" collapsed="false">
      <c r="A49" s="1" t="s">
        <v>225</v>
      </c>
      <c r="B49" s="1" t="s">
        <v>109</v>
      </c>
      <c r="C49" s="41" t="s">
        <v>110</v>
      </c>
      <c r="D49" s="11" t="n">
        <f aca="false">'RSEA vs Quoted Comparison'!F49</f>
        <v>5.35</v>
      </c>
      <c r="E49" s="11" t="n">
        <f aca="false">'RSEA vs Quoted Comparison'!G49</f>
        <v>5.885</v>
      </c>
      <c r="F49" s="11" t="str">
        <f aca="false">IF('RSEA vs Quoted Comparison'!H49="","",'RSEA vs Quoted Comparison'!H49)</f>
        <v/>
      </c>
      <c r="G49" s="11" t="str">
        <f aca="false">IF('RSEA vs Quoted Comparison'!I49="","",'RSEA vs Quoted Comparison'!I49)</f>
        <v/>
      </c>
      <c r="H49" s="11" t="n">
        <f aca="false">'RSEA vs Quoted Comparison'!D49</f>
        <v>32.99</v>
      </c>
      <c r="I49" s="11" t="n">
        <f aca="false">'RSEA vs Quoted Comparison'!E49</f>
        <v>29.9909090909091</v>
      </c>
      <c r="J49" s="42" t="s">
        <v>257</v>
      </c>
      <c r="K49" s="42" t="s">
        <v>257</v>
      </c>
      <c r="L49" s="11" t="n">
        <v>34.67</v>
      </c>
      <c r="M49" s="11" t="n">
        <v>31.52</v>
      </c>
      <c r="N49" s="42" t="s">
        <v>257</v>
      </c>
      <c r="O49" s="42" t="s">
        <v>257</v>
      </c>
      <c r="P49" s="42" t="s">
        <v>257</v>
      </c>
      <c r="Q49" s="42" t="s">
        <v>257</v>
      </c>
      <c r="R49" s="11" t="n">
        <v>23</v>
      </c>
      <c r="S49" s="11" t="n">
        <f aca="false">R49/1.1</f>
        <v>20.9090909090909</v>
      </c>
      <c r="T49" s="11" t="n">
        <v>35.73</v>
      </c>
      <c r="U49" s="11" t="n">
        <f aca="false">T49/1.1</f>
        <v>32.4818181818182</v>
      </c>
      <c r="V49" s="11" t="n">
        <f aca="false">W49*1.1</f>
        <v>24.09</v>
      </c>
      <c r="W49" s="11" t="n">
        <v>21.9</v>
      </c>
      <c r="X49" s="42" t="s">
        <v>257</v>
      </c>
      <c r="Y49" s="42" t="s">
        <v>257</v>
      </c>
      <c r="Z49" s="45" t="n">
        <f aca="false">AA49*1.1</f>
        <v>48.851</v>
      </c>
      <c r="AA49" s="45" t="n">
        <v>44.41</v>
      </c>
      <c r="AB49" s="11" t="n">
        <f aca="false">IF(COUNT(I49,K49,M49,O49,Q49,S49,U49,W49,Y49,AA49)=0,"N/A",MIN(I49,K49,M49,O49,Q49,S49,U49,W49,Y49,AA49))</f>
        <v>20.9090909090909</v>
      </c>
      <c r="AC49" s="43" t="n">
        <f aca="false">IF(OR(D49="",AB49="",AB49="N/A"),"N/A",D49/AB49-1)</f>
        <v>-0.744130434782609</v>
      </c>
      <c r="AD49" s="43" t="str">
        <f aca="false">IF(OR(F49="",AB49="",AB49="N/A"),"N/A",F49/AB49-1)</f>
        <v>N/A</v>
      </c>
      <c r="AE49" s="41" t="s">
        <v>296</v>
      </c>
    </row>
    <row r="50" customFormat="false" ht="138.75" hidden="false" customHeight="true" outlineLevel="0" collapsed="false">
      <c r="A50" s="1" t="s">
        <v>225</v>
      </c>
      <c r="B50" s="1" t="s">
        <v>111</v>
      </c>
      <c r="C50" s="41" t="s">
        <v>112</v>
      </c>
      <c r="D50" s="11" t="n">
        <f aca="false">'RSEA vs Quoted Comparison'!F50</f>
        <v>5.35</v>
      </c>
      <c r="E50" s="11" t="n">
        <f aca="false">'RSEA vs Quoted Comparison'!G50</f>
        <v>5.885</v>
      </c>
      <c r="F50" s="11" t="str">
        <f aca="false">IF('RSEA vs Quoted Comparison'!H50="","",'RSEA vs Quoted Comparison'!H50)</f>
        <v/>
      </c>
      <c r="G50" s="11" t="str">
        <f aca="false">IF('RSEA vs Quoted Comparison'!I50="","",'RSEA vs Quoted Comparison'!I50)</f>
        <v/>
      </c>
      <c r="H50" s="11" t="n">
        <f aca="false">'RSEA vs Quoted Comparison'!D50</f>
        <v>49.99</v>
      </c>
      <c r="I50" s="11" t="n">
        <f aca="false">'RSEA vs Quoted Comparison'!E50</f>
        <v>45.4454545454545</v>
      </c>
      <c r="J50" s="42" t="s">
        <v>257</v>
      </c>
      <c r="K50" s="42" t="s">
        <v>257</v>
      </c>
      <c r="L50" s="11" t="n">
        <v>34.67</v>
      </c>
      <c r="M50" s="11" t="n">
        <v>31.52</v>
      </c>
      <c r="N50" s="11" t="n">
        <v>28.3</v>
      </c>
      <c r="O50" s="11" t="n">
        <f aca="false">N50/1.1</f>
        <v>25.7272727272727</v>
      </c>
      <c r="P50" s="11" t="n">
        <v>11.55</v>
      </c>
      <c r="Q50" s="11" t="n">
        <v>10.5</v>
      </c>
      <c r="R50" s="11" t="n">
        <v>23</v>
      </c>
      <c r="S50" s="11" t="n">
        <f aca="false">R50/1.1</f>
        <v>20.9090909090909</v>
      </c>
      <c r="T50" s="11" t="n">
        <v>35.01</v>
      </c>
      <c r="U50" s="11" t="n">
        <f aca="false">T50/1.1</f>
        <v>31.8272727272727</v>
      </c>
      <c r="V50" s="11" t="n">
        <f aca="false">W50*1.1</f>
        <v>25.3</v>
      </c>
      <c r="W50" s="11" t="n">
        <v>23</v>
      </c>
      <c r="X50" s="11" t="n">
        <v>10.29</v>
      </c>
      <c r="Y50" s="11" t="n">
        <f aca="false">X50/1.1</f>
        <v>9.35454545454545</v>
      </c>
      <c r="Z50" s="45" t="n">
        <f aca="false">AA50*1.1</f>
        <v>63.712</v>
      </c>
      <c r="AA50" s="45" t="n">
        <v>57.92</v>
      </c>
      <c r="AB50" s="11" t="n">
        <f aca="false">IF(COUNT(I50,K50,M50,O50,Q50,S50,U50,W50,Y50,AA50)=0,"N/A",MIN(I50,K50,M50,O50,Q50,S50,U50,W50,Y50,AA50))</f>
        <v>9.35454545454545</v>
      </c>
      <c r="AC50" s="43" t="n">
        <f aca="false">IF(OR(D50="",AB50="",AB50="N/A"),"N/A",D50/AB50-1)</f>
        <v>-0.428085519922255</v>
      </c>
      <c r="AD50" s="43" t="str">
        <f aca="false">IF(OR(F50="",AB50="",AB50="N/A"),"N/A",F50/AB50-1)</f>
        <v>N/A</v>
      </c>
      <c r="AE50" s="41" t="s">
        <v>297</v>
      </c>
    </row>
    <row r="51" customFormat="false" ht="63.75" hidden="false" customHeight="true" outlineLevel="0" collapsed="false">
      <c r="A51" s="1" t="s">
        <v>225</v>
      </c>
      <c r="B51" s="1" t="s">
        <v>115</v>
      </c>
      <c r="C51" s="41" t="s">
        <v>116</v>
      </c>
      <c r="D51" s="11" t="n">
        <f aca="false">'RSEA vs Quoted Comparison'!F51</f>
        <v>2.67</v>
      </c>
      <c r="E51" s="11" t="n">
        <f aca="false">'RSEA vs Quoted Comparison'!G51</f>
        <v>2.937</v>
      </c>
      <c r="F51" s="11" t="str">
        <f aca="false">IF('RSEA vs Quoted Comparison'!H51="","",'RSEA vs Quoted Comparison'!H51)</f>
        <v/>
      </c>
      <c r="G51" s="11" t="str">
        <f aca="false">IF('RSEA vs Quoted Comparison'!I51="","",'RSEA vs Quoted Comparison'!I51)</f>
        <v/>
      </c>
      <c r="H51" s="11" t="n">
        <f aca="false">'RSEA vs Quoted Comparison'!D51</f>
        <v>27.99</v>
      </c>
      <c r="I51" s="11" t="n">
        <f aca="false">'RSEA vs Quoted Comparison'!E51</f>
        <v>25.4454545454545</v>
      </c>
      <c r="J51" s="42" t="s">
        <v>257</v>
      </c>
      <c r="K51" s="42" t="s">
        <v>257</v>
      </c>
      <c r="L51" s="42" t="s">
        <v>257</v>
      </c>
      <c r="M51" s="42" t="s">
        <v>257</v>
      </c>
      <c r="N51" s="42" t="s">
        <v>257</v>
      </c>
      <c r="O51" s="42" t="s">
        <v>257</v>
      </c>
      <c r="P51" s="42" t="s">
        <v>257</v>
      </c>
      <c r="Q51" s="42" t="s">
        <v>257</v>
      </c>
      <c r="R51" s="42" t="s">
        <v>257</v>
      </c>
      <c r="S51" s="42" t="s">
        <v>257</v>
      </c>
      <c r="T51" s="42" t="s">
        <v>257</v>
      </c>
      <c r="U51" s="42" t="s">
        <v>257</v>
      </c>
      <c r="V51" s="42" t="s">
        <v>257</v>
      </c>
      <c r="W51" s="42" t="s">
        <v>257</v>
      </c>
      <c r="X51" s="42" t="s">
        <v>257</v>
      </c>
      <c r="Y51" s="42" t="s">
        <v>257</v>
      </c>
      <c r="Z51" s="45" t="n">
        <f aca="false">AA51*1.1</f>
        <v>63.712</v>
      </c>
      <c r="AA51" s="45" t="n">
        <v>57.92</v>
      </c>
      <c r="AB51" s="11" t="n">
        <f aca="false">IF(COUNT(I51,K51,M51,O51,Q51,S51,U51,W51,Y51,AA51)=0,"N/A",MIN(I51,K51,M51,O51,Q51,S51,U51,W51,Y51,AA51))</f>
        <v>25.4454545454545</v>
      </c>
      <c r="AC51" s="43" t="n">
        <f aca="false">IF(OR(D51="",AB51="",AB51="N/A"),"N/A",D51/AB51-1)</f>
        <v>-0.895069667738478</v>
      </c>
      <c r="AD51" s="43" t="str">
        <f aca="false">IF(OR(F51="",AB51="",AB51="N/A"),"N/A",F51/AB51-1)</f>
        <v>N/A</v>
      </c>
      <c r="AE51" s="41" t="s">
        <v>293</v>
      </c>
    </row>
    <row r="52" customFormat="false" ht="63.75" hidden="false" customHeight="true" outlineLevel="0" collapsed="false">
      <c r="A52" s="1" t="s">
        <v>225</v>
      </c>
      <c r="B52" s="1" t="s">
        <v>119</v>
      </c>
      <c r="C52" s="41" t="s">
        <v>120</v>
      </c>
      <c r="D52" s="11" t="n">
        <f aca="false">'RSEA vs Quoted Comparison'!F52</f>
        <v>9.5</v>
      </c>
      <c r="E52" s="11" t="n">
        <f aca="false">'RSEA vs Quoted Comparison'!G52</f>
        <v>10.45</v>
      </c>
      <c r="F52" s="11" t="str">
        <f aca="false">IF('RSEA vs Quoted Comparison'!H52="","",'RSEA vs Quoted Comparison'!H52)</f>
        <v/>
      </c>
      <c r="G52" s="11" t="str">
        <f aca="false">IF('RSEA vs Quoted Comparison'!I52="","",'RSEA vs Quoted Comparison'!I52)</f>
        <v/>
      </c>
      <c r="H52" s="11" t="n">
        <f aca="false">'RSEA vs Quoted Comparison'!D52</f>
        <v>44.99</v>
      </c>
      <c r="I52" s="11" t="n">
        <f aca="false">'RSEA vs Quoted Comparison'!E52</f>
        <v>40.9</v>
      </c>
      <c r="J52" s="42" t="s">
        <v>257</v>
      </c>
      <c r="K52" s="42" t="s">
        <v>257</v>
      </c>
      <c r="L52" s="42" t="s">
        <v>257</v>
      </c>
      <c r="M52" s="42" t="s">
        <v>257</v>
      </c>
      <c r="N52" s="42" t="s">
        <v>257</v>
      </c>
      <c r="O52" s="42" t="s">
        <v>257</v>
      </c>
      <c r="P52" s="42" t="s">
        <v>257</v>
      </c>
      <c r="Q52" s="42" t="s">
        <v>257</v>
      </c>
      <c r="R52" s="42" t="s">
        <v>257</v>
      </c>
      <c r="S52" s="42" t="s">
        <v>257</v>
      </c>
      <c r="T52" s="42" t="s">
        <v>257</v>
      </c>
      <c r="U52" s="42" t="s">
        <v>257</v>
      </c>
      <c r="V52" s="42" t="s">
        <v>257</v>
      </c>
      <c r="W52" s="42" t="s">
        <v>257</v>
      </c>
      <c r="X52" s="42" t="s">
        <v>257</v>
      </c>
      <c r="Y52" s="42" t="s">
        <v>257</v>
      </c>
      <c r="Z52" s="45" t="n">
        <f aca="false">AA52*1.1</f>
        <v>77.275</v>
      </c>
      <c r="AA52" s="45" t="n">
        <v>70.25</v>
      </c>
      <c r="AB52" s="11" t="n">
        <f aca="false">IF(COUNT(I52,K52,M52,O52,Q52,S52,U52,W52,Y52,AA52)=0,"N/A",MIN(I52,K52,M52,O52,Q52,S52,U52,W52,Y52,AA52))</f>
        <v>40.9</v>
      </c>
      <c r="AC52" s="43" t="n">
        <f aca="false">IF(OR(D52="",AB52="",AB52="N/A"),"N/A",D52/AB52-1)</f>
        <v>-0.767726161369193</v>
      </c>
      <c r="AD52" s="43" t="str">
        <f aca="false">IF(OR(F52="",AB52="",AB52="N/A"),"N/A",F52/AB52-1)</f>
        <v>N/A</v>
      </c>
      <c r="AE52" s="41" t="s">
        <v>293</v>
      </c>
    </row>
    <row r="53" customFormat="false" ht="168.75" hidden="false" customHeight="true" outlineLevel="0" collapsed="false">
      <c r="A53" s="1" t="s">
        <v>225</v>
      </c>
      <c r="B53" s="1" t="s">
        <v>121</v>
      </c>
      <c r="C53" s="41" t="s">
        <v>122</v>
      </c>
      <c r="D53" s="11" t="n">
        <f aca="false">'RSEA vs Quoted Comparison'!F53</f>
        <v>2</v>
      </c>
      <c r="E53" s="11" t="n">
        <f aca="false">'RSEA vs Quoted Comparison'!G53</f>
        <v>2.2</v>
      </c>
      <c r="F53" s="11" t="str">
        <f aca="false">IF('RSEA vs Quoted Comparison'!H53="","",'RSEA vs Quoted Comparison'!H53)</f>
        <v/>
      </c>
      <c r="G53" s="11" t="str">
        <f aca="false">IF('RSEA vs Quoted Comparison'!I53="","",'RSEA vs Quoted Comparison'!I53)</f>
        <v/>
      </c>
      <c r="H53" s="11" t="n">
        <f aca="false">'RSEA vs Quoted Comparison'!D53</f>
        <v>49.99</v>
      </c>
      <c r="I53" s="11" t="n">
        <f aca="false">'RSEA vs Quoted Comparison'!E53</f>
        <v>45.4454545454545</v>
      </c>
      <c r="J53" s="42" t="s">
        <v>257</v>
      </c>
      <c r="K53" s="42" t="s">
        <v>257</v>
      </c>
      <c r="L53" s="11" t="n">
        <v>21.51</v>
      </c>
      <c r="M53" s="11" t="n">
        <v>19.55</v>
      </c>
      <c r="N53" s="11" t="n">
        <v>8.6</v>
      </c>
      <c r="O53" s="11" t="n">
        <f aca="false">N53/1.1</f>
        <v>7.81818181818182</v>
      </c>
      <c r="P53" s="11" t="n">
        <v>22.6</v>
      </c>
      <c r="Q53" s="11" t="n">
        <v>20.55</v>
      </c>
      <c r="R53" s="11" t="n">
        <v>28.5</v>
      </c>
      <c r="S53" s="11" t="n">
        <f aca="false">R53/1.1</f>
        <v>25.9090909090909</v>
      </c>
      <c r="T53" s="11" t="n">
        <v>22.12</v>
      </c>
      <c r="U53" s="11" t="n">
        <f aca="false">T53/1.1</f>
        <v>20.1090909090909</v>
      </c>
      <c r="V53" s="42" t="s">
        <v>257</v>
      </c>
      <c r="W53" s="42" t="s">
        <v>257</v>
      </c>
      <c r="X53" s="11" t="n">
        <v>10.29</v>
      </c>
      <c r="Y53" s="11" t="n">
        <f aca="false">X53/1.1</f>
        <v>9.35454545454545</v>
      </c>
      <c r="Z53" s="11" t="n">
        <v>61.33</v>
      </c>
      <c r="AA53" s="11" t="n">
        <f aca="false">Z53/1.1</f>
        <v>55.7545454545455</v>
      </c>
      <c r="AB53" s="11" t="n">
        <f aca="false">IF(COUNT(I53,K53,M53,O53,Q53,S53,U53,W53,Y53,AA53)=0,"N/A",MIN(I53,K53,M53,O53,Q53,S53,U53,W53,Y53,AA53))</f>
        <v>7.81818181818182</v>
      </c>
      <c r="AC53" s="43" t="n">
        <f aca="false">IF(OR(D53="",AB53="",AB53="N/A"),"N/A",D53/AB53-1)</f>
        <v>-0.744186046511628</v>
      </c>
      <c r="AD53" s="43" t="str">
        <f aca="false">IF(OR(F53="",AB53="",AB53="N/A"),"N/A",F53/AB53-1)</f>
        <v>N/A</v>
      </c>
      <c r="AE53" s="41" t="s">
        <v>298</v>
      </c>
    </row>
    <row r="54" customFormat="false" ht="63.75" hidden="false" customHeight="true" outlineLevel="0" collapsed="false">
      <c r="A54" s="1" t="s">
        <v>225</v>
      </c>
      <c r="B54" s="1" t="s">
        <v>123</v>
      </c>
      <c r="C54" s="41" t="s">
        <v>124</v>
      </c>
      <c r="D54" s="11" t="n">
        <f aca="false">'RSEA vs Quoted Comparison'!F54</f>
        <v>2.67</v>
      </c>
      <c r="E54" s="11" t="n">
        <f aca="false">'RSEA vs Quoted Comparison'!G54</f>
        <v>2.937</v>
      </c>
      <c r="F54" s="11" t="str">
        <f aca="false">IF('RSEA vs Quoted Comparison'!H54="","",'RSEA vs Quoted Comparison'!H54)</f>
        <v/>
      </c>
      <c r="G54" s="11" t="str">
        <f aca="false">IF('RSEA vs Quoted Comparison'!I54="","",'RSEA vs Quoted Comparison'!I54)</f>
        <v/>
      </c>
      <c r="H54" s="11" t="n">
        <f aca="false">'RSEA vs Quoted Comparison'!D54</f>
        <v>32.99</v>
      </c>
      <c r="I54" s="11" t="n">
        <f aca="false">'RSEA vs Quoted Comparison'!E54</f>
        <v>29.9909090909091</v>
      </c>
      <c r="J54" s="42" t="s">
        <v>257</v>
      </c>
      <c r="K54" s="42" t="s">
        <v>257</v>
      </c>
      <c r="L54" s="42" t="s">
        <v>257</v>
      </c>
      <c r="M54" s="42" t="s">
        <v>257</v>
      </c>
      <c r="N54" s="42" t="s">
        <v>257</v>
      </c>
      <c r="O54" s="42" t="s">
        <v>257</v>
      </c>
      <c r="P54" s="42" t="s">
        <v>257</v>
      </c>
      <c r="Q54" s="42" t="s">
        <v>257</v>
      </c>
      <c r="R54" s="42" t="s">
        <v>257</v>
      </c>
      <c r="S54" s="42" t="s">
        <v>257</v>
      </c>
      <c r="T54" s="42" t="s">
        <v>257</v>
      </c>
      <c r="U54" s="42" t="s">
        <v>257</v>
      </c>
      <c r="V54" s="42" t="s">
        <v>257</v>
      </c>
      <c r="W54" s="42" t="s">
        <v>257</v>
      </c>
      <c r="X54" s="42" t="s">
        <v>257</v>
      </c>
      <c r="Y54" s="42" t="s">
        <v>257</v>
      </c>
      <c r="Z54" s="45" t="n">
        <f aca="false">1.1*AA54</f>
        <v>56.397</v>
      </c>
      <c r="AA54" s="45" t="n">
        <v>51.27</v>
      </c>
      <c r="AB54" s="11" t="n">
        <f aca="false">IF(COUNT(I54,K54,M54,O54,Q54,S54,U54,W54,Y54,AA54)=0,"N/A",MIN(I54,K54,M54,O54,Q54,S54,U54,W54,Y54,AA54))</f>
        <v>29.9909090909091</v>
      </c>
      <c r="AC54" s="43" t="n">
        <f aca="false">IF(OR(D54="",AB54="",AB54="N/A"),"N/A",D54/AB54-1)</f>
        <v>-0.910973022127918</v>
      </c>
      <c r="AD54" s="43" t="str">
        <f aca="false">IF(OR(F54="",AB54="",AB54="N/A"),"N/A",F54/AB54-1)</f>
        <v>N/A</v>
      </c>
      <c r="AE54" s="41" t="s">
        <v>293</v>
      </c>
    </row>
    <row r="55" customFormat="false" ht="63.75" hidden="false" customHeight="true" outlineLevel="0" collapsed="false">
      <c r="A55" s="1" t="s">
        <v>225</v>
      </c>
      <c r="B55" s="1" t="s">
        <v>125</v>
      </c>
      <c r="C55" s="41" t="s">
        <v>126</v>
      </c>
      <c r="D55" s="11" t="n">
        <f aca="false">'RSEA vs Quoted Comparison'!F55</f>
        <v>4.01</v>
      </c>
      <c r="E55" s="11" t="n">
        <f aca="false">'RSEA vs Quoted Comparison'!G55</f>
        <v>4.411</v>
      </c>
      <c r="F55" s="11" t="str">
        <f aca="false">IF('RSEA vs Quoted Comparison'!H55="","",'RSEA vs Quoted Comparison'!H55)</f>
        <v/>
      </c>
      <c r="G55" s="11" t="str">
        <f aca="false">IF('RSEA vs Quoted Comparison'!I55="","",'RSEA vs Quoted Comparison'!I55)</f>
        <v/>
      </c>
      <c r="H55" s="11" t="n">
        <f aca="false">'RSEA vs Quoted Comparison'!D55</f>
        <v>37.99</v>
      </c>
      <c r="I55" s="11" t="n">
        <f aca="false">'RSEA vs Quoted Comparison'!E55</f>
        <v>34.5363636363636</v>
      </c>
      <c r="J55" s="42" t="s">
        <v>257</v>
      </c>
      <c r="K55" s="42" t="s">
        <v>257</v>
      </c>
      <c r="L55" s="42" t="s">
        <v>257</v>
      </c>
      <c r="M55" s="42" t="s">
        <v>257</v>
      </c>
      <c r="N55" s="42" t="s">
        <v>257</v>
      </c>
      <c r="O55" s="42" t="s">
        <v>257</v>
      </c>
      <c r="P55" s="42" t="s">
        <v>257</v>
      </c>
      <c r="Q55" s="42" t="s">
        <v>257</v>
      </c>
      <c r="R55" s="42" t="s">
        <v>257</v>
      </c>
      <c r="S55" s="42" t="s">
        <v>257</v>
      </c>
      <c r="T55" s="42" t="s">
        <v>257</v>
      </c>
      <c r="U55" s="42" t="s">
        <v>257</v>
      </c>
      <c r="V55" s="42" t="s">
        <v>257</v>
      </c>
      <c r="W55" s="42" t="s">
        <v>257</v>
      </c>
      <c r="X55" s="42" t="s">
        <v>257</v>
      </c>
      <c r="Y55" s="42" t="s">
        <v>257</v>
      </c>
      <c r="Z55" s="42" t="s">
        <v>257</v>
      </c>
      <c r="AA55" s="42" t="s">
        <v>299</v>
      </c>
      <c r="AB55" s="11" t="n">
        <f aca="false">IF(COUNT(I55,K55,M55,O55,Q55,S55,U55,W55,Y55,AA55)=0,"N/A",MIN(I55,K55,M55,O55,Q55,S55,U55,W55,Y55,AA55))</f>
        <v>34.5363636363636</v>
      </c>
      <c r="AC55" s="43" t="n">
        <f aca="false">IF(OR(D55="",AB55="",AB55="N/A"),"N/A",D55/AB55-1)</f>
        <v>-0.883890497499342</v>
      </c>
      <c r="AD55" s="43" t="str">
        <f aca="false">IF(OR(F55="",AB55="",AB55="N/A"),"N/A",F55/AB55-1)</f>
        <v>N/A</v>
      </c>
      <c r="AE55" s="41" t="s">
        <v>293</v>
      </c>
    </row>
    <row r="56" customFormat="false" ht="63.75" hidden="false" customHeight="true" outlineLevel="0" collapsed="false">
      <c r="A56" s="1" t="s">
        <v>225</v>
      </c>
      <c r="B56" s="1" t="s">
        <v>129</v>
      </c>
      <c r="C56" s="41" t="s">
        <v>130</v>
      </c>
      <c r="D56" s="11" t="n">
        <f aca="false">'RSEA vs Quoted Comparison'!F56</f>
        <v>10.69</v>
      </c>
      <c r="E56" s="11" t="n">
        <f aca="false">'RSEA vs Quoted Comparison'!G56</f>
        <v>11.759</v>
      </c>
      <c r="F56" s="11" t="str">
        <f aca="false">IF('RSEA vs Quoted Comparison'!H56="","",'RSEA vs Quoted Comparison'!H56)</f>
        <v/>
      </c>
      <c r="G56" s="11" t="str">
        <f aca="false">IF('RSEA vs Quoted Comparison'!I56="","",'RSEA vs Quoted Comparison'!I56)</f>
        <v/>
      </c>
      <c r="H56" s="11" t="n">
        <f aca="false">'RSEA vs Quoted Comparison'!D56</f>
        <v>37.99</v>
      </c>
      <c r="I56" s="11" t="n">
        <f aca="false">'RSEA vs Quoted Comparison'!E56</f>
        <v>34.5363636363636</v>
      </c>
      <c r="J56" s="42" t="s">
        <v>257</v>
      </c>
      <c r="K56" s="42" t="s">
        <v>257</v>
      </c>
      <c r="L56" s="42" t="s">
        <v>257</v>
      </c>
      <c r="M56" s="42" t="s">
        <v>257</v>
      </c>
      <c r="N56" s="42" t="s">
        <v>257</v>
      </c>
      <c r="O56" s="42" t="s">
        <v>257</v>
      </c>
      <c r="P56" s="42" t="s">
        <v>257</v>
      </c>
      <c r="Q56" s="42" t="s">
        <v>257</v>
      </c>
      <c r="R56" s="42" t="s">
        <v>257</v>
      </c>
      <c r="S56" s="42" t="s">
        <v>257</v>
      </c>
      <c r="T56" s="42" t="s">
        <v>257</v>
      </c>
      <c r="U56" s="42" t="s">
        <v>257</v>
      </c>
      <c r="V56" s="42" t="s">
        <v>257</v>
      </c>
      <c r="W56" s="42" t="s">
        <v>257</v>
      </c>
      <c r="X56" s="42" t="s">
        <v>257</v>
      </c>
      <c r="Y56" s="42" t="s">
        <v>257</v>
      </c>
      <c r="Z56" s="42" t="s">
        <v>257</v>
      </c>
      <c r="AA56" s="42" t="s">
        <v>257</v>
      </c>
      <c r="AB56" s="11" t="n">
        <f aca="false">IF(COUNT(I56,K56,M56,O56,Q56,S56,U56,W56,Y56,AA56)=0,"N/A",MIN(I56,K56,M56,O56,Q56,S56,U56,W56,Y56,AA56))</f>
        <v>34.5363636363636</v>
      </c>
      <c r="AC56" s="43" t="n">
        <f aca="false">IF(OR(D56="",AB56="",AB56="N/A"),"N/A",D56/AB56-1)</f>
        <v>-0.690471176625428</v>
      </c>
      <c r="AD56" s="43" t="str">
        <f aca="false">IF(OR(F56="",AB56="",AB56="N/A"),"N/A",F56/AB56-1)</f>
        <v>N/A</v>
      </c>
      <c r="AE56" s="41" t="s">
        <v>293</v>
      </c>
    </row>
    <row r="57" customFormat="false" ht="63.75" hidden="false" customHeight="true" outlineLevel="0" collapsed="false">
      <c r="A57" s="1" t="s">
        <v>225</v>
      </c>
      <c r="B57" s="1" t="s">
        <v>133</v>
      </c>
      <c r="C57" s="41" t="s">
        <v>134</v>
      </c>
      <c r="D57" s="11" t="n">
        <f aca="false">'RSEA vs Quoted Comparison'!F57</f>
        <v>10.69</v>
      </c>
      <c r="E57" s="11" t="n">
        <f aca="false">'RSEA vs Quoted Comparison'!G57</f>
        <v>11.759</v>
      </c>
      <c r="F57" s="11" t="str">
        <f aca="false">IF('RSEA vs Quoted Comparison'!H57="","",'RSEA vs Quoted Comparison'!H57)</f>
        <v/>
      </c>
      <c r="G57" s="11" t="str">
        <f aca="false">IF('RSEA vs Quoted Comparison'!I57="","",'RSEA vs Quoted Comparison'!I57)</f>
        <v/>
      </c>
      <c r="H57" s="11" t="n">
        <f aca="false">'RSEA vs Quoted Comparison'!D57</f>
        <v>37.99</v>
      </c>
      <c r="I57" s="11" t="n">
        <f aca="false">'RSEA vs Quoted Comparison'!E57</f>
        <v>34.5363636363636</v>
      </c>
      <c r="J57" s="42" t="s">
        <v>257</v>
      </c>
      <c r="K57" s="42" t="s">
        <v>257</v>
      </c>
      <c r="L57" s="42" t="s">
        <v>257</v>
      </c>
      <c r="M57" s="42" t="s">
        <v>257</v>
      </c>
      <c r="N57" s="42" t="s">
        <v>257</v>
      </c>
      <c r="O57" s="42" t="s">
        <v>257</v>
      </c>
      <c r="P57" s="42" t="s">
        <v>257</v>
      </c>
      <c r="Q57" s="42" t="s">
        <v>257</v>
      </c>
      <c r="R57" s="42" t="s">
        <v>257</v>
      </c>
      <c r="S57" s="42" t="s">
        <v>257</v>
      </c>
      <c r="T57" s="42" t="s">
        <v>257</v>
      </c>
      <c r="U57" s="42" t="s">
        <v>257</v>
      </c>
      <c r="V57" s="42" t="s">
        <v>257</v>
      </c>
      <c r="W57" s="42" t="s">
        <v>257</v>
      </c>
      <c r="X57" s="42" t="s">
        <v>257</v>
      </c>
      <c r="Y57" s="42" t="s">
        <v>257</v>
      </c>
      <c r="Z57" s="45" t="n">
        <f aca="false">1.1*AA57</f>
        <v>77.275</v>
      </c>
      <c r="AA57" s="45" t="n">
        <v>70.25</v>
      </c>
      <c r="AB57" s="11" t="n">
        <f aca="false">IF(COUNT(I57,K57,M57,O57,Q57,S57,U57,W57,Y57,AA57)=0,"N/A",MIN(I57,K57,M57,O57,Q57,S57,U57,W57,Y57,AA57))</f>
        <v>34.5363636363636</v>
      </c>
      <c r="AC57" s="43" t="n">
        <f aca="false">IF(OR(D57="",AB57="",AB57="N/A"),"N/A",D57/AB57-1)</f>
        <v>-0.690471176625428</v>
      </c>
      <c r="AD57" s="43" t="str">
        <f aca="false">IF(OR(F57="",AB57="",AB57="N/A"),"N/A",F57/AB57-1)</f>
        <v>N/A</v>
      </c>
      <c r="AE57" s="41" t="s">
        <v>293</v>
      </c>
    </row>
    <row r="58" customFormat="false" ht="63.75" hidden="false" customHeight="true" outlineLevel="0" collapsed="false">
      <c r="A58" s="1" t="s">
        <v>225</v>
      </c>
      <c r="B58" s="1" t="s">
        <v>135</v>
      </c>
      <c r="C58" s="41" t="s">
        <v>136</v>
      </c>
      <c r="D58" s="11" t="n">
        <f aca="false">'RSEA vs Quoted Comparison'!F58</f>
        <v>10.69</v>
      </c>
      <c r="E58" s="11" t="n">
        <f aca="false">'RSEA vs Quoted Comparison'!G58</f>
        <v>11.759</v>
      </c>
      <c r="F58" s="11" t="str">
        <f aca="false">IF('RSEA vs Quoted Comparison'!H58="","",'RSEA vs Quoted Comparison'!H58)</f>
        <v/>
      </c>
      <c r="G58" s="11" t="str">
        <f aca="false">IF('RSEA vs Quoted Comparison'!I58="","",'RSEA vs Quoted Comparison'!I58)</f>
        <v/>
      </c>
      <c r="H58" s="11" t="n">
        <f aca="false">'RSEA vs Quoted Comparison'!D58</f>
        <v>44.99</v>
      </c>
      <c r="I58" s="11" t="n">
        <f aca="false">'RSEA vs Quoted Comparison'!E58</f>
        <v>40.9</v>
      </c>
      <c r="J58" s="42" t="s">
        <v>257</v>
      </c>
      <c r="K58" s="42" t="s">
        <v>257</v>
      </c>
      <c r="L58" s="42" t="s">
        <v>257</v>
      </c>
      <c r="M58" s="42" t="s">
        <v>257</v>
      </c>
      <c r="N58" s="42" t="s">
        <v>257</v>
      </c>
      <c r="O58" s="42" t="s">
        <v>257</v>
      </c>
      <c r="P58" s="42" t="s">
        <v>257</v>
      </c>
      <c r="Q58" s="42" t="s">
        <v>257</v>
      </c>
      <c r="R58" s="42" t="s">
        <v>257</v>
      </c>
      <c r="S58" s="42" t="s">
        <v>257</v>
      </c>
      <c r="T58" s="42" t="s">
        <v>257</v>
      </c>
      <c r="U58" s="42" t="s">
        <v>257</v>
      </c>
      <c r="V58" s="42" t="s">
        <v>257</v>
      </c>
      <c r="W58" s="42" t="s">
        <v>257</v>
      </c>
      <c r="X58" s="42" t="s">
        <v>257</v>
      </c>
      <c r="Y58" s="42" t="s">
        <v>257</v>
      </c>
      <c r="Z58" s="45" t="n">
        <f aca="false">1.1*AA58</f>
        <v>48.191</v>
      </c>
      <c r="AA58" s="45" t="n">
        <v>43.81</v>
      </c>
      <c r="AB58" s="11" t="n">
        <f aca="false">IF(COUNT(I58,K58,M58,O58,Q58,S58,U58,W58,Y58,AA58)=0,"N/A",MIN(I58,K58,M58,O58,Q58,S58,U58,W58,Y58,AA58))</f>
        <v>40.9</v>
      </c>
      <c r="AC58" s="43" t="n">
        <f aca="false">IF(OR(D58="",AB58="",AB58="N/A"),"N/A",D58/AB58-1)</f>
        <v>-0.738630806845966</v>
      </c>
      <c r="AD58" s="43" t="str">
        <f aca="false">IF(OR(F58="",AB58="",AB58="N/A"),"N/A",F58/AB58-1)</f>
        <v>N/A</v>
      </c>
      <c r="AE58" s="41" t="s">
        <v>293</v>
      </c>
    </row>
    <row r="59" customFormat="false" ht="63.75" hidden="false" customHeight="true" outlineLevel="0" collapsed="false">
      <c r="A59" s="1" t="s">
        <v>225</v>
      </c>
      <c r="B59" s="1" t="s">
        <v>139</v>
      </c>
      <c r="C59" s="41" t="s">
        <v>140</v>
      </c>
      <c r="D59" s="11" t="n">
        <f aca="false">'RSEA vs Quoted Comparison'!F59</f>
        <v>2.89</v>
      </c>
      <c r="E59" s="11" t="n">
        <f aca="false">'RSEA vs Quoted Comparison'!G59</f>
        <v>3.179</v>
      </c>
      <c r="F59" s="11" t="str">
        <f aca="false">IF('RSEA vs Quoted Comparison'!H59="","",'RSEA vs Quoted Comparison'!H59)</f>
        <v/>
      </c>
      <c r="G59" s="11" t="str">
        <f aca="false">IF('RSEA vs Quoted Comparison'!I59="","",'RSEA vs Quoted Comparison'!I59)</f>
        <v/>
      </c>
      <c r="H59" s="11" t="n">
        <f aca="false">'RSEA vs Quoted Comparison'!D59</f>
        <v>32.99</v>
      </c>
      <c r="I59" s="11" t="n">
        <f aca="false">'RSEA vs Quoted Comparison'!E59</f>
        <v>29.9909090909091</v>
      </c>
      <c r="J59" s="42" t="s">
        <v>257</v>
      </c>
      <c r="K59" s="42" t="s">
        <v>257</v>
      </c>
      <c r="L59" s="42" t="s">
        <v>257</v>
      </c>
      <c r="M59" s="42" t="s">
        <v>257</v>
      </c>
      <c r="N59" s="42" t="s">
        <v>257</v>
      </c>
      <c r="O59" s="42" t="s">
        <v>257</v>
      </c>
      <c r="P59" s="42" t="s">
        <v>257</v>
      </c>
      <c r="Q59" s="42" t="s">
        <v>257</v>
      </c>
      <c r="R59" s="42" t="s">
        <v>257</v>
      </c>
      <c r="S59" s="42" t="s">
        <v>257</v>
      </c>
      <c r="T59" s="42" t="s">
        <v>257</v>
      </c>
      <c r="U59" s="42" t="s">
        <v>257</v>
      </c>
      <c r="V59" s="42" t="s">
        <v>257</v>
      </c>
      <c r="W59" s="42" t="s">
        <v>257</v>
      </c>
      <c r="X59" s="42" t="s">
        <v>257</v>
      </c>
      <c r="Y59" s="42" t="s">
        <v>257</v>
      </c>
      <c r="Z59" s="45" t="n">
        <f aca="false">1.1*AA59</f>
        <v>52.184</v>
      </c>
      <c r="AA59" s="45" t="n">
        <v>47.44</v>
      </c>
      <c r="AB59" s="11" t="n">
        <f aca="false">IF(COUNT(I59,K59,M59,O59,Q59,S59,U59,W59,Y59,AA59)=0,"N/A",MIN(I59,K59,M59,O59,Q59,S59,U59,W59,Y59,AA59))</f>
        <v>29.9909090909091</v>
      </c>
      <c r="AC59" s="43" t="n">
        <f aca="false">IF(OR(D59="",AB59="",AB59="N/A"),"N/A",D59/AB59-1)</f>
        <v>-0.903637465898757</v>
      </c>
      <c r="AD59" s="43" t="str">
        <f aca="false">IF(OR(F59="",AB59="",AB59="N/A"),"N/A",F59/AB59-1)</f>
        <v>N/A</v>
      </c>
      <c r="AE59" s="41" t="s">
        <v>293</v>
      </c>
    </row>
    <row r="60" customFormat="false" ht="63.75" hidden="false" customHeight="true" outlineLevel="0" collapsed="false">
      <c r="A60" s="1" t="s">
        <v>225</v>
      </c>
      <c r="B60" s="1" t="s">
        <v>143</v>
      </c>
      <c r="C60" s="41" t="s">
        <v>144</v>
      </c>
      <c r="D60" s="11" t="n">
        <f aca="false">'RSEA vs Quoted Comparison'!F60</f>
        <v>1.94</v>
      </c>
      <c r="E60" s="11" t="n">
        <f aca="false">'RSEA vs Quoted Comparison'!G60</f>
        <v>2.134</v>
      </c>
      <c r="F60" s="11" t="str">
        <f aca="false">IF('RSEA vs Quoted Comparison'!H60="","",'RSEA vs Quoted Comparison'!H60)</f>
        <v/>
      </c>
      <c r="G60" s="11" t="str">
        <f aca="false">IF('RSEA vs Quoted Comparison'!I60="","",'RSEA vs Quoted Comparison'!I60)</f>
        <v/>
      </c>
      <c r="H60" s="11" t="n">
        <f aca="false">'RSEA vs Quoted Comparison'!D60</f>
        <v>49.99</v>
      </c>
      <c r="I60" s="11" t="n">
        <f aca="false">'RSEA vs Quoted Comparison'!E60</f>
        <v>45.4454545454545</v>
      </c>
      <c r="J60" s="42" t="s">
        <v>257</v>
      </c>
      <c r="K60" s="42" t="s">
        <v>257</v>
      </c>
      <c r="L60" s="42" t="s">
        <v>257</v>
      </c>
      <c r="M60" s="42" t="s">
        <v>257</v>
      </c>
      <c r="N60" s="42" t="s">
        <v>257</v>
      </c>
      <c r="O60" s="42" t="s">
        <v>257</v>
      </c>
      <c r="P60" s="42" t="s">
        <v>257</v>
      </c>
      <c r="Q60" s="42" t="s">
        <v>257</v>
      </c>
      <c r="R60" s="42" t="s">
        <v>257</v>
      </c>
      <c r="S60" s="42" t="s">
        <v>257</v>
      </c>
      <c r="T60" s="42" t="s">
        <v>257</v>
      </c>
      <c r="U60" s="42" t="s">
        <v>257</v>
      </c>
      <c r="V60" s="42" t="s">
        <v>257</v>
      </c>
      <c r="W60" s="42" t="s">
        <v>257</v>
      </c>
      <c r="X60" s="42" t="s">
        <v>257</v>
      </c>
      <c r="Y60" s="42" t="s">
        <v>257</v>
      </c>
      <c r="Z60" s="45" t="n">
        <f aca="false">1.1*AA60</f>
        <v>92.246</v>
      </c>
      <c r="AA60" s="45" t="n">
        <v>83.86</v>
      </c>
      <c r="AB60" s="11" t="n">
        <f aca="false">IF(COUNT(I60,K60,M60,O60,Q60,S60,U60,W60,Y60,AA60)=0,"N/A",MIN(I60,K60,M60,O60,Q60,S60,U60,W60,Y60,AA60))</f>
        <v>45.4454545454545</v>
      </c>
      <c r="AC60" s="43" t="n">
        <f aca="false">IF(OR(D60="",AB60="",AB60="N/A"),"N/A",D60/AB60-1)</f>
        <v>-0.957311462292458</v>
      </c>
      <c r="AD60" s="43" t="str">
        <f aca="false">IF(OR(F60="",AB60="",AB60="N/A"),"N/A",F60/AB60-1)</f>
        <v>N/A</v>
      </c>
      <c r="AE60" s="41" t="s">
        <v>293</v>
      </c>
    </row>
    <row r="61" customFormat="false" ht="63.75" hidden="false" customHeight="true" outlineLevel="0" collapsed="false">
      <c r="A61" s="1" t="s">
        <v>225</v>
      </c>
      <c r="B61" s="1" t="s">
        <v>149</v>
      </c>
      <c r="C61" s="41" t="s">
        <v>150</v>
      </c>
      <c r="D61" s="11" t="n">
        <f aca="false">'RSEA vs Quoted Comparison'!F61</f>
        <v>10.69</v>
      </c>
      <c r="E61" s="11" t="n">
        <f aca="false">'RSEA vs Quoted Comparison'!G61</f>
        <v>11.759</v>
      </c>
      <c r="F61" s="11" t="str">
        <f aca="false">IF('RSEA vs Quoted Comparison'!H61="","",'RSEA vs Quoted Comparison'!H61)</f>
        <v/>
      </c>
      <c r="G61" s="11" t="str">
        <f aca="false">IF('RSEA vs Quoted Comparison'!I61="","",'RSEA vs Quoted Comparison'!I61)</f>
        <v/>
      </c>
      <c r="H61" s="11" t="n">
        <f aca="false">'RSEA vs Quoted Comparison'!D61</f>
        <v>49.99</v>
      </c>
      <c r="I61" s="11" t="n">
        <f aca="false">'RSEA vs Quoted Comparison'!E61</f>
        <v>45.4454545454545</v>
      </c>
      <c r="J61" s="42" t="s">
        <v>257</v>
      </c>
      <c r="K61" s="42" t="s">
        <v>257</v>
      </c>
      <c r="L61" s="42" t="s">
        <v>257</v>
      </c>
      <c r="M61" s="42" t="s">
        <v>257</v>
      </c>
      <c r="N61" s="42" t="s">
        <v>257</v>
      </c>
      <c r="O61" s="42" t="s">
        <v>257</v>
      </c>
      <c r="P61" s="42" t="s">
        <v>257</v>
      </c>
      <c r="Q61" s="42" t="s">
        <v>257</v>
      </c>
      <c r="R61" s="42" t="s">
        <v>257</v>
      </c>
      <c r="S61" s="42" t="s">
        <v>257</v>
      </c>
      <c r="T61" s="42" t="s">
        <v>257</v>
      </c>
      <c r="U61" s="42" t="s">
        <v>257</v>
      </c>
      <c r="V61" s="42" t="s">
        <v>257</v>
      </c>
      <c r="W61" s="42" t="s">
        <v>257</v>
      </c>
      <c r="X61" s="42" t="s">
        <v>257</v>
      </c>
      <c r="Y61" s="42" t="s">
        <v>257</v>
      </c>
      <c r="Z61" s="45" t="n">
        <f aca="false">1.1*AA61</f>
        <v>47.905</v>
      </c>
      <c r="AA61" s="45" t="n">
        <v>43.55</v>
      </c>
      <c r="AB61" s="11" t="n">
        <f aca="false">IF(COUNT(I61,K61,M61,O61,Q61,S61,U61,W61,Y61,AA61)=0,"N/A",MIN(I61,K61,M61,O61,Q61,S61,U61,W61,Y61,AA61))</f>
        <v>43.55</v>
      </c>
      <c r="AC61" s="43" t="n">
        <f aca="false">IF(OR(D61="",AB61="",AB61="N/A"),"N/A",D61/AB61-1)</f>
        <v>-0.754535017221584</v>
      </c>
      <c r="AD61" s="43" t="str">
        <f aca="false">IF(OR(F61="",AB61="",AB61="N/A"),"N/A",F61/AB61-1)</f>
        <v>N/A</v>
      </c>
      <c r="AE61" s="41" t="s">
        <v>293</v>
      </c>
    </row>
    <row r="62" customFormat="false" ht="63.75" hidden="false" customHeight="true" outlineLevel="0" collapsed="false">
      <c r="A62" s="1" t="s">
        <v>225</v>
      </c>
      <c r="B62" s="1" t="s">
        <v>155</v>
      </c>
      <c r="C62" s="41" t="s">
        <v>156</v>
      </c>
      <c r="D62" s="11" t="n">
        <f aca="false">'RSEA vs Quoted Comparison'!F62</f>
        <v>3.201</v>
      </c>
      <c r="E62" s="11" t="n">
        <f aca="false">'RSEA vs Quoted Comparison'!G62</f>
        <v>3.5211</v>
      </c>
      <c r="F62" s="11" t="str">
        <f aca="false">IF('RSEA vs Quoted Comparison'!H62="","",'RSEA vs Quoted Comparison'!H62)</f>
        <v/>
      </c>
      <c r="G62" s="11" t="str">
        <f aca="false">IF('RSEA vs Quoted Comparison'!I62="","",'RSEA vs Quoted Comparison'!I62)</f>
        <v/>
      </c>
      <c r="H62" s="11" t="n">
        <f aca="false">'RSEA vs Quoted Comparison'!D62</f>
        <v>32.99</v>
      </c>
      <c r="I62" s="11" t="n">
        <f aca="false">'RSEA vs Quoted Comparison'!E62</f>
        <v>29.9909090909091</v>
      </c>
      <c r="J62" s="42" t="s">
        <v>257</v>
      </c>
      <c r="K62" s="42" t="s">
        <v>257</v>
      </c>
      <c r="L62" s="42" t="s">
        <v>257</v>
      </c>
      <c r="M62" s="42" t="s">
        <v>257</v>
      </c>
      <c r="N62" s="42" t="s">
        <v>257</v>
      </c>
      <c r="O62" s="42" t="s">
        <v>257</v>
      </c>
      <c r="P62" s="42" t="s">
        <v>257</v>
      </c>
      <c r="Q62" s="42" t="s">
        <v>257</v>
      </c>
      <c r="R62" s="42" t="s">
        <v>257</v>
      </c>
      <c r="S62" s="42" t="s">
        <v>257</v>
      </c>
      <c r="T62" s="42" t="s">
        <v>257</v>
      </c>
      <c r="U62" s="42" t="s">
        <v>257</v>
      </c>
      <c r="V62" s="42" t="s">
        <v>257</v>
      </c>
      <c r="W62" s="42" t="s">
        <v>257</v>
      </c>
      <c r="X62" s="42" t="s">
        <v>257</v>
      </c>
      <c r="Y62" s="42" t="s">
        <v>257</v>
      </c>
      <c r="Z62" s="45" t="n">
        <f aca="false">1.1*AA62</f>
        <v>47.905</v>
      </c>
      <c r="AA62" s="45" t="n">
        <v>43.55</v>
      </c>
      <c r="AB62" s="11" t="n">
        <f aca="false">IF(COUNT(I62,K62,M62,O62,Q62,S62,U62,W62,Y62,AA62)=0,"N/A",MIN(I62,K62,M62,O62,Q62,S62,U62,W62,Y62,AA62))</f>
        <v>29.9909090909091</v>
      </c>
      <c r="AC62" s="43" t="n">
        <f aca="false">IF(OR(D62="",AB62="",AB62="N/A"),"N/A",D62/AB62-1)</f>
        <v>-0.893267656865717</v>
      </c>
      <c r="AD62" s="43" t="str">
        <f aca="false">IF(OR(F62="",AB62="",AB62="N/A"),"N/A",F62/AB62-1)</f>
        <v>N/A</v>
      </c>
      <c r="AE62" s="41" t="s">
        <v>293</v>
      </c>
    </row>
    <row r="63" customFormat="false" ht="63.75" hidden="false" customHeight="true" outlineLevel="0" collapsed="false">
      <c r="A63" s="1" t="s">
        <v>225</v>
      </c>
      <c r="B63" s="1" t="s">
        <v>157</v>
      </c>
      <c r="C63" s="41" t="s">
        <v>158</v>
      </c>
      <c r="D63" s="11" t="n">
        <f aca="false">'RSEA vs Quoted Comparison'!F63</f>
        <v>5.35</v>
      </c>
      <c r="E63" s="11" t="n">
        <f aca="false">'RSEA vs Quoted Comparison'!G63</f>
        <v>5.885</v>
      </c>
      <c r="F63" s="11" t="str">
        <f aca="false">IF('RSEA vs Quoted Comparison'!H63="","",'RSEA vs Quoted Comparison'!H63)</f>
        <v/>
      </c>
      <c r="G63" s="11" t="str">
        <f aca="false">IF('RSEA vs Quoted Comparison'!I63="","",'RSEA vs Quoted Comparison'!I63)</f>
        <v/>
      </c>
      <c r="H63" s="11" t="n">
        <f aca="false">'RSEA vs Quoted Comparison'!D63</f>
        <v>32.99</v>
      </c>
      <c r="I63" s="11" t="n">
        <f aca="false">'RSEA vs Quoted Comparison'!E63</f>
        <v>29.9909090909091</v>
      </c>
      <c r="J63" s="42" t="s">
        <v>257</v>
      </c>
      <c r="K63" s="42" t="s">
        <v>257</v>
      </c>
      <c r="L63" s="42" t="s">
        <v>257</v>
      </c>
      <c r="M63" s="42" t="s">
        <v>257</v>
      </c>
      <c r="N63" s="42" t="s">
        <v>257</v>
      </c>
      <c r="O63" s="42" t="s">
        <v>257</v>
      </c>
      <c r="P63" s="42" t="s">
        <v>257</v>
      </c>
      <c r="Q63" s="42" t="s">
        <v>257</v>
      </c>
      <c r="R63" s="42" t="s">
        <v>257</v>
      </c>
      <c r="S63" s="42" t="s">
        <v>257</v>
      </c>
      <c r="T63" s="42" t="s">
        <v>257</v>
      </c>
      <c r="U63" s="42" t="s">
        <v>257</v>
      </c>
      <c r="V63" s="42" t="s">
        <v>257</v>
      </c>
      <c r="W63" s="42" t="s">
        <v>257</v>
      </c>
      <c r="X63" s="42" t="s">
        <v>257</v>
      </c>
      <c r="Y63" s="42" t="s">
        <v>257</v>
      </c>
      <c r="Z63" s="45" t="n">
        <f aca="false">1.1*AA63</f>
        <v>47.905</v>
      </c>
      <c r="AA63" s="45" t="n">
        <v>43.55</v>
      </c>
      <c r="AB63" s="11" t="n">
        <f aca="false">IF(COUNT(I63,K63,M63,O63,Q63,S63,U63,W63,Y63,AA63)=0,"N/A",MIN(I63,K63,M63,O63,Q63,S63,U63,W63,Y63,AA63))</f>
        <v>29.9909090909091</v>
      </c>
      <c r="AC63" s="43" t="n">
        <f aca="false">IF(OR(D63="",AB63="",AB63="N/A"),"N/A",D63/AB63-1)</f>
        <v>-0.821612609881782</v>
      </c>
      <c r="AD63" s="43" t="str">
        <f aca="false">IF(OR(F63="",AB63="",AB63="N/A"),"N/A",F63/AB63-1)</f>
        <v>N/A</v>
      </c>
      <c r="AE63" s="41" t="s">
        <v>293</v>
      </c>
    </row>
    <row r="64" customFormat="false" ht="63.75" hidden="false" customHeight="true" outlineLevel="0" collapsed="false">
      <c r="A64" s="1" t="s">
        <v>225</v>
      </c>
      <c r="B64" s="1" t="s">
        <v>161</v>
      </c>
      <c r="C64" s="41" t="s">
        <v>162</v>
      </c>
      <c r="D64" s="11" t="n">
        <f aca="false">'RSEA vs Quoted Comparison'!F64</f>
        <v>2.67</v>
      </c>
      <c r="E64" s="11" t="n">
        <f aca="false">'RSEA vs Quoted Comparison'!G64</f>
        <v>2.937</v>
      </c>
      <c r="F64" s="11" t="str">
        <f aca="false">IF('RSEA vs Quoted Comparison'!H64="","",'RSEA vs Quoted Comparison'!H64)</f>
        <v/>
      </c>
      <c r="G64" s="11" t="str">
        <f aca="false">IF('RSEA vs Quoted Comparison'!I64="","",'RSEA vs Quoted Comparison'!I64)</f>
        <v/>
      </c>
      <c r="H64" s="11" t="n">
        <f aca="false">'RSEA vs Quoted Comparison'!D64</f>
        <v>32.99</v>
      </c>
      <c r="I64" s="11" t="n">
        <f aca="false">'RSEA vs Quoted Comparison'!E64</f>
        <v>29.9909090909091</v>
      </c>
      <c r="J64" s="42" t="s">
        <v>257</v>
      </c>
      <c r="K64" s="42" t="s">
        <v>257</v>
      </c>
      <c r="L64" s="42" t="s">
        <v>257</v>
      </c>
      <c r="M64" s="42" t="s">
        <v>257</v>
      </c>
      <c r="N64" s="42" t="s">
        <v>257</v>
      </c>
      <c r="O64" s="42" t="s">
        <v>257</v>
      </c>
      <c r="P64" s="42" t="s">
        <v>257</v>
      </c>
      <c r="Q64" s="42" t="s">
        <v>257</v>
      </c>
      <c r="R64" s="42" t="s">
        <v>257</v>
      </c>
      <c r="S64" s="42" t="s">
        <v>257</v>
      </c>
      <c r="T64" s="42" t="s">
        <v>257</v>
      </c>
      <c r="U64" s="42" t="s">
        <v>257</v>
      </c>
      <c r="V64" s="42" t="s">
        <v>257</v>
      </c>
      <c r="W64" s="42" t="s">
        <v>257</v>
      </c>
      <c r="X64" s="42" t="s">
        <v>257</v>
      </c>
      <c r="Y64" s="42" t="s">
        <v>257</v>
      </c>
      <c r="Z64" s="45" t="n">
        <f aca="false">1.1*AA64</f>
        <v>38.258</v>
      </c>
      <c r="AA64" s="45" t="n">
        <v>34.78</v>
      </c>
      <c r="AB64" s="11" t="n">
        <f aca="false">IF(COUNT(I64,K64,M64,O64,Q64,S64,U64,W64,Y64,AA64)=0,"N/A",MIN(I64,K64,M64,O64,Q64,S64,U64,W64,Y64,AA64))</f>
        <v>29.9909090909091</v>
      </c>
      <c r="AC64" s="43" t="n">
        <f aca="false">IF(OR(D64="",AB64="",AB64="N/A"),"N/A",D64/AB64-1)</f>
        <v>-0.910973022127918</v>
      </c>
      <c r="AD64" s="43" t="str">
        <f aca="false">IF(OR(F64="",AB64="",AB64="N/A"),"N/A",F64/AB64-1)</f>
        <v>N/A</v>
      </c>
      <c r="AE64" s="41" t="s">
        <v>293</v>
      </c>
    </row>
    <row r="65" customFormat="false" ht="123.75" hidden="false" customHeight="true" outlineLevel="0" collapsed="false">
      <c r="A65" s="1" t="s">
        <v>225</v>
      </c>
      <c r="B65" s="1" t="s">
        <v>163</v>
      </c>
      <c r="C65" s="41" t="s">
        <v>164</v>
      </c>
      <c r="D65" s="11" t="n">
        <f aca="false">'RSEA vs Quoted Comparison'!F65</f>
        <v>10.69</v>
      </c>
      <c r="E65" s="11" t="n">
        <f aca="false">'RSEA vs Quoted Comparison'!G65</f>
        <v>11.759</v>
      </c>
      <c r="F65" s="11" t="str">
        <f aca="false">IF('RSEA vs Quoted Comparison'!H65="","",'RSEA vs Quoted Comparison'!H65)</f>
        <v/>
      </c>
      <c r="G65" s="11" t="str">
        <f aca="false">IF('RSEA vs Quoted Comparison'!I65="","",'RSEA vs Quoted Comparison'!I65)</f>
        <v/>
      </c>
      <c r="H65" s="11" t="n">
        <f aca="false">'RSEA vs Quoted Comparison'!D65</f>
        <v>32.99</v>
      </c>
      <c r="I65" s="11" t="n">
        <f aca="false">'RSEA vs Quoted Comparison'!E65</f>
        <v>29.9909090909091</v>
      </c>
      <c r="J65" s="42" t="s">
        <v>257</v>
      </c>
      <c r="K65" s="42" t="s">
        <v>257</v>
      </c>
      <c r="L65" s="42" t="s">
        <v>257</v>
      </c>
      <c r="M65" s="42" t="s">
        <v>257</v>
      </c>
      <c r="N65" s="11" t="n">
        <v>108.6</v>
      </c>
      <c r="O65" s="11" t="n">
        <f aca="false">N65/1.1</f>
        <v>98.7272727272727</v>
      </c>
      <c r="P65" s="42" t="s">
        <v>257</v>
      </c>
      <c r="Q65" s="42" t="s">
        <v>257</v>
      </c>
      <c r="R65" s="11" t="n">
        <v>30</v>
      </c>
      <c r="S65" s="11" t="n">
        <f aca="false">R65/1.1</f>
        <v>27.2727272727273</v>
      </c>
      <c r="T65" s="11" t="n">
        <v>33.19</v>
      </c>
      <c r="U65" s="11" t="n">
        <f aca="false">T65/1.1</f>
        <v>30.1727272727273</v>
      </c>
      <c r="V65" s="11" t="n">
        <f aca="false">W65*1.1</f>
        <v>40.15</v>
      </c>
      <c r="W65" s="11" t="n">
        <v>36.5</v>
      </c>
      <c r="X65" s="11" t="n">
        <v>40.59</v>
      </c>
      <c r="Y65" s="11" t="n">
        <f aca="false">X65/1.1</f>
        <v>36.9</v>
      </c>
      <c r="Z65" s="11" t="n">
        <v>35.06</v>
      </c>
      <c r="AA65" s="11" t="n">
        <f aca="false">Z65/1.1</f>
        <v>31.8727272727273</v>
      </c>
      <c r="AB65" s="11" t="n">
        <f aca="false">IF(COUNT(I65,K65,M65,O65,Q65,S65,U65,W65,Y65,AA65)=0,"N/A",MIN(I65,K65,M65,O65,Q65,S65,U65,W65,Y65,AA65))</f>
        <v>27.2727272727273</v>
      </c>
      <c r="AC65" s="43" t="n">
        <f aca="false">IF(OR(D65="",AB65="",AB65="N/A"),"N/A",D65/AB65-1)</f>
        <v>-0.608033333333333</v>
      </c>
      <c r="AD65" s="43" t="str">
        <f aca="false">IF(OR(F65="",AB65="",AB65="N/A"),"N/A",F65/AB65-1)</f>
        <v>N/A</v>
      </c>
      <c r="AE65" s="41" t="s">
        <v>300</v>
      </c>
    </row>
    <row r="67" customFormat="false" ht="15" hidden="false" customHeight="true" outlineLevel="0" collapsed="false">
      <c r="A67" s="34" t="s">
        <v>226</v>
      </c>
    </row>
    <row r="68" customFormat="false" ht="15" hidden="false" customHeight="true" outlineLevel="0" collapsed="false">
      <c r="A68" s="35" t="s">
        <v>301</v>
      </c>
      <c r="B68" s="35"/>
      <c r="C68" s="35"/>
      <c r="D68" s="46" t="n">
        <f aca="false">COUNTA(B6:B65)</f>
        <v>60</v>
      </c>
    </row>
    <row r="69" customFormat="false" ht="15" hidden="false" customHeight="true" outlineLevel="0" collapsed="false">
      <c r="A69" s="35" t="s">
        <v>302</v>
      </c>
      <c r="B69" s="35"/>
      <c r="C69" s="35"/>
      <c r="D69" s="46" t="n">
        <f aca="false">COUNTIF(K6:K65,"&gt;0")+COUNTIF(M6:M65,"&gt;0")+COUNTIF(O6:O65,"&gt;0")+COUNTIF(Q6:Q65,"&gt;0")+COUNTIF(S6:S65,"&gt;0")+COUNTIF(U6:U65,"&gt;0")+COUNTIF(W6:W65,"&gt;0")+COUNTIF(Y6:Y65,"&gt;0")+COUNTIF(AA6:AA65,"&gt;0")</f>
        <v>251</v>
      </c>
    </row>
    <row r="70" customFormat="false" ht="15" hidden="false" customHeight="true" outlineLevel="0" collapsed="false">
      <c r="A70" s="35" t="s">
        <v>303</v>
      </c>
      <c r="B70" s="35"/>
      <c r="C70" s="35"/>
      <c r="D70" s="46" t="n">
        <f aca="false">COUNTIF(AC6:AC65,"&lt;0")</f>
        <v>53</v>
      </c>
    </row>
    <row r="71" customFormat="false" ht="15" hidden="false" customHeight="true" outlineLevel="0" collapsed="false">
      <c r="A71" s="35" t="s">
        <v>304</v>
      </c>
      <c r="B71" s="35"/>
      <c r="C71" s="35"/>
      <c r="D71" s="46" t="n">
        <f aca="false">COUNTIF(AC6:AC65,"&gt;0")</f>
        <v>7</v>
      </c>
    </row>
    <row r="72" customFormat="false" ht="15" hidden="false" customHeight="true" outlineLevel="0" collapsed="false">
      <c r="A72" s="35" t="s">
        <v>305</v>
      </c>
      <c r="B72" s="35"/>
      <c r="C72" s="35"/>
      <c r="D72" s="47" t="n">
        <f aca="false">AVERAGE(AC6:AC65)</f>
        <v>-0.501166129687786</v>
      </c>
    </row>
    <row r="73" customFormat="false" ht="15" hidden="false" customHeight="true" outlineLevel="0" collapsed="false">
      <c r="A73" s="35" t="s">
        <v>306</v>
      </c>
      <c r="B73" s="35"/>
      <c r="C73" s="35"/>
      <c r="D73" s="47" t="n">
        <f aca="false">MEDIAN(AC6:AC65)</f>
        <v>-0.578387096774194</v>
      </c>
    </row>
    <row r="74" customFormat="false" ht="15" hidden="false" customHeight="true" outlineLevel="0" collapsed="false">
      <c r="A74" s="35" t="s">
        <v>307</v>
      </c>
      <c r="B74" s="35"/>
      <c r="C74" s="35"/>
      <c r="D74" s="46" t="n">
        <f aca="false">COUNTIF(AD6:AD65,"&lt;0")</f>
        <v>15</v>
      </c>
    </row>
    <row r="75" customFormat="false" ht="15" hidden="false" customHeight="true" outlineLevel="0" collapsed="false">
      <c r="A75" s="35" t="s">
        <v>308</v>
      </c>
      <c r="B75" s="35"/>
      <c r="C75" s="35"/>
      <c r="D75" s="46" t="n">
        <f aca="false">COUNTIF(AD6:AD65,"&gt;0")</f>
        <v>7</v>
      </c>
    </row>
    <row r="76" customFormat="false" ht="15" hidden="false" customHeight="true" outlineLevel="0" collapsed="false">
      <c r="A76" s="35" t="s">
        <v>309</v>
      </c>
      <c r="B76" s="35"/>
      <c r="C76" s="35"/>
      <c r="D76" s="47" t="n">
        <f aca="false">AVERAGE(AD6:AD65)</f>
        <v>-0.175684855421017</v>
      </c>
    </row>
    <row r="77" customFormat="false" ht="15" hidden="false" customHeight="true" outlineLevel="0" collapsed="false">
      <c r="A77" s="35" t="s">
        <v>310</v>
      </c>
      <c r="B77" s="35"/>
      <c r="C77" s="35"/>
      <c r="D77" s="47" t="n">
        <f aca="false">MEDIAN(AD6:AD65)</f>
        <v>-0.260605761397123</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4" min="4" style="0" width="15"/>
    <col collapsed="false" customWidth="true" hidden="false" outlineLevel="0" max="5" min="5" style="0" width="18"/>
    <col collapsed="false" customWidth="true" hidden="false" outlineLevel="0" max="7" min="6" style="0" width="13"/>
    <col collapsed="false" customWidth="true" hidden="false" outlineLevel="0" max="8" min="8" style="0" width="12"/>
    <col collapsed="false" customWidth="true" hidden="false" outlineLevel="0" max="9" min="9" style="0" width="11"/>
    <col collapsed="false" customWidth="true" hidden="false" outlineLevel="0" max="10" min="10" style="0" width="15"/>
    <col collapsed="false" customWidth="true" hidden="false" outlineLevel="0" max="11" min="11" style="0" width="18"/>
    <col collapsed="false" customWidth="true" hidden="false" outlineLevel="0" max="13" min="12" style="0" width="13"/>
    <col collapsed="false" customWidth="true" hidden="false" outlineLevel="0" max="14" min="14" style="0" width="12"/>
    <col collapsed="false" customWidth="true" hidden="false" outlineLevel="0" max="15" min="15" style="0" width="11"/>
    <col collapsed="false" customWidth="true" hidden="false" outlineLevel="0" max="16" min="16" style="0" width="40"/>
  </cols>
  <sheetData>
    <row r="1" customFormat="false" ht="19.5" hidden="false" customHeight="true" outlineLevel="0" collapsed="false">
      <c r="A1" s="48" t="s">
        <v>311</v>
      </c>
      <c r="B1" s="48"/>
      <c r="C1" s="48"/>
      <c r="D1" s="48"/>
      <c r="E1" s="48"/>
      <c r="F1" s="48"/>
      <c r="G1" s="48"/>
      <c r="H1" s="48"/>
      <c r="I1" s="48"/>
      <c r="J1" s="48"/>
      <c r="K1" s="48"/>
      <c r="L1" s="48"/>
      <c r="M1" s="48"/>
      <c r="N1" s="48"/>
      <c r="O1" s="48"/>
      <c r="P1" s="48"/>
    </row>
    <row r="2" customFormat="false" ht="73.5" hidden="false" customHeight="true" outlineLevel="0" collapsed="false">
      <c r="A2" s="49" t="s">
        <v>312</v>
      </c>
      <c r="B2" s="49"/>
      <c r="C2" s="49"/>
      <c r="D2" s="49"/>
      <c r="E2" s="49"/>
      <c r="F2" s="49"/>
      <c r="G2" s="49"/>
      <c r="H2" s="49"/>
      <c r="I2" s="49"/>
      <c r="J2" s="49"/>
      <c r="K2" s="49"/>
      <c r="L2" s="49"/>
      <c r="M2" s="49"/>
      <c r="N2" s="49"/>
      <c r="O2" s="49"/>
      <c r="P2" s="49"/>
    </row>
    <row r="4" customFormat="false" ht="45.75" hidden="false" customHeight="true" outlineLevel="0" collapsed="false">
      <c r="A4" s="50" t="s">
        <v>212</v>
      </c>
      <c r="B4" s="50" t="s">
        <v>0</v>
      </c>
      <c r="C4" s="50" t="s">
        <v>1</v>
      </c>
      <c r="D4" s="50" t="s">
        <v>313</v>
      </c>
      <c r="E4" s="50" t="s">
        <v>314</v>
      </c>
      <c r="F4" s="50" t="s">
        <v>315</v>
      </c>
      <c r="G4" s="50" t="s">
        <v>316</v>
      </c>
      <c r="H4" s="50" t="s">
        <v>317</v>
      </c>
      <c r="I4" s="50" t="s">
        <v>318</v>
      </c>
      <c r="J4" s="50" t="s">
        <v>217</v>
      </c>
      <c r="K4" s="50" t="s">
        <v>319</v>
      </c>
      <c r="L4" s="50" t="s">
        <v>315</v>
      </c>
      <c r="M4" s="50" t="s">
        <v>316</v>
      </c>
      <c r="N4" s="50" t="s">
        <v>317</v>
      </c>
      <c r="O4" s="50" t="s">
        <v>320</v>
      </c>
      <c r="P4" s="50" t="s">
        <v>221</v>
      </c>
    </row>
    <row r="5" customFormat="false" ht="28.35" hidden="false" customHeight="false" outlineLevel="0" collapsed="false">
      <c r="A5" s="51" t="s">
        <v>222</v>
      </c>
      <c r="B5" s="51" t="s">
        <v>7</v>
      </c>
      <c r="C5" s="41" t="s">
        <v>8</v>
      </c>
      <c r="D5" s="52" t="n">
        <f aca="false">'Market Comparison'!D6</f>
        <v>16.71</v>
      </c>
      <c r="E5" s="51" t="s">
        <v>321</v>
      </c>
      <c r="F5" s="52" t="n">
        <v>20.05</v>
      </c>
      <c r="G5" s="53" t="n">
        <v>3.34</v>
      </c>
      <c r="H5" s="54" t="n">
        <v>0.199880311190904</v>
      </c>
      <c r="I5" s="51" t="s">
        <v>322</v>
      </c>
      <c r="J5" s="52" t="n">
        <f aca="false">IF('Market Comparison'!F6="","",'Market Comparison'!F6)</f>
        <v>16.93275</v>
      </c>
      <c r="K5" s="51" t="s">
        <v>321</v>
      </c>
      <c r="L5" s="52" t="n">
        <v>20.05</v>
      </c>
      <c r="M5" s="53" t="n">
        <v>3.11725</v>
      </c>
      <c r="N5" s="54" t="n">
        <v>0.184095908815757</v>
      </c>
      <c r="O5" s="51" t="s">
        <v>322</v>
      </c>
      <c r="P5" s="41"/>
    </row>
    <row r="6" customFormat="false" ht="28.35" hidden="false" customHeight="false" outlineLevel="0" collapsed="false">
      <c r="A6" s="51" t="s">
        <v>222</v>
      </c>
      <c r="B6" s="51" t="s">
        <v>9</v>
      </c>
      <c r="C6" s="41" t="s">
        <v>10</v>
      </c>
      <c r="D6" s="52" t="n">
        <f aca="false">'Market Comparison'!D7</f>
        <v>66.83</v>
      </c>
      <c r="E6" s="51" t="s">
        <v>323</v>
      </c>
      <c r="F6" s="52" t="n">
        <v>122.718181818182</v>
      </c>
      <c r="G6" s="53" t="n">
        <v>55.888181818182</v>
      </c>
      <c r="H6" s="54" t="n">
        <v>0.836273856324735</v>
      </c>
      <c r="I6" s="51" t="s">
        <v>322</v>
      </c>
      <c r="J6" s="52" t="str">
        <f aca="false">IF('Market Comparison'!F7="","",'Market Comparison'!F7)</f>
        <v/>
      </c>
      <c r="K6" s="51" t="s">
        <v>324</v>
      </c>
      <c r="L6" s="51" t="s">
        <v>257</v>
      </c>
      <c r="M6" s="51" t="s">
        <v>257</v>
      </c>
      <c r="N6" s="51" t="s">
        <v>257</v>
      </c>
      <c r="O6" s="51" t="s">
        <v>257</v>
      </c>
      <c r="P6" s="41"/>
    </row>
    <row r="7" customFormat="false" ht="28.35" hidden="false" customHeight="false" outlineLevel="0" collapsed="false">
      <c r="A7" s="51" t="s">
        <v>222</v>
      </c>
      <c r="B7" s="51" t="s">
        <v>11</v>
      </c>
      <c r="C7" s="41" t="s">
        <v>12</v>
      </c>
      <c r="D7" s="52" t="n">
        <f aca="false">'Market Comparison'!D8</f>
        <v>44.55</v>
      </c>
      <c r="E7" s="51" t="s">
        <v>325</v>
      </c>
      <c r="F7" s="52" t="n">
        <v>128.75</v>
      </c>
      <c r="G7" s="53" t="n">
        <v>84.2</v>
      </c>
      <c r="H7" s="54" t="n">
        <v>1.89001122334456</v>
      </c>
      <c r="I7" s="51" t="s">
        <v>322</v>
      </c>
      <c r="J7" s="52" t="str">
        <f aca="false">IF('Market Comparison'!F8="","",'Market Comparison'!F8)</f>
        <v/>
      </c>
      <c r="K7" s="51" t="s">
        <v>324</v>
      </c>
      <c r="L7" s="51" t="s">
        <v>257</v>
      </c>
      <c r="M7" s="51" t="s">
        <v>257</v>
      </c>
      <c r="N7" s="51" t="s">
        <v>257</v>
      </c>
      <c r="O7" s="51" t="s">
        <v>257</v>
      </c>
      <c r="P7" s="41"/>
    </row>
    <row r="8" customFormat="false" ht="15" hidden="false" customHeight="false" outlineLevel="0" collapsed="false">
      <c r="A8" s="51" t="s">
        <v>222</v>
      </c>
      <c r="B8" s="51" t="s">
        <v>13</v>
      </c>
      <c r="C8" s="41" t="s">
        <v>14</v>
      </c>
      <c r="D8" s="52" t="n">
        <f aca="false">'Market Comparison'!D9</f>
        <v>44.55</v>
      </c>
      <c r="E8" s="51" t="s">
        <v>326</v>
      </c>
      <c r="F8" s="52" t="n">
        <v>69.245</v>
      </c>
      <c r="G8" s="53" t="n">
        <v>24.695</v>
      </c>
      <c r="H8" s="54" t="n">
        <v>0.554320987654321</v>
      </c>
      <c r="I8" s="51" t="s">
        <v>322</v>
      </c>
      <c r="J8" s="52" t="n">
        <f aca="false">IF('Market Comparison'!F9="","",'Market Comparison'!F9)</f>
        <v>45.144</v>
      </c>
      <c r="K8" s="51" t="s">
        <v>326</v>
      </c>
      <c r="L8" s="52" t="n">
        <v>69.245</v>
      </c>
      <c r="M8" s="53" t="n">
        <v>24.101</v>
      </c>
      <c r="N8" s="54" t="n">
        <v>0.533869395711501</v>
      </c>
      <c r="O8" s="51" t="s">
        <v>322</v>
      </c>
      <c r="P8" s="41"/>
    </row>
    <row r="9" customFormat="false" ht="15" hidden="false" customHeight="false" outlineLevel="0" collapsed="false">
      <c r="A9" s="51" t="s">
        <v>222</v>
      </c>
      <c r="B9" s="51" t="s">
        <v>15</v>
      </c>
      <c r="C9" s="41" t="s">
        <v>16</v>
      </c>
      <c r="D9" s="52" t="n">
        <f aca="false">'Market Comparison'!D10</f>
        <v>69.61</v>
      </c>
      <c r="E9" s="51" t="s">
        <v>326</v>
      </c>
      <c r="F9" s="52" t="n">
        <v>81.4</v>
      </c>
      <c r="G9" s="53" t="n">
        <v>11.79</v>
      </c>
      <c r="H9" s="54" t="n">
        <v>0.169372216635541</v>
      </c>
      <c r="I9" s="51" t="s">
        <v>322</v>
      </c>
      <c r="J9" s="52" t="n">
        <f aca="false">IF('Market Comparison'!F10="","",'Market Comparison'!F10)</f>
        <v>70.538125</v>
      </c>
      <c r="K9" s="51" t="s">
        <v>326</v>
      </c>
      <c r="L9" s="52" t="n">
        <v>81.4</v>
      </c>
      <c r="M9" s="53" t="n">
        <v>10.861875</v>
      </c>
      <c r="N9" s="54" t="n">
        <v>0.153985876432072</v>
      </c>
      <c r="O9" s="51" t="s">
        <v>322</v>
      </c>
      <c r="P9" s="41"/>
    </row>
    <row r="10" customFormat="false" ht="28.35" hidden="false" customHeight="false" outlineLevel="0" collapsed="false">
      <c r="A10" s="51" t="s">
        <v>222</v>
      </c>
      <c r="B10" s="51" t="s">
        <v>17</v>
      </c>
      <c r="C10" s="41" t="s">
        <v>18</v>
      </c>
      <c r="D10" s="52" t="n">
        <f aca="false">'Market Comparison'!D11</f>
        <v>33.41</v>
      </c>
      <c r="E10" s="51" t="s">
        <v>327</v>
      </c>
      <c r="F10" s="52" t="n">
        <v>44.209</v>
      </c>
      <c r="G10" s="53" t="n">
        <v>10.799</v>
      </c>
      <c r="H10" s="54" t="n">
        <v>0.323226578868603</v>
      </c>
      <c r="I10" s="51" t="s">
        <v>322</v>
      </c>
      <c r="J10" s="52" t="n">
        <f aca="false">IF('Market Comparison'!F11="","",'Market Comparison'!F11)</f>
        <v>33.8555</v>
      </c>
      <c r="K10" s="51" t="s">
        <v>327</v>
      </c>
      <c r="L10" s="52" t="n">
        <v>44.209</v>
      </c>
      <c r="M10" s="53" t="n">
        <v>10.3535</v>
      </c>
      <c r="N10" s="54" t="n">
        <v>0.305814417155263</v>
      </c>
      <c r="O10" s="51" t="s">
        <v>322</v>
      </c>
      <c r="P10" s="41"/>
    </row>
    <row r="11" customFormat="false" ht="15" hidden="false" customHeight="false" outlineLevel="0" collapsed="false">
      <c r="A11" s="51" t="s">
        <v>222</v>
      </c>
      <c r="B11" s="51" t="s">
        <v>19</v>
      </c>
      <c r="C11" s="41" t="s">
        <v>20</v>
      </c>
      <c r="D11" s="52" t="n">
        <f aca="false">'Market Comparison'!D12</f>
        <v>44.55</v>
      </c>
      <c r="E11" s="51" t="s">
        <v>321</v>
      </c>
      <c r="F11" s="52" t="n">
        <v>70.36</v>
      </c>
      <c r="G11" s="53" t="n">
        <v>25.81</v>
      </c>
      <c r="H11" s="54" t="n">
        <v>0.579349046015713</v>
      </c>
      <c r="I11" s="51" t="s">
        <v>322</v>
      </c>
      <c r="J11" s="52" t="n">
        <f aca="false">IF('Market Comparison'!F12="","",'Market Comparison'!F12)</f>
        <v>45.144</v>
      </c>
      <c r="K11" s="51" t="s">
        <v>321</v>
      </c>
      <c r="L11" s="52" t="n">
        <v>70.36</v>
      </c>
      <c r="M11" s="53" t="n">
        <v>25.216</v>
      </c>
      <c r="N11" s="54" t="n">
        <v>0.558568137515506</v>
      </c>
      <c r="O11" s="51" t="s">
        <v>322</v>
      </c>
      <c r="P11" s="41"/>
    </row>
    <row r="12" customFormat="false" ht="28.35" hidden="false" customHeight="false" outlineLevel="0" collapsed="false">
      <c r="A12" s="51" t="s">
        <v>222</v>
      </c>
      <c r="B12" s="51" t="s">
        <v>79</v>
      </c>
      <c r="C12" s="41" t="s">
        <v>80</v>
      </c>
      <c r="D12" s="52" t="n">
        <f aca="false">'Market Comparison'!D13</f>
        <v>33.41</v>
      </c>
      <c r="E12" s="51" t="s">
        <v>328</v>
      </c>
      <c r="F12" s="52" t="n">
        <v>33.1818181818182</v>
      </c>
      <c r="G12" s="55" t="n">
        <v>-0.228181818181795</v>
      </c>
      <c r="H12" s="56" t="n">
        <v>-0.00682974612935634</v>
      </c>
      <c r="I12" s="57" t="s">
        <v>329</v>
      </c>
      <c r="J12" s="52" t="n">
        <f aca="false">IF('Market Comparison'!F13="","",'Market Comparison'!F13)</f>
        <v>33.8555</v>
      </c>
      <c r="K12" s="51" t="s">
        <v>328</v>
      </c>
      <c r="L12" s="52" t="n">
        <v>33.1818181818182</v>
      </c>
      <c r="M12" s="55" t="n">
        <v>-0.673681818181798</v>
      </c>
      <c r="N12" s="56" t="n">
        <v>-0.019898740771272</v>
      </c>
      <c r="O12" s="57" t="s">
        <v>329</v>
      </c>
      <c r="P12" s="41"/>
    </row>
    <row r="13" customFormat="false" ht="15" hidden="false" customHeight="false" outlineLevel="0" collapsed="false">
      <c r="A13" s="51" t="s">
        <v>222</v>
      </c>
      <c r="B13" s="51" t="s">
        <v>81</v>
      </c>
      <c r="C13" s="41" t="s">
        <v>82</v>
      </c>
      <c r="D13" s="52" t="n">
        <f aca="false">'Market Comparison'!D14</f>
        <v>25.06</v>
      </c>
      <c r="E13" s="51" t="s">
        <v>321</v>
      </c>
      <c r="F13" s="52" t="n">
        <v>43.09</v>
      </c>
      <c r="G13" s="53" t="n">
        <v>18.03</v>
      </c>
      <c r="H13" s="54" t="n">
        <v>0.719473264166002</v>
      </c>
      <c r="I13" s="51" t="s">
        <v>322</v>
      </c>
      <c r="J13" s="52" t="n">
        <f aca="false">IF('Market Comparison'!F14="","",'Market Comparison'!F14)</f>
        <v>25.394125</v>
      </c>
      <c r="K13" s="51" t="s">
        <v>321</v>
      </c>
      <c r="L13" s="52" t="n">
        <v>43.09</v>
      </c>
      <c r="M13" s="53" t="n">
        <v>17.695875</v>
      </c>
      <c r="N13" s="54" t="n">
        <v>0.696849172790951</v>
      </c>
      <c r="O13" s="51" t="s">
        <v>322</v>
      </c>
      <c r="P13" s="41"/>
    </row>
    <row r="14" customFormat="false" ht="28.35" hidden="false" customHeight="false" outlineLevel="0" collapsed="false">
      <c r="A14" s="51" t="s">
        <v>222</v>
      </c>
      <c r="B14" s="51" t="s">
        <v>101</v>
      </c>
      <c r="C14" s="41" t="s">
        <v>102</v>
      </c>
      <c r="D14" s="52" t="n">
        <f aca="false">'Market Comparison'!D15</f>
        <v>8.35</v>
      </c>
      <c r="E14" s="51" t="s">
        <v>323</v>
      </c>
      <c r="F14" s="52" t="n">
        <v>29.9909090909091</v>
      </c>
      <c r="G14" s="53" t="n">
        <v>21.6409090909091</v>
      </c>
      <c r="H14" s="54" t="n">
        <v>2.59172563962983</v>
      </c>
      <c r="I14" s="51" t="s">
        <v>322</v>
      </c>
      <c r="J14" s="52" t="n">
        <f aca="false">IF('Market Comparison'!F15="","",'Market Comparison'!F15)</f>
        <v>8.461375</v>
      </c>
      <c r="K14" s="51" t="s">
        <v>323</v>
      </c>
      <c r="L14" s="52" t="n">
        <v>29.9909090909091</v>
      </c>
      <c r="M14" s="53" t="n">
        <v>21.5295340909091</v>
      </c>
      <c r="N14" s="54" t="n">
        <v>2.54444863759248</v>
      </c>
      <c r="O14" s="51" t="s">
        <v>322</v>
      </c>
      <c r="P14" s="41"/>
    </row>
    <row r="15" customFormat="false" ht="28.35" hidden="false" customHeight="false" outlineLevel="0" collapsed="false">
      <c r="A15" s="51" t="s">
        <v>222</v>
      </c>
      <c r="B15" s="51" t="s">
        <v>107</v>
      </c>
      <c r="C15" s="41" t="s">
        <v>108</v>
      </c>
      <c r="D15" s="52" t="n">
        <f aca="false">'Market Comparison'!D16</f>
        <v>15.59</v>
      </c>
      <c r="E15" s="51" t="s">
        <v>323</v>
      </c>
      <c r="F15" s="52" t="n">
        <v>40.9</v>
      </c>
      <c r="G15" s="53" t="n">
        <v>25.31</v>
      </c>
      <c r="H15" s="54" t="n">
        <v>1.62347658755613</v>
      </c>
      <c r="I15" s="51" t="s">
        <v>322</v>
      </c>
      <c r="J15" s="52" t="n">
        <f aca="false">IF('Market Comparison'!F16="","",'Market Comparison'!F16)</f>
        <v>15.81275</v>
      </c>
      <c r="K15" s="51" t="s">
        <v>323</v>
      </c>
      <c r="L15" s="52" t="n">
        <v>40.9</v>
      </c>
      <c r="M15" s="53" t="n">
        <v>25.08725</v>
      </c>
      <c r="N15" s="54" t="n">
        <v>1.58652037121943</v>
      </c>
      <c r="O15" s="51" t="s">
        <v>322</v>
      </c>
      <c r="P15" s="41"/>
    </row>
    <row r="16" customFormat="false" ht="28.35" hidden="false" customHeight="false" outlineLevel="0" collapsed="false">
      <c r="A16" s="51" t="s">
        <v>222</v>
      </c>
      <c r="B16" s="51" t="s">
        <v>117</v>
      </c>
      <c r="C16" s="41" t="s">
        <v>118</v>
      </c>
      <c r="D16" s="52" t="n">
        <f aca="false">'Market Comparison'!D17</f>
        <v>8.35</v>
      </c>
      <c r="E16" s="51" t="s">
        <v>323</v>
      </c>
      <c r="F16" s="52" t="n">
        <v>29.9909090909091</v>
      </c>
      <c r="G16" s="53" t="n">
        <v>21.6409090909091</v>
      </c>
      <c r="H16" s="54" t="n">
        <v>2.59172563962983</v>
      </c>
      <c r="I16" s="51" t="s">
        <v>322</v>
      </c>
      <c r="J16" s="52" t="n">
        <f aca="false">IF('Market Comparison'!F17="","",'Market Comparison'!F17)</f>
        <v>8.461375</v>
      </c>
      <c r="K16" s="51" t="s">
        <v>323</v>
      </c>
      <c r="L16" s="52" t="n">
        <v>29.9909090909091</v>
      </c>
      <c r="M16" s="53" t="n">
        <v>21.5295340909091</v>
      </c>
      <c r="N16" s="54" t="n">
        <v>2.54444863759248</v>
      </c>
      <c r="O16" s="51" t="s">
        <v>322</v>
      </c>
      <c r="P16" s="41"/>
    </row>
    <row r="17" customFormat="false" ht="15" hidden="false" customHeight="false" outlineLevel="0" collapsed="false">
      <c r="A17" s="51" t="s">
        <v>222</v>
      </c>
      <c r="B17" s="51" t="s">
        <v>127</v>
      </c>
      <c r="C17" s="41" t="s">
        <v>128</v>
      </c>
      <c r="D17" s="52" t="n">
        <f aca="false">'Market Comparison'!D18</f>
        <v>29.7</v>
      </c>
      <c r="E17" s="51" t="s">
        <v>330</v>
      </c>
      <c r="F17" s="52" t="n">
        <v>37.3909090909091</v>
      </c>
      <c r="G17" s="53" t="n">
        <v>7.6909090909091</v>
      </c>
      <c r="H17" s="54" t="n">
        <v>0.258953168044077</v>
      </c>
      <c r="I17" s="51" t="s">
        <v>322</v>
      </c>
      <c r="J17" s="52" t="n">
        <f aca="false">IF('Market Comparison'!F18="","",'Market Comparison'!F18)</f>
        <v>30.1455</v>
      </c>
      <c r="K17" s="51" t="s">
        <v>330</v>
      </c>
      <c r="L17" s="52" t="n">
        <v>37.3909090909091</v>
      </c>
      <c r="M17" s="53" t="n">
        <v>7.2454090909091</v>
      </c>
      <c r="N17" s="54" t="n">
        <v>0.240347948811899</v>
      </c>
      <c r="O17" s="51" t="s">
        <v>322</v>
      </c>
      <c r="P17" s="41"/>
    </row>
    <row r="18" customFormat="false" ht="15" hidden="false" customHeight="false" outlineLevel="0" collapsed="false">
      <c r="A18" s="51" t="s">
        <v>222</v>
      </c>
      <c r="B18" s="51" t="s">
        <v>131</v>
      </c>
      <c r="C18" s="41" t="s">
        <v>132</v>
      </c>
      <c r="D18" s="52" t="n">
        <f aca="false">'Market Comparison'!D19</f>
        <v>29.7</v>
      </c>
      <c r="E18" s="51" t="s">
        <v>330</v>
      </c>
      <c r="F18" s="52" t="n">
        <v>28.3545454545455</v>
      </c>
      <c r="G18" s="55" t="n">
        <v>-1.3454545454545</v>
      </c>
      <c r="H18" s="56" t="n">
        <v>-0.0453014998469528</v>
      </c>
      <c r="I18" s="57" t="s">
        <v>329</v>
      </c>
      <c r="J18" s="52" t="n">
        <f aca="false">IF('Market Comparison'!F19="","",'Market Comparison'!F19)</f>
        <v>30.1455</v>
      </c>
      <c r="K18" s="51" t="s">
        <v>330</v>
      </c>
      <c r="L18" s="52" t="n">
        <v>28.3545454545455</v>
      </c>
      <c r="M18" s="55" t="n">
        <v>-1.7909545454545</v>
      </c>
      <c r="N18" s="56" t="n">
        <v>-0.0594103446768007</v>
      </c>
      <c r="O18" s="57" t="s">
        <v>329</v>
      </c>
      <c r="P18" s="41"/>
    </row>
    <row r="19" customFormat="false" ht="28.35" hidden="false" customHeight="false" outlineLevel="0" collapsed="false">
      <c r="A19" s="51" t="s">
        <v>222</v>
      </c>
      <c r="B19" s="51" t="s">
        <v>137</v>
      </c>
      <c r="C19" s="41" t="s">
        <v>138</v>
      </c>
      <c r="D19" s="52" t="n">
        <f aca="false">'Market Comparison'!D20</f>
        <v>16.71</v>
      </c>
      <c r="E19" s="51" t="s">
        <v>330</v>
      </c>
      <c r="F19" s="52" t="n">
        <v>23.3090909090909</v>
      </c>
      <c r="G19" s="53" t="n">
        <v>6.5990909090909</v>
      </c>
      <c r="H19" s="54" t="n">
        <v>0.394918666013818</v>
      </c>
      <c r="I19" s="51" t="s">
        <v>322</v>
      </c>
      <c r="J19" s="52" t="n">
        <f aca="false">IF('Market Comparison'!F20="","",'Market Comparison'!F20)</f>
        <v>16.93275</v>
      </c>
      <c r="K19" s="51" t="s">
        <v>330</v>
      </c>
      <c r="L19" s="52" t="n">
        <v>23.3090909090909</v>
      </c>
      <c r="M19" s="53" t="n">
        <v>6.3763409090909</v>
      </c>
      <c r="N19" s="54" t="n">
        <v>0.376568537838857</v>
      </c>
      <c r="O19" s="51" t="s">
        <v>322</v>
      </c>
      <c r="P19" s="41"/>
    </row>
    <row r="20" customFormat="false" ht="15" hidden="false" customHeight="false" outlineLevel="0" collapsed="false">
      <c r="A20" s="51" t="s">
        <v>222</v>
      </c>
      <c r="B20" s="51" t="s">
        <v>141</v>
      </c>
      <c r="C20" s="41" t="s">
        <v>142</v>
      </c>
      <c r="D20" s="52" t="n">
        <f aca="false">'Market Comparison'!D21</f>
        <v>33.41</v>
      </c>
      <c r="E20" s="51" t="s">
        <v>331</v>
      </c>
      <c r="F20" s="52" t="n">
        <v>28.99</v>
      </c>
      <c r="G20" s="55" t="n">
        <v>-4.42</v>
      </c>
      <c r="H20" s="56" t="n">
        <v>-0.132295719844358</v>
      </c>
      <c r="I20" s="57" t="s">
        <v>329</v>
      </c>
      <c r="J20" s="52" t="n">
        <f aca="false">IF('Market Comparison'!F21="","",'Market Comparison'!F21)</f>
        <v>33.8555</v>
      </c>
      <c r="K20" s="51" t="s">
        <v>331</v>
      </c>
      <c r="L20" s="52" t="n">
        <v>28.99</v>
      </c>
      <c r="M20" s="55" t="n">
        <v>-4.8655</v>
      </c>
      <c r="N20" s="56" t="n">
        <v>-0.14371372450562</v>
      </c>
      <c r="O20" s="57" t="s">
        <v>329</v>
      </c>
      <c r="P20" s="41"/>
    </row>
    <row r="21" customFormat="false" ht="28.35" hidden="false" customHeight="false" outlineLevel="0" collapsed="false">
      <c r="A21" s="51" t="s">
        <v>222</v>
      </c>
      <c r="B21" s="51" t="s">
        <v>147</v>
      </c>
      <c r="C21" s="41" t="s">
        <v>148</v>
      </c>
      <c r="D21" s="52" t="n">
        <f aca="false">'Market Comparison'!D22</f>
        <v>11.81</v>
      </c>
      <c r="E21" s="51" t="s">
        <v>332</v>
      </c>
      <c r="F21" s="52" t="n">
        <v>21.2</v>
      </c>
      <c r="G21" s="53" t="n">
        <v>9.39</v>
      </c>
      <c r="H21" s="54" t="n">
        <v>0.795088907705334</v>
      </c>
      <c r="I21" s="51" t="s">
        <v>322</v>
      </c>
      <c r="J21" s="52" t="n">
        <f aca="false">IF('Market Comparison'!F22="","",'Market Comparison'!F22)</f>
        <v>12.03275</v>
      </c>
      <c r="K21" s="51" t="s">
        <v>332</v>
      </c>
      <c r="L21" s="52" t="n">
        <v>21.2</v>
      </c>
      <c r="M21" s="53" t="n">
        <v>9.16725</v>
      </c>
      <c r="N21" s="54" t="n">
        <v>0.761858261827097</v>
      </c>
      <c r="O21" s="51" t="s">
        <v>322</v>
      </c>
      <c r="P21" s="41"/>
    </row>
    <row r="22" customFormat="false" ht="15" hidden="false" customHeight="false" outlineLevel="0" collapsed="false">
      <c r="A22" s="51" t="s">
        <v>222</v>
      </c>
      <c r="B22" s="51" t="s">
        <v>151</v>
      </c>
      <c r="C22" s="41" t="s">
        <v>152</v>
      </c>
      <c r="D22" s="52" t="n">
        <f aca="false">'Market Comparison'!D23</f>
        <v>11.81</v>
      </c>
      <c r="E22" s="51" t="s">
        <v>332</v>
      </c>
      <c r="F22" s="52" t="n">
        <v>21.2</v>
      </c>
      <c r="G22" s="53" t="n">
        <v>9.39</v>
      </c>
      <c r="H22" s="54" t="n">
        <v>0.795088907705334</v>
      </c>
      <c r="I22" s="51" t="s">
        <v>322</v>
      </c>
      <c r="J22" s="52" t="n">
        <f aca="false">IF('Market Comparison'!F23="","",'Market Comparison'!F23)</f>
        <v>12.03275</v>
      </c>
      <c r="K22" s="51" t="s">
        <v>332</v>
      </c>
      <c r="L22" s="52" t="n">
        <v>21.2</v>
      </c>
      <c r="M22" s="53" t="n">
        <v>9.16725</v>
      </c>
      <c r="N22" s="54" t="n">
        <v>0.761858261827097</v>
      </c>
      <c r="O22" s="51" t="s">
        <v>322</v>
      </c>
      <c r="P22" s="41"/>
    </row>
    <row r="23" customFormat="false" ht="28.35" hidden="false" customHeight="false" outlineLevel="0" collapsed="false">
      <c r="A23" s="51" t="s">
        <v>222</v>
      </c>
      <c r="B23" s="51" t="s">
        <v>153</v>
      </c>
      <c r="C23" s="41" t="s">
        <v>154</v>
      </c>
      <c r="D23" s="52" t="n">
        <f aca="false">'Market Comparison'!D24</f>
        <v>5.9</v>
      </c>
      <c r="E23" s="51" t="s">
        <v>323</v>
      </c>
      <c r="F23" s="52" t="n">
        <v>34.5363636363636</v>
      </c>
      <c r="G23" s="53" t="n">
        <v>28.6363636363636</v>
      </c>
      <c r="H23" s="54" t="n">
        <v>4.85362095531587</v>
      </c>
      <c r="I23" s="51" t="s">
        <v>322</v>
      </c>
      <c r="J23" s="52" t="n">
        <f aca="false">IF('Market Comparison'!F24="","",'Market Comparison'!F24)</f>
        <v>6.011375</v>
      </c>
      <c r="K23" s="51" t="s">
        <v>323</v>
      </c>
      <c r="L23" s="52" t="n">
        <v>34.5363636363636</v>
      </c>
      <c r="M23" s="53" t="n">
        <v>28.5249886363636</v>
      </c>
      <c r="N23" s="54" t="n">
        <v>4.74516872368861</v>
      </c>
      <c r="O23" s="51" t="s">
        <v>322</v>
      </c>
      <c r="P23" s="41"/>
    </row>
    <row r="24" customFormat="false" ht="28.35" hidden="false" customHeight="false" outlineLevel="0" collapsed="false">
      <c r="A24" s="51" t="s">
        <v>222</v>
      </c>
      <c r="B24" s="51" t="s">
        <v>159</v>
      </c>
      <c r="C24" s="41" t="s">
        <v>160</v>
      </c>
      <c r="D24" s="52" t="n">
        <f aca="false">'Market Comparison'!D25</f>
        <v>11.81</v>
      </c>
      <c r="E24" s="51" t="s">
        <v>332</v>
      </c>
      <c r="F24" s="52" t="n">
        <v>9.35454545454545</v>
      </c>
      <c r="G24" s="55" t="n">
        <v>-2.45545454545455</v>
      </c>
      <c r="H24" s="56" t="n">
        <v>-0.207913170656609</v>
      </c>
      <c r="I24" s="57" t="s">
        <v>329</v>
      </c>
      <c r="J24" s="52" t="n">
        <f aca="false">IF('Market Comparison'!F25="","",'Market Comparison'!F25)</f>
        <v>12.03275</v>
      </c>
      <c r="K24" s="51" t="s">
        <v>332</v>
      </c>
      <c r="L24" s="52" t="n">
        <v>9.35454545454545</v>
      </c>
      <c r="M24" s="55" t="n">
        <v>-2.67820454545455</v>
      </c>
      <c r="N24" s="56" t="n">
        <v>-0.222576264399622</v>
      </c>
      <c r="O24" s="57" t="s">
        <v>329</v>
      </c>
      <c r="P24" s="41"/>
    </row>
    <row r="25" customFormat="false" ht="28.35" hidden="false" customHeight="false" outlineLevel="0" collapsed="false">
      <c r="A25" s="51" t="s">
        <v>222</v>
      </c>
      <c r="B25" s="51" t="s">
        <v>171</v>
      </c>
      <c r="C25" s="41" t="s">
        <v>172</v>
      </c>
      <c r="D25" s="52" t="n">
        <f aca="false">'Market Comparison'!D26</f>
        <v>11.81</v>
      </c>
      <c r="E25" s="51" t="s">
        <v>332</v>
      </c>
      <c r="F25" s="52" t="n">
        <v>9.35454545454545</v>
      </c>
      <c r="G25" s="55" t="n">
        <v>-2.45545454545455</v>
      </c>
      <c r="H25" s="56" t="n">
        <v>-0.207913170656609</v>
      </c>
      <c r="I25" s="57" t="s">
        <v>329</v>
      </c>
      <c r="J25" s="52" t="n">
        <f aca="false">IF('Market Comparison'!F26="","",'Market Comparison'!F26)</f>
        <v>12.03275</v>
      </c>
      <c r="K25" s="51" t="s">
        <v>332</v>
      </c>
      <c r="L25" s="52" t="n">
        <v>9.35454545454545</v>
      </c>
      <c r="M25" s="55" t="n">
        <v>-2.67820454545455</v>
      </c>
      <c r="N25" s="56" t="n">
        <v>-0.222576264399622</v>
      </c>
      <c r="O25" s="57" t="s">
        <v>329</v>
      </c>
      <c r="P25" s="41"/>
    </row>
    <row r="26" customFormat="false" ht="28.35" hidden="false" customHeight="false" outlineLevel="0" collapsed="false">
      <c r="A26" s="51" t="s">
        <v>222</v>
      </c>
      <c r="B26" s="51" t="s">
        <v>276</v>
      </c>
      <c r="C26" s="41" t="s">
        <v>173</v>
      </c>
      <c r="D26" s="52" t="n">
        <f aca="false">'Market Comparison'!D27</f>
        <v>11.81</v>
      </c>
      <c r="E26" s="51" t="s">
        <v>332</v>
      </c>
      <c r="F26" s="52" t="n">
        <v>21.2</v>
      </c>
      <c r="G26" s="53" t="n">
        <v>9.39</v>
      </c>
      <c r="H26" s="54" t="n">
        <v>0.795088907705334</v>
      </c>
      <c r="I26" s="51" t="s">
        <v>322</v>
      </c>
      <c r="J26" s="52" t="n">
        <f aca="false">IF('Market Comparison'!F27="","",'Market Comparison'!F27)</f>
        <v>12.03275</v>
      </c>
      <c r="K26" s="51" t="s">
        <v>332</v>
      </c>
      <c r="L26" s="52" t="n">
        <v>21.2</v>
      </c>
      <c r="M26" s="53" t="n">
        <v>9.16725</v>
      </c>
      <c r="N26" s="54" t="n">
        <v>0.761858261827097</v>
      </c>
      <c r="O26" s="51" t="s">
        <v>322</v>
      </c>
      <c r="P26" s="41"/>
    </row>
    <row r="27" customFormat="false" ht="28.35" hidden="false" customHeight="false" outlineLevel="0" collapsed="false">
      <c r="A27" s="51" t="s">
        <v>222</v>
      </c>
      <c r="B27" s="51" t="s">
        <v>167</v>
      </c>
      <c r="C27" s="41" t="s">
        <v>168</v>
      </c>
      <c r="D27" s="52" t="n">
        <f aca="false">'Market Comparison'!D28</f>
        <v>33.41</v>
      </c>
      <c r="E27" s="51" t="s">
        <v>328</v>
      </c>
      <c r="F27" s="52" t="n">
        <v>32.5</v>
      </c>
      <c r="G27" s="55" t="n">
        <v>-0.909999999999997</v>
      </c>
      <c r="H27" s="56" t="n">
        <v>-0.027237354085603</v>
      </c>
      <c r="I27" s="57" t="s">
        <v>329</v>
      </c>
      <c r="J27" s="52" t="n">
        <f aca="false">IF('Market Comparison'!F28="","",'Market Comparison'!F28)</f>
        <v>33.8555</v>
      </c>
      <c r="K27" s="51" t="s">
        <v>328</v>
      </c>
      <c r="L27" s="52" t="n">
        <v>32.5</v>
      </c>
      <c r="M27" s="55" t="n">
        <v>-1.3555</v>
      </c>
      <c r="N27" s="56" t="n">
        <v>-0.0400378077417258</v>
      </c>
      <c r="O27" s="57" t="s">
        <v>329</v>
      </c>
      <c r="P27" s="41"/>
    </row>
    <row r="28" customFormat="false" ht="28.35" hidden="false" customHeight="false" outlineLevel="0" collapsed="false">
      <c r="A28" s="51" t="s">
        <v>222</v>
      </c>
      <c r="B28" s="51" t="s">
        <v>174</v>
      </c>
      <c r="C28" s="41" t="s">
        <v>175</v>
      </c>
      <c r="D28" s="52" t="n">
        <f aca="false">'Market Comparison'!D29</f>
        <v>33.41</v>
      </c>
      <c r="E28" s="51" t="s">
        <v>328</v>
      </c>
      <c r="F28" s="52" t="n">
        <v>45</v>
      </c>
      <c r="G28" s="53" t="n">
        <v>11.59</v>
      </c>
      <c r="H28" s="54" t="n">
        <v>0.346902125112242</v>
      </c>
      <c r="I28" s="51" t="s">
        <v>322</v>
      </c>
      <c r="J28" s="52" t="n">
        <f aca="false">IF('Market Comparison'!F29="","",'Market Comparison'!F29)</f>
        <v>33.8555</v>
      </c>
      <c r="K28" s="51" t="s">
        <v>328</v>
      </c>
      <c r="L28" s="52" t="n">
        <v>45</v>
      </c>
      <c r="M28" s="53" t="n">
        <v>11.1445</v>
      </c>
      <c r="N28" s="54" t="n">
        <v>0.329178420049918</v>
      </c>
      <c r="O28" s="51" t="s">
        <v>322</v>
      </c>
      <c r="P28" s="41"/>
    </row>
    <row r="29" customFormat="false" ht="28.35" hidden="false" customHeight="false" outlineLevel="0" collapsed="false">
      <c r="A29" s="51" t="s">
        <v>223</v>
      </c>
      <c r="B29" s="51" t="s">
        <v>49</v>
      </c>
      <c r="C29" s="41" t="s">
        <v>50</v>
      </c>
      <c r="D29" s="52" t="n">
        <f aca="false">'Market Comparison'!D30</f>
        <v>13.07</v>
      </c>
      <c r="E29" s="51" t="s">
        <v>326</v>
      </c>
      <c r="F29" s="52" t="n">
        <v>30.8</v>
      </c>
      <c r="G29" s="53" t="n">
        <v>17.73</v>
      </c>
      <c r="H29" s="54" t="n">
        <v>1.35654169854629</v>
      </c>
      <c r="I29" s="51" t="s">
        <v>322</v>
      </c>
      <c r="J29" s="52" t="str">
        <f aca="false">IF('Market Comparison'!F30="","",'Market Comparison'!F30)</f>
        <v/>
      </c>
      <c r="K29" s="51" t="s">
        <v>324</v>
      </c>
      <c r="L29" s="51" t="s">
        <v>257</v>
      </c>
      <c r="M29" s="51" t="s">
        <v>257</v>
      </c>
      <c r="N29" s="51" t="s">
        <v>257</v>
      </c>
      <c r="O29" s="51" t="s">
        <v>257</v>
      </c>
      <c r="P29" s="41"/>
    </row>
    <row r="30" customFormat="false" ht="28.35" hidden="false" customHeight="false" outlineLevel="0" collapsed="false">
      <c r="A30" s="51" t="s">
        <v>223</v>
      </c>
      <c r="B30" s="51" t="s">
        <v>51</v>
      </c>
      <c r="C30" s="41" t="s">
        <v>52</v>
      </c>
      <c r="D30" s="52" t="n">
        <f aca="false">'Market Comparison'!D31</f>
        <v>13.07</v>
      </c>
      <c r="E30" s="51" t="s">
        <v>333</v>
      </c>
      <c r="F30" s="52" t="n">
        <v>31</v>
      </c>
      <c r="G30" s="53" t="n">
        <v>17.93</v>
      </c>
      <c r="H30" s="54" t="n">
        <v>1.37184391736802</v>
      </c>
      <c r="I30" s="51" t="s">
        <v>322</v>
      </c>
      <c r="J30" s="52" t="str">
        <f aca="false">IF('Market Comparison'!F31="","",'Market Comparison'!F31)</f>
        <v/>
      </c>
      <c r="K30" s="51" t="s">
        <v>324</v>
      </c>
      <c r="L30" s="51" t="s">
        <v>257</v>
      </c>
      <c r="M30" s="51" t="s">
        <v>257</v>
      </c>
      <c r="N30" s="51" t="s">
        <v>257</v>
      </c>
      <c r="O30" s="51" t="s">
        <v>257</v>
      </c>
      <c r="P30" s="41"/>
    </row>
    <row r="31" customFormat="false" ht="28.35" hidden="false" customHeight="false" outlineLevel="0" collapsed="false">
      <c r="A31" s="51" t="s">
        <v>223</v>
      </c>
      <c r="B31" s="51" t="s">
        <v>53</v>
      </c>
      <c r="C31" s="41" t="s">
        <v>54</v>
      </c>
      <c r="D31" s="52" t="n">
        <f aca="false">'Market Comparison'!D32</f>
        <v>16.04</v>
      </c>
      <c r="E31" s="51" t="s">
        <v>333</v>
      </c>
      <c r="F31" s="52" t="n">
        <v>31</v>
      </c>
      <c r="G31" s="53" t="n">
        <v>14.96</v>
      </c>
      <c r="H31" s="54" t="n">
        <v>0.932668329177057</v>
      </c>
      <c r="I31" s="51" t="s">
        <v>322</v>
      </c>
      <c r="J31" s="52" t="str">
        <f aca="false">IF('Market Comparison'!F32="","",'Market Comparison'!F32)</f>
        <v/>
      </c>
      <c r="K31" s="51" t="s">
        <v>324</v>
      </c>
      <c r="L31" s="51" t="s">
        <v>257</v>
      </c>
      <c r="M31" s="51" t="s">
        <v>257</v>
      </c>
      <c r="N31" s="51" t="s">
        <v>257</v>
      </c>
      <c r="O31" s="51" t="s">
        <v>257</v>
      </c>
      <c r="P31" s="41"/>
    </row>
    <row r="32" customFormat="false" ht="15" hidden="false" customHeight="false" outlineLevel="0" collapsed="false">
      <c r="A32" s="51" t="s">
        <v>223</v>
      </c>
      <c r="B32" s="51" t="s">
        <v>55</v>
      </c>
      <c r="C32" s="41" t="s">
        <v>56</v>
      </c>
      <c r="D32" s="52" t="n">
        <f aca="false">'Market Comparison'!D33</f>
        <v>16.04</v>
      </c>
      <c r="E32" s="51" t="s">
        <v>333</v>
      </c>
      <c r="F32" s="52" t="n">
        <v>31</v>
      </c>
      <c r="G32" s="53" t="n">
        <v>14.96</v>
      </c>
      <c r="H32" s="54" t="n">
        <v>0.932668329177057</v>
      </c>
      <c r="I32" s="51" t="s">
        <v>322</v>
      </c>
      <c r="J32" s="52" t="str">
        <f aca="false">IF('Market Comparison'!F33="","",'Market Comparison'!F33)</f>
        <v/>
      </c>
      <c r="K32" s="51" t="s">
        <v>324</v>
      </c>
      <c r="L32" s="51" t="s">
        <v>257</v>
      </c>
      <c r="M32" s="51" t="s">
        <v>257</v>
      </c>
      <c r="N32" s="51" t="s">
        <v>257</v>
      </c>
      <c r="O32" s="51" t="s">
        <v>257</v>
      </c>
      <c r="P32" s="41"/>
    </row>
    <row r="33" customFormat="false" ht="28.35" hidden="false" customHeight="false" outlineLevel="0" collapsed="false">
      <c r="A33" s="51" t="s">
        <v>223</v>
      </c>
      <c r="B33" s="51" t="s">
        <v>57</v>
      </c>
      <c r="C33" s="41" t="s">
        <v>58</v>
      </c>
      <c r="D33" s="52" t="n">
        <f aca="false">'Market Comparison'!D34</f>
        <v>16.04</v>
      </c>
      <c r="E33" s="51" t="s">
        <v>333</v>
      </c>
      <c r="F33" s="52" t="n">
        <v>31</v>
      </c>
      <c r="G33" s="53" t="n">
        <v>14.96</v>
      </c>
      <c r="H33" s="54" t="n">
        <v>0.932668329177057</v>
      </c>
      <c r="I33" s="51" t="s">
        <v>322</v>
      </c>
      <c r="J33" s="52" t="str">
        <f aca="false">IF('Market Comparison'!F34="","",'Market Comparison'!F34)</f>
        <v/>
      </c>
      <c r="K33" s="51" t="s">
        <v>324</v>
      </c>
      <c r="L33" s="51" t="s">
        <v>257</v>
      </c>
      <c r="M33" s="51" t="s">
        <v>257</v>
      </c>
      <c r="N33" s="51" t="s">
        <v>257</v>
      </c>
      <c r="O33" s="51" t="s">
        <v>257</v>
      </c>
      <c r="P33" s="41"/>
    </row>
    <row r="34" customFormat="false" ht="28.35" hidden="false" customHeight="false" outlineLevel="0" collapsed="false">
      <c r="A34" s="51" t="s">
        <v>223</v>
      </c>
      <c r="B34" s="51" t="s">
        <v>59</v>
      </c>
      <c r="C34" s="41" t="s">
        <v>60</v>
      </c>
      <c r="D34" s="52" t="n">
        <f aca="false">'Market Comparison'!D35</f>
        <v>16.04</v>
      </c>
      <c r="E34" s="51" t="s">
        <v>333</v>
      </c>
      <c r="F34" s="52" t="n">
        <v>31</v>
      </c>
      <c r="G34" s="53" t="n">
        <v>14.96</v>
      </c>
      <c r="H34" s="54" t="n">
        <v>0.932668329177057</v>
      </c>
      <c r="I34" s="51" t="s">
        <v>322</v>
      </c>
      <c r="J34" s="52" t="str">
        <f aca="false">IF('Market Comparison'!F35="","",'Market Comparison'!F35)</f>
        <v/>
      </c>
      <c r="K34" s="51" t="s">
        <v>324</v>
      </c>
      <c r="L34" s="51" t="s">
        <v>257</v>
      </c>
      <c r="M34" s="51" t="s">
        <v>257</v>
      </c>
      <c r="N34" s="51" t="s">
        <v>257</v>
      </c>
      <c r="O34" s="51" t="s">
        <v>257</v>
      </c>
      <c r="P34" s="41"/>
    </row>
    <row r="35" customFormat="false" ht="28.35" hidden="false" customHeight="false" outlineLevel="0" collapsed="false">
      <c r="A35" s="51" t="s">
        <v>223</v>
      </c>
      <c r="B35" s="51" t="s">
        <v>61</v>
      </c>
      <c r="C35" s="41" t="s">
        <v>62</v>
      </c>
      <c r="D35" s="52" t="n">
        <f aca="false">'Market Comparison'!D36</f>
        <v>13.07</v>
      </c>
      <c r="E35" s="51" t="s">
        <v>333</v>
      </c>
      <c r="F35" s="52" t="n">
        <v>31</v>
      </c>
      <c r="G35" s="53" t="n">
        <v>17.93</v>
      </c>
      <c r="H35" s="54" t="n">
        <v>1.37184391736802</v>
      </c>
      <c r="I35" s="51" t="s">
        <v>322</v>
      </c>
      <c r="J35" s="52" t="str">
        <f aca="false">IF('Market Comparison'!F36="","",'Market Comparison'!F36)</f>
        <v/>
      </c>
      <c r="K35" s="51" t="s">
        <v>324</v>
      </c>
      <c r="L35" s="51" t="s">
        <v>257</v>
      </c>
      <c r="M35" s="51" t="s">
        <v>257</v>
      </c>
      <c r="N35" s="51" t="s">
        <v>257</v>
      </c>
      <c r="O35" s="51" t="s">
        <v>257</v>
      </c>
      <c r="P35" s="41"/>
    </row>
    <row r="36" customFormat="false" ht="28.35" hidden="false" customHeight="false" outlineLevel="0" collapsed="false">
      <c r="A36" s="51" t="s">
        <v>223</v>
      </c>
      <c r="B36" s="51" t="s">
        <v>63</v>
      </c>
      <c r="C36" s="41" t="s">
        <v>64</v>
      </c>
      <c r="D36" s="52" t="n">
        <f aca="false">'Market Comparison'!D37</f>
        <v>16.04</v>
      </c>
      <c r="E36" s="51" t="s">
        <v>333</v>
      </c>
      <c r="F36" s="52" t="n">
        <v>31</v>
      </c>
      <c r="G36" s="53" t="n">
        <v>14.96</v>
      </c>
      <c r="H36" s="54" t="n">
        <v>0.932668329177057</v>
      </c>
      <c r="I36" s="51" t="s">
        <v>322</v>
      </c>
      <c r="J36" s="52" t="str">
        <f aca="false">IF('Market Comparison'!F37="","",'Market Comparison'!F37)</f>
        <v/>
      </c>
      <c r="K36" s="51" t="s">
        <v>324</v>
      </c>
      <c r="L36" s="51" t="s">
        <v>257</v>
      </c>
      <c r="M36" s="51" t="s">
        <v>257</v>
      </c>
      <c r="N36" s="51" t="s">
        <v>257</v>
      </c>
      <c r="O36" s="51" t="s">
        <v>257</v>
      </c>
      <c r="P36" s="41"/>
    </row>
    <row r="37" customFormat="false" ht="28.35" hidden="false" customHeight="false" outlineLevel="0" collapsed="false">
      <c r="A37" s="51" t="s">
        <v>223</v>
      </c>
      <c r="B37" s="51" t="s">
        <v>65</v>
      </c>
      <c r="C37" s="41" t="s">
        <v>66</v>
      </c>
      <c r="D37" s="52" t="n">
        <f aca="false">'Market Comparison'!D38</f>
        <v>13.07</v>
      </c>
      <c r="E37" s="51" t="s">
        <v>333</v>
      </c>
      <c r="F37" s="52" t="n">
        <v>31</v>
      </c>
      <c r="G37" s="53" t="n">
        <v>17.93</v>
      </c>
      <c r="H37" s="54" t="n">
        <v>1.37184391736802</v>
      </c>
      <c r="I37" s="51" t="s">
        <v>322</v>
      </c>
      <c r="J37" s="52" t="str">
        <f aca="false">IF('Market Comparison'!F38="","",'Market Comparison'!F38)</f>
        <v/>
      </c>
      <c r="K37" s="51" t="s">
        <v>324</v>
      </c>
      <c r="L37" s="51" t="s">
        <v>257</v>
      </c>
      <c r="M37" s="51" t="s">
        <v>257</v>
      </c>
      <c r="N37" s="51" t="s">
        <v>257</v>
      </c>
      <c r="O37" s="51" t="s">
        <v>257</v>
      </c>
      <c r="P37" s="41"/>
    </row>
    <row r="38" customFormat="false" ht="28.35" hidden="false" customHeight="false" outlineLevel="0" collapsed="false">
      <c r="A38" s="51" t="s">
        <v>223</v>
      </c>
      <c r="B38" s="51" t="s">
        <v>67</v>
      </c>
      <c r="C38" s="41" t="s">
        <v>68</v>
      </c>
      <c r="D38" s="52" t="n">
        <f aca="false">'Market Comparison'!D39</f>
        <v>13.07</v>
      </c>
      <c r="E38" s="51" t="s">
        <v>333</v>
      </c>
      <c r="F38" s="52" t="n">
        <v>31</v>
      </c>
      <c r="G38" s="53" t="n">
        <v>17.93</v>
      </c>
      <c r="H38" s="54" t="n">
        <v>1.37184391736802</v>
      </c>
      <c r="I38" s="51" t="s">
        <v>322</v>
      </c>
      <c r="J38" s="52" t="str">
        <f aca="false">IF('Market Comparison'!F39="","",'Market Comparison'!F39)</f>
        <v/>
      </c>
      <c r="K38" s="51" t="s">
        <v>324</v>
      </c>
      <c r="L38" s="51" t="s">
        <v>257</v>
      </c>
      <c r="M38" s="51" t="s">
        <v>257</v>
      </c>
      <c r="N38" s="51" t="s">
        <v>257</v>
      </c>
      <c r="O38" s="51" t="s">
        <v>257</v>
      </c>
      <c r="P38" s="41"/>
    </row>
    <row r="39" customFormat="false" ht="28.35" hidden="false" customHeight="false" outlineLevel="0" collapsed="false">
      <c r="A39" s="51" t="s">
        <v>223</v>
      </c>
      <c r="B39" s="51" t="s">
        <v>69</v>
      </c>
      <c r="C39" s="41" t="s">
        <v>70</v>
      </c>
      <c r="D39" s="52" t="n">
        <f aca="false">'Market Comparison'!D40</f>
        <v>13.07</v>
      </c>
      <c r="E39" s="51" t="s">
        <v>333</v>
      </c>
      <c r="F39" s="52" t="n">
        <v>31</v>
      </c>
      <c r="G39" s="53" t="n">
        <v>17.93</v>
      </c>
      <c r="H39" s="54" t="n">
        <v>1.37184391736802</v>
      </c>
      <c r="I39" s="51" t="s">
        <v>322</v>
      </c>
      <c r="J39" s="52" t="str">
        <f aca="false">IF('Market Comparison'!F40="","",'Market Comparison'!F40)</f>
        <v/>
      </c>
      <c r="K39" s="51" t="s">
        <v>324</v>
      </c>
      <c r="L39" s="51" t="s">
        <v>257</v>
      </c>
      <c r="M39" s="51" t="s">
        <v>257</v>
      </c>
      <c r="N39" s="51" t="s">
        <v>257</v>
      </c>
      <c r="O39" s="51" t="s">
        <v>257</v>
      </c>
      <c r="P39" s="41"/>
    </row>
    <row r="40" customFormat="false" ht="28.35" hidden="false" customHeight="false" outlineLevel="0" collapsed="false">
      <c r="A40" s="51" t="s">
        <v>223</v>
      </c>
      <c r="B40" s="51" t="s">
        <v>71</v>
      </c>
      <c r="C40" s="41" t="s">
        <v>72</v>
      </c>
      <c r="D40" s="52" t="n">
        <f aca="false">'Market Comparison'!D41</f>
        <v>13.07</v>
      </c>
      <c r="E40" s="51" t="s">
        <v>333</v>
      </c>
      <c r="F40" s="52" t="n">
        <v>31</v>
      </c>
      <c r="G40" s="53" t="n">
        <v>17.93</v>
      </c>
      <c r="H40" s="54" t="n">
        <v>1.37184391736802</v>
      </c>
      <c r="I40" s="51" t="s">
        <v>322</v>
      </c>
      <c r="J40" s="52" t="str">
        <f aca="false">IF('Market Comparison'!F41="","",'Market Comparison'!F41)</f>
        <v/>
      </c>
      <c r="K40" s="51" t="s">
        <v>324</v>
      </c>
      <c r="L40" s="51" t="s">
        <v>257</v>
      </c>
      <c r="M40" s="51" t="s">
        <v>257</v>
      </c>
      <c r="N40" s="51" t="s">
        <v>257</v>
      </c>
      <c r="O40" s="51" t="s">
        <v>257</v>
      </c>
      <c r="P40" s="41"/>
    </row>
    <row r="41" customFormat="false" ht="28.35" hidden="false" customHeight="false" outlineLevel="0" collapsed="false">
      <c r="A41" s="51" t="s">
        <v>223</v>
      </c>
      <c r="B41" s="51" t="s">
        <v>73</v>
      </c>
      <c r="C41" s="41" t="s">
        <v>74</v>
      </c>
      <c r="D41" s="52" t="n">
        <f aca="false">'Market Comparison'!D42</f>
        <v>13.07</v>
      </c>
      <c r="E41" s="51" t="s">
        <v>333</v>
      </c>
      <c r="F41" s="52" t="n">
        <v>31</v>
      </c>
      <c r="G41" s="53" t="n">
        <v>17.93</v>
      </c>
      <c r="H41" s="54" t="n">
        <v>1.37184391736802</v>
      </c>
      <c r="I41" s="51" t="s">
        <v>322</v>
      </c>
      <c r="J41" s="52" t="str">
        <f aca="false">IF('Market Comparison'!F42="","",'Market Comparison'!F42)</f>
        <v/>
      </c>
      <c r="K41" s="51" t="s">
        <v>324</v>
      </c>
      <c r="L41" s="51" t="s">
        <v>257</v>
      </c>
      <c r="M41" s="51" t="s">
        <v>257</v>
      </c>
      <c r="N41" s="51" t="s">
        <v>257</v>
      </c>
      <c r="O41" s="51" t="s">
        <v>257</v>
      </c>
      <c r="P41" s="41"/>
    </row>
    <row r="42" customFormat="false" ht="28.35" hidden="false" customHeight="false" outlineLevel="0" collapsed="false">
      <c r="A42" s="51" t="s">
        <v>225</v>
      </c>
      <c r="B42" s="51" t="s">
        <v>4</v>
      </c>
      <c r="C42" s="41" t="s">
        <v>5</v>
      </c>
      <c r="D42" s="52" t="n">
        <f aca="false">'Market Comparison'!D43</f>
        <v>5.35</v>
      </c>
      <c r="E42" s="51" t="s">
        <v>323</v>
      </c>
      <c r="F42" s="52" t="n">
        <v>34.5363636363636</v>
      </c>
      <c r="G42" s="53" t="n">
        <v>29.1863636363636</v>
      </c>
      <c r="H42" s="54" t="n">
        <v>5.4553950722175</v>
      </c>
      <c r="I42" s="51" t="s">
        <v>322</v>
      </c>
      <c r="J42" s="52" t="str">
        <f aca="false">IF('Market Comparison'!F43="","",'Market Comparison'!F43)</f>
        <v/>
      </c>
      <c r="K42" s="51" t="s">
        <v>324</v>
      </c>
      <c r="L42" s="51" t="s">
        <v>257</v>
      </c>
      <c r="M42" s="51" t="s">
        <v>257</v>
      </c>
      <c r="N42" s="51" t="s">
        <v>257</v>
      </c>
      <c r="O42" s="51" t="s">
        <v>257</v>
      </c>
      <c r="P42" s="41"/>
    </row>
    <row r="43" customFormat="false" ht="28.35" hidden="false" customHeight="false" outlineLevel="0" collapsed="false">
      <c r="A43" s="51" t="s">
        <v>225</v>
      </c>
      <c r="B43" s="51" t="s">
        <v>95</v>
      </c>
      <c r="C43" s="41" t="s">
        <v>96</v>
      </c>
      <c r="D43" s="52" t="n">
        <f aca="false">'Market Comparison'!D44</f>
        <v>2.67</v>
      </c>
      <c r="E43" s="51" t="s">
        <v>332</v>
      </c>
      <c r="F43" s="52" t="n">
        <v>9.35454545454545</v>
      </c>
      <c r="G43" s="53" t="n">
        <v>6.68454545454545</v>
      </c>
      <c r="H43" s="54" t="n">
        <v>2.50357507660878</v>
      </c>
      <c r="I43" s="51" t="s">
        <v>322</v>
      </c>
      <c r="J43" s="52" t="str">
        <f aca="false">IF('Market Comparison'!F44="","",'Market Comparison'!F44)</f>
        <v/>
      </c>
      <c r="K43" s="51" t="s">
        <v>324</v>
      </c>
      <c r="L43" s="51" t="s">
        <v>257</v>
      </c>
      <c r="M43" s="51" t="s">
        <v>257</v>
      </c>
      <c r="N43" s="51" t="s">
        <v>257</v>
      </c>
      <c r="O43" s="51" t="s">
        <v>257</v>
      </c>
      <c r="P43" s="41"/>
    </row>
    <row r="44" customFormat="false" ht="28.35" hidden="false" customHeight="false" outlineLevel="0" collapsed="false">
      <c r="A44" s="51" t="s">
        <v>225</v>
      </c>
      <c r="B44" s="51" t="s">
        <v>97</v>
      </c>
      <c r="C44" s="41" t="s">
        <v>98</v>
      </c>
      <c r="D44" s="52" t="n">
        <f aca="false">'Market Comparison'!D45</f>
        <v>10.69</v>
      </c>
      <c r="E44" s="51" t="s">
        <v>333</v>
      </c>
      <c r="F44" s="52" t="n">
        <v>23.4090909090909</v>
      </c>
      <c r="G44" s="53" t="n">
        <v>12.7190909090909</v>
      </c>
      <c r="H44" s="54" t="n">
        <v>1.18981205884854</v>
      </c>
      <c r="I44" s="51" t="s">
        <v>322</v>
      </c>
      <c r="J44" s="52" t="str">
        <f aca="false">IF('Market Comparison'!F45="","",'Market Comparison'!F45)</f>
        <v/>
      </c>
      <c r="K44" s="51" t="s">
        <v>324</v>
      </c>
      <c r="L44" s="51" t="s">
        <v>257</v>
      </c>
      <c r="M44" s="51" t="s">
        <v>257</v>
      </c>
      <c r="N44" s="51" t="s">
        <v>257</v>
      </c>
      <c r="O44" s="51" t="s">
        <v>257</v>
      </c>
      <c r="P44" s="41"/>
    </row>
    <row r="45" customFormat="false" ht="28.35" hidden="false" customHeight="false" outlineLevel="0" collapsed="false">
      <c r="A45" s="51" t="s">
        <v>225</v>
      </c>
      <c r="B45" s="51" t="s">
        <v>99</v>
      </c>
      <c r="C45" s="41" t="s">
        <v>100</v>
      </c>
      <c r="D45" s="52" t="n">
        <f aca="false">'Market Comparison'!D46</f>
        <v>2.67</v>
      </c>
      <c r="E45" s="51" t="s">
        <v>323</v>
      </c>
      <c r="F45" s="52" t="n">
        <v>22.7181818181818</v>
      </c>
      <c r="G45" s="53" t="n">
        <v>20.0481818181818</v>
      </c>
      <c r="H45" s="54" t="n">
        <v>7.50868232890704</v>
      </c>
      <c r="I45" s="51" t="s">
        <v>322</v>
      </c>
      <c r="J45" s="52" t="str">
        <f aca="false">IF('Market Comparison'!F46="","",'Market Comparison'!F46)</f>
        <v/>
      </c>
      <c r="K45" s="51" t="s">
        <v>324</v>
      </c>
      <c r="L45" s="51" t="s">
        <v>257</v>
      </c>
      <c r="M45" s="51" t="s">
        <v>257</v>
      </c>
      <c r="N45" s="51" t="s">
        <v>257</v>
      </c>
      <c r="O45" s="51" t="s">
        <v>257</v>
      </c>
      <c r="P45" s="41"/>
    </row>
    <row r="46" customFormat="false" ht="28.35" hidden="false" customHeight="false" outlineLevel="0" collapsed="false">
      <c r="A46" s="51" t="s">
        <v>225</v>
      </c>
      <c r="B46" s="51" t="s">
        <v>103</v>
      </c>
      <c r="C46" s="41" t="s">
        <v>104</v>
      </c>
      <c r="D46" s="52" t="n">
        <f aca="false">'Market Comparison'!D47</f>
        <v>9.5</v>
      </c>
      <c r="E46" s="51" t="s">
        <v>323</v>
      </c>
      <c r="F46" s="52" t="n">
        <v>40.9</v>
      </c>
      <c r="G46" s="53" t="n">
        <v>31.4</v>
      </c>
      <c r="H46" s="54" t="n">
        <v>3.30526315789474</v>
      </c>
      <c r="I46" s="51" t="s">
        <v>322</v>
      </c>
      <c r="J46" s="52" t="str">
        <f aca="false">IF('Market Comparison'!F47="","",'Market Comparison'!F47)</f>
        <v/>
      </c>
      <c r="K46" s="51" t="s">
        <v>324</v>
      </c>
      <c r="L46" s="51" t="s">
        <v>257</v>
      </c>
      <c r="M46" s="51" t="s">
        <v>257</v>
      </c>
      <c r="N46" s="51" t="s">
        <v>257</v>
      </c>
      <c r="O46" s="51" t="s">
        <v>257</v>
      </c>
      <c r="P46" s="41"/>
    </row>
    <row r="47" customFormat="false" ht="28.35" hidden="false" customHeight="false" outlineLevel="0" collapsed="false">
      <c r="A47" s="51" t="s">
        <v>225</v>
      </c>
      <c r="B47" s="51" t="s">
        <v>105</v>
      </c>
      <c r="C47" s="41" t="s">
        <v>106</v>
      </c>
      <c r="D47" s="52" t="n">
        <f aca="false">'Market Comparison'!D48</f>
        <v>10.69</v>
      </c>
      <c r="E47" s="51" t="s">
        <v>323</v>
      </c>
      <c r="F47" s="52" t="n">
        <v>40.9</v>
      </c>
      <c r="G47" s="53" t="n">
        <v>30.21</v>
      </c>
      <c r="H47" s="54" t="n">
        <v>2.82600561272217</v>
      </c>
      <c r="I47" s="51" t="s">
        <v>322</v>
      </c>
      <c r="J47" s="52" t="str">
        <f aca="false">IF('Market Comparison'!F48="","",'Market Comparison'!F48)</f>
        <v/>
      </c>
      <c r="K47" s="51" t="s">
        <v>324</v>
      </c>
      <c r="L47" s="51" t="s">
        <v>257</v>
      </c>
      <c r="M47" s="51" t="s">
        <v>257</v>
      </c>
      <c r="N47" s="51" t="s">
        <v>257</v>
      </c>
      <c r="O47" s="51" t="s">
        <v>257</v>
      </c>
      <c r="P47" s="41"/>
    </row>
    <row r="48" customFormat="false" ht="28.35" hidden="false" customHeight="false" outlineLevel="0" collapsed="false">
      <c r="A48" s="51" t="s">
        <v>225</v>
      </c>
      <c r="B48" s="51" t="s">
        <v>109</v>
      </c>
      <c r="C48" s="41" t="s">
        <v>110</v>
      </c>
      <c r="D48" s="52" t="n">
        <f aca="false">'Market Comparison'!D49</f>
        <v>5.35</v>
      </c>
      <c r="E48" s="51" t="s">
        <v>333</v>
      </c>
      <c r="F48" s="52" t="n">
        <v>20.9090909090909</v>
      </c>
      <c r="G48" s="53" t="n">
        <v>15.5590909090909</v>
      </c>
      <c r="H48" s="54" t="n">
        <v>2.90824129141886</v>
      </c>
      <c r="I48" s="51" t="s">
        <v>322</v>
      </c>
      <c r="J48" s="52" t="str">
        <f aca="false">IF('Market Comparison'!F49="","",'Market Comparison'!F49)</f>
        <v/>
      </c>
      <c r="K48" s="51" t="s">
        <v>324</v>
      </c>
      <c r="L48" s="51" t="s">
        <v>257</v>
      </c>
      <c r="M48" s="51" t="s">
        <v>257</v>
      </c>
      <c r="N48" s="51" t="s">
        <v>257</v>
      </c>
      <c r="O48" s="51" t="s">
        <v>257</v>
      </c>
      <c r="P48" s="41"/>
    </row>
    <row r="49" customFormat="false" ht="15" hidden="false" customHeight="false" outlineLevel="0" collapsed="false">
      <c r="A49" s="51" t="s">
        <v>225</v>
      </c>
      <c r="B49" s="51" t="s">
        <v>111</v>
      </c>
      <c r="C49" s="41" t="s">
        <v>112</v>
      </c>
      <c r="D49" s="52" t="n">
        <f aca="false">'Market Comparison'!D50</f>
        <v>5.35</v>
      </c>
      <c r="E49" s="51" t="s">
        <v>332</v>
      </c>
      <c r="F49" s="52" t="n">
        <v>9.35454545454545</v>
      </c>
      <c r="G49" s="53" t="n">
        <v>4.00454545454545</v>
      </c>
      <c r="H49" s="54" t="n">
        <v>0.748513169073916</v>
      </c>
      <c r="I49" s="51" t="s">
        <v>322</v>
      </c>
      <c r="J49" s="52" t="str">
        <f aca="false">IF('Market Comparison'!F50="","",'Market Comparison'!F50)</f>
        <v/>
      </c>
      <c r="K49" s="51" t="s">
        <v>324</v>
      </c>
      <c r="L49" s="51" t="s">
        <v>257</v>
      </c>
      <c r="M49" s="51" t="s">
        <v>257</v>
      </c>
      <c r="N49" s="51" t="s">
        <v>257</v>
      </c>
      <c r="O49" s="51" t="s">
        <v>257</v>
      </c>
      <c r="P49" s="41"/>
    </row>
    <row r="50" customFormat="false" ht="15" hidden="false" customHeight="false" outlineLevel="0" collapsed="false">
      <c r="A50" s="51" t="s">
        <v>225</v>
      </c>
      <c r="B50" s="51" t="s">
        <v>115</v>
      </c>
      <c r="C50" s="41" t="s">
        <v>116</v>
      </c>
      <c r="D50" s="52" t="n">
        <f aca="false">'Market Comparison'!D51</f>
        <v>2.67</v>
      </c>
      <c r="E50" s="51" t="s">
        <v>323</v>
      </c>
      <c r="F50" s="52" t="n">
        <v>25.4454545454545</v>
      </c>
      <c r="G50" s="53" t="n">
        <v>22.7754545454545</v>
      </c>
      <c r="H50" s="54" t="n">
        <v>8.53013278855974</v>
      </c>
      <c r="I50" s="51" t="s">
        <v>322</v>
      </c>
      <c r="J50" s="52" t="str">
        <f aca="false">IF('Market Comparison'!F51="","",'Market Comparison'!F51)</f>
        <v/>
      </c>
      <c r="K50" s="51" t="s">
        <v>324</v>
      </c>
      <c r="L50" s="51" t="s">
        <v>257</v>
      </c>
      <c r="M50" s="51" t="s">
        <v>257</v>
      </c>
      <c r="N50" s="51" t="s">
        <v>257</v>
      </c>
      <c r="O50" s="51" t="s">
        <v>257</v>
      </c>
      <c r="P50" s="41"/>
    </row>
    <row r="51" customFormat="false" ht="28.35" hidden="false" customHeight="false" outlineLevel="0" collapsed="false">
      <c r="A51" s="51" t="s">
        <v>225</v>
      </c>
      <c r="B51" s="51" t="s">
        <v>119</v>
      </c>
      <c r="C51" s="41" t="s">
        <v>120</v>
      </c>
      <c r="D51" s="52" t="n">
        <f aca="false">'Market Comparison'!D52</f>
        <v>9.5</v>
      </c>
      <c r="E51" s="51" t="s">
        <v>323</v>
      </c>
      <c r="F51" s="52" t="n">
        <v>40.9</v>
      </c>
      <c r="G51" s="53" t="n">
        <v>31.4</v>
      </c>
      <c r="H51" s="54" t="n">
        <v>3.30526315789474</v>
      </c>
      <c r="I51" s="51" t="s">
        <v>322</v>
      </c>
      <c r="J51" s="52" t="str">
        <f aca="false">IF('Market Comparison'!F52="","",'Market Comparison'!F52)</f>
        <v/>
      </c>
      <c r="K51" s="51" t="s">
        <v>324</v>
      </c>
      <c r="L51" s="51" t="s">
        <v>257</v>
      </c>
      <c r="M51" s="51" t="s">
        <v>257</v>
      </c>
      <c r="N51" s="51" t="s">
        <v>257</v>
      </c>
      <c r="O51" s="51" t="s">
        <v>257</v>
      </c>
      <c r="P51" s="41"/>
    </row>
    <row r="52" customFormat="false" ht="28.35" hidden="false" customHeight="false" outlineLevel="0" collapsed="false">
      <c r="A52" s="51" t="s">
        <v>225</v>
      </c>
      <c r="B52" s="51" t="s">
        <v>121</v>
      </c>
      <c r="C52" s="41" t="s">
        <v>122</v>
      </c>
      <c r="D52" s="52" t="n">
        <f aca="false">'Market Comparison'!D53</f>
        <v>2</v>
      </c>
      <c r="E52" s="51" t="s">
        <v>328</v>
      </c>
      <c r="F52" s="52" t="n">
        <v>7.81818181818182</v>
      </c>
      <c r="G52" s="53" t="n">
        <v>5.81818181818182</v>
      </c>
      <c r="H52" s="54" t="n">
        <v>2.90909090909091</v>
      </c>
      <c r="I52" s="51" t="s">
        <v>322</v>
      </c>
      <c r="J52" s="52" t="str">
        <f aca="false">IF('Market Comparison'!F53="","",'Market Comparison'!F53)</f>
        <v/>
      </c>
      <c r="K52" s="51" t="s">
        <v>324</v>
      </c>
      <c r="L52" s="51" t="s">
        <v>257</v>
      </c>
      <c r="M52" s="51" t="s">
        <v>257</v>
      </c>
      <c r="N52" s="51" t="s">
        <v>257</v>
      </c>
      <c r="O52" s="51" t="s">
        <v>257</v>
      </c>
      <c r="P52" s="41"/>
    </row>
    <row r="53" customFormat="false" ht="28.35" hidden="false" customHeight="false" outlineLevel="0" collapsed="false">
      <c r="A53" s="51" t="s">
        <v>225</v>
      </c>
      <c r="B53" s="51" t="s">
        <v>123</v>
      </c>
      <c r="C53" s="41" t="s">
        <v>124</v>
      </c>
      <c r="D53" s="52" t="n">
        <f aca="false">'Market Comparison'!D54</f>
        <v>2.67</v>
      </c>
      <c r="E53" s="51" t="s">
        <v>323</v>
      </c>
      <c r="F53" s="52" t="n">
        <v>29.9909090909091</v>
      </c>
      <c r="G53" s="53" t="n">
        <v>27.3209090909091</v>
      </c>
      <c r="H53" s="54" t="n">
        <v>10.2325502213143</v>
      </c>
      <c r="I53" s="51" t="s">
        <v>322</v>
      </c>
      <c r="J53" s="52" t="str">
        <f aca="false">IF('Market Comparison'!F54="","",'Market Comparison'!F54)</f>
        <v/>
      </c>
      <c r="K53" s="51" t="s">
        <v>324</v>
      </c>
      <c r="L53" s="51" t="s">
        <v>257</v>
      </c>
      <c r="M53" s="51" t="s">
        <v>257</v>
      </c>
      <c r="N53" s="51" t="s">
        <v>257</v>
      </c>
      <c r="O53" s="51" t="s">
        <v>257</v>
      </c>
      <c r="P53" s="41"/>
    </row>
    <row r="54" customFormat="false" ht="15" hidden="false" customHeight="false" outlineLevel="0" collapsed="false">
      <c r="A54" s="51" t="s">
        <v>225</v>
      </c>
      <c r="B54" s="51" t="s">
        <v>125</v>
      </c>
      <c r="C54" s="41" t="s">
        <v>126</v>
      </c>
      <c r="D54" s="52" t="n">
        <f aca="false">'Market Comparison'!D55</f>
        <v>4.01</v>
      </c>
      <c r="E54" s="51" t="s">
        <v>323</v>
      </c>
      <c r="F54" s="52" t="n">
        <v>34.5363636363636</v>
      </c>
      <c r="G54" s="53" t="n">
        <v>30.5263636363636</v>
      </c>
      <c r="H54" s="54" t="n">
        <v>7.61255951031511</v>
      </c>
      <c r="I54" s="51" t="s">
        <v>322</v>
      </c>
      <c r="J54" s="52" t="str">
        <f aca="false">IF('Market Comparison'!F55="","",'Market Comparison'!F55)</f>
        <v/>
      </c>
      <c r="K54" s="51" t="s">
        <v>324</v>
      </c>
      <c r="L54" s="51" t="s">
        <v>257</v>
      </c>
      <c r="M54" s="51" t="s">
        <v>257</v>
      </c>
      <c r="N54" s="51" t="s">
        <v>257</v>
      </c>
      <c r="O54" s="51" t="s">
        <v>257</v>
      </c>
      <c r="P54" s="41"/>
    </row>
    <row r="55" customFormat="false" ht="15" hidden="false" customHeight="false" outlineLevel="0" collapsed="false">
      <c r="A55" s="51" t="s">
        <v>225</v>
      </c>
      <c r="B55" s="51" t="s">
        <v>129</v>
      </c>
      <c r="C55" s="41" t="s">
        <v>130</v>
      </c>
      <c r="D55" s="52" t="n">
        <f aca="false">'Market Comparison'!D56</f>
        <v>10.69</v>
      </c>
      <c r="E55" s="51" t="s">
        <v>323</v>
      </c>
      <c r="F55" s="52" t="n">
        <v>34.5363636363636</v>
      </c>
      <c r="G55" s="53" t="n">
        <v>23.8463636363636</v>
      </c>
      <c r="H55" s="54" t="n">
        <v>2.23071689769538</v>
      </c>
      <c r="I55" s="51" t="s">
        <v>322</v>
      </c>
      <c r="J55" s="52" t="str">
        <f aca="false">IF('Market Comparison'!F56="","",'Market Comparison'!F56)</f>
        <v/>
      </c>
      <c r="K55" s="51" t="s">
        <v>324</v>
      </c>
      <c r="L55" s="51" t="s">
        <v>257</v>
      </c>
      <c r="M55" s="51" t="s">
        <v>257</v>
      </c>
      <c r="N55" s="51" t="s">
        <v>257</v>
      </c>
      <c r="O55" s="51" t="s">
        <v>257</v>
      </c>
      <c r="P55" s="41"/>
    </row>
    <row r="56" customFormat="false" ht="28.35" hidden="false" customHeight="false" outlineLevel="0" collapsed="false">
      <c r="A56" s="51" t="s">
        <v>225</v>
      </c>
      <c r="B56" s="51" t="s">
        <v>133</v>
      </c>
      <c r="C56" s="41" t="s">
        <v>134</v>
      </c>
      <c r="D56" s="52" t="n">
        <f aca="false">'Market Comparison'!D57</f>
        <v>10.69</v>
      </c>
      <c r="E56" s="51" t="s">
        <v>323</v>
      </c>
      <c r="F56" s="52" t="n">
        <v>34.5363636363636</v>
      </c>
      <c r="G56" s="53" t="n">
        <v>23.8463636363636</v>
      </c>
      <c r="H56" s="54" t="n">
        <v>2.23071689769538</v>
      </c>
      <c r="I56" s="51" t="s">
        <v>322</v>
      </c>
      <c r="J56" s="52" t="str">
        <f aca="false">IF('Market Comparison'!F57="","",'Market Comparison'!F57)</f>
        <v/>
      </c>
      <c r="K56" s="51" t="s">
        <v>324</v>
      </c>
      <c r="L56" s="51" t="s">
        <v>257</v>
      </c>
      <c r="M56" s="51" t="s">
        <v>257</v>
      </c>
      <c r="N56" s="51" t="s">
        <v>257</v>
      </c>
      <c r="O56" s="51" t="s">
        <v>257</v>
      </c>
      <c r="P56" s="41"/>
    </row>
    <row r="57" customFormat="false" ht="28.35" hidden="false" customHeight="false" outlineLevel="0" collapsed="false">
      <c r="A57" s="51" t="s">
        <v>225</v>
      </c>
      <c r="B57" s="51" t="s">
        <v>135</v>
      </c>
      <c r="C57" s="41" t="s">
        <v>136</v>
      </c>
      <c r="D57" s="52" t="n">
        <f aca="false">'Market Comparison'!D58</f>
        <v>10.69</v>
      </c>
      <c r="E57" s="51" t="s">
        <v>323</v>
      </c>
      <c r="F57" s="52" t="n">
        <v>40.9</v>
      </c>
      <c r="G57" s="53" t="n">
        <v>30.21</v>
      </c>
      <c r="H57" s="54" t="n">
        <v>2.82600561272217</v>
      </c>
      <c r="I57" s="51" t="s">
        <v>322</v>
      </c>
      <c r="J57" s="52" t="str">
        <f aca="false">IF('Market Comparison'!F58="","",'Market Comparison'!F58)</f>
        <v/>
      </c>
      <c r="K57" s="51" t="s">
        <v>324</v>
      </c>
      <c r="L57" s="51" t="s">
        <v>257</v>
      </c>
      <c r="M57" s="51" t="s">
        <v>257</v>
      </c>
      <c r="N57" s="51" t="s">
        <v>257</v>
      </c>
      <c r="O57" s="51" t="s">
        <v>257</v>
      </c>
      <c r="P57" s="41"/>
    </row>
    <row r="58" customFormat="false" ht="28.35" hidden="false" customHeight="false" outlineLevel="0" collapsed="false">
      <c r="A58" s="51" t="s">
        <v>225</v>
      </c>
      <c r="B58" s="51" t="s">
        <v>139</v>
      </c>
      <c r="C58" s="41" t="s">
        <v>140</v>
      </c>
      <c r="D58" s="52" t="n">
        <f aca="false">'Market Comparison'!D59</f>
        <v>2.89</v>
      </c>
      <c r="E58" s="51" t="s">
        <v>323</v>
      </c>
      <c r="F58" s="52" t="n">
        <v>29.9909090909091</v>
      </c>
      <c r="G58" s="53" t="n">
        <v>27.1009090909091</v>
      </c>
      <c r="H58" s="54" t="n">
        <v>9.37747719408619</v>
      </c>
      <c r="I58" s="51" t="s">
        <v>322</v>
      </c>
      <c r="J58" s="52" t="str">
        <f aca="false">IF('Market Comparison'!F59="","",'Market Comparison'!F59)</f>
        <v/>
      </c>
      <c r="K58" s="51" t="s">
        <v>324</v>
      </c>
      <c r="L58" s="51" t="s">
        <v>257</v>
      </c>
      <c r="M58" s="51" t="s">
        <v>257</v>
      </c>
      <c r="N58" s="51" t="s">
        <v>257</v>
      </c>
      <c r="O58" s="51" t="s">
        <v>257</v>
      </c>
      <c r="P58" s="41"/>
    </row>
    <row r="59" customFormat="false" ht="28.35" hidden="false" customHeight="false" outlineLevel="0" collapsed="false">
      <c r="A59" s="51" t="s">
        <v>225</v>
      </c>
      <c r="B59" s="51" t="s">
        <v>143</v>
      </c>
      <c r="C59" s="41" t="s">
        <v>144</v>
      </c>
      <c r="D59" s="52" t="n">
        <f aca="false">'Market Comparison'!D60</f>
        <v>1.94</v>
      </c>
      <c r="E59" s="51" t="s">
        <v>323</v>
      </c>
      <c r="F59" s="52" t="n">
        <v>45.4454545454545</v>
      </c>
      <c r="G59" s="53" t="n">
        <v>43.5054545454545</v>
      </c>
      <c r="H59" s="54" t="n">
        <v>22.4254920337394</v>
      </c>
      <c r="I59" s="51" t="s">
        <v>322</v>
      </c>
      <c r="J59" s="52" t="str">
        <f aca="false">IF('Market Comparison'!F60="","",'Market Comparison'!F60)</f>
        <v/>
      </c>
      <c r="K59" s="51" t="s">
        <v>324</v>
      </c>
      <c r="L59" s="51" t="s">
        <v>257</v>
      </c>
      <c r="M59" s="51" t="s">
        <v>257</v>
      </c>
      <c r="N59" s="51" t="s">
        <v>257</v>
      </c>
      <c r="O59" s="51" t="s">
        <v>257</v>
      </c>
      <c r="P59" s="41"/>
    </row>
    <row r="60" customFormat="false" ht="15" hidden="false" customHeight="false" outlineLevel="0" collapsed="false">
      <c r="A60" s="51" t="s">
        <v>225</v>
      </c>
      <c r="B60" s="51" t="s">
        <v>149</v>
      </c>
      <c r="C60" s="41" t="s">
        <v>150</v>
      </c>
      <c r="D60" s="52" t="n">
        <f aca="false">'Market Comparison'!D61</f>
        <v>10.69</v>
      </c>
      <c r="E60" s="51" t="s">
        <v>325</v>
      </c>
      <c r="F60" s="52" t="n">
        <v>43.55</v>
      </c>
      <c r="G60" s="53" t="n">
        <v>32.86</v>
      </c>
      <c r="H60" s="54" t="n">
        <v>3.07390084190833</v>
      </c>
      <c r="I60" s="51" t="s">
        <v>322</v>
      </c>
      <c r="J60" s="52" t="str">
        <f aca="false">IF('Market Comparison'!F61="","",'Market Comparison'!F61)</f>
        <v/>
      </c>
      <c r="K60" s="51" t="s">
        <v>324</v>
      </c>
      <c r="L60" s="51" t="s">
        <v>257</v>
      </c>
      <c r="M60" s="51" t="s">
        <v>257</v>
      </c>
      <c r="N60" s="51" t="s">
        <v>257</v>
      </c>
      <c r="O60" s="51" t="s">
        <v>257</v>
      </c>
      <c r="P60" s="41"/>
    </row>
    <row r="61" customFormat="false" ht="28.35" hidden="false" customHeight="false" outlineLevel="0" collapsed="false">
      <c r="A61" s="51" t="s">
        <v>225</v>
      </c>
      <c r="B61" s="51" t="s">
        <v>155</v>
      </c>
      <c r="C61" s="41" t="s">
        <v>156</v>
      </c>
      <c r="D61" s="52" t="n">
        <f aca="false">'Market Comparison'!D62</f>
        <v>3.201</v>
      </c>
      <c r="E61" s="51" t="s">
        <v>323</v>
      </c>
      <c r="F61" s="52" t="n">
        <v>29.9909090909091</v>
      </c>
      <c r="G61" s="53" t="n">
        <v>26.7899090909091</v>
      </c>
      <c r="H61" s="54" t="n">
        <v>8.36923120615717</v>
      </c>
      <c r="I61" s="51" t="s">
        <v>322</v>
      </c>
      <c r="J61" s="52" t="str">
        <f aca="false">IF('Market Comparison'!F62="","",'Market Comparison'!F62)</f>
        <v/>
      </c>
      <c r="K61" s="51" t="s">
        <v>324</v>
      </c>
      <c r="L61" s="51" t="s">
        <v>257</v>
      </c>
      <c r="M61" s="51" t="s">
        <v>257</v>
      </c>
      <c r="N61" s="51" t="s">
        <v>257</v>
      </c>
      <c r="O61" s="51" t="s">
        <v>257</v>
      </c>
      <c r="P61" s="41"/>
    </row>
    <row r="62" customFormat="false" ht="15" hidden="false" customHeight="false" outlineLevel="0" collapsed="false">
      <c r="A62" s="51" t="s">
        <v>225</v>
      </c>
      <c r="B62" s="51" t="s">
        <v>157</v>
      </c>
      <c r="C62" s="41" t="s">
        <v>158</v>
      </c>
      <c r="D62" s="52" t="n">
        <f aca="false">'Market Comparison'!D63</f>
        <v>5.35</v>
      </c>
      <c r="E62" s="51" t="s">
        <v>323</v>
      </c>
      <c r="F62" s="52" t="n">
        <v>29.9909090909091</v>
      </c>
      <c r="G62" s="53" t="n">
        <v>24.6409090909091</v>
      </c>
      <c r="H62" s="54" t="n">
        <v>4.60577740016993</v>
      </c>
      <c r="I62" s="51" t="s">
        <v>322</v>
      </c>
      <c r="J62" s="52" t="str">
        <f aca="false">IF('Market Comparison'!F63="","",'Market Comparison'!F63)</f>
        <v/>
      </c>
      <c r="K62" s="51" t="s">
        <v>324</v>
      </c>
      <c r="L62" s="51" t="s">
        <v>257</v>
      </c>
      <c r="M62" s="51" t="s">
        <v>257</v>
      </c>
      <c r="N62" s="51" t="s">
        <v>257</v>
      </c>
      <c r="O62" s="51" t="s">
        <v>257</v>
      </c>
      <c r="P62" s="41"/>
    </row>
    <row r="63" customFormat="false" ht="28.35" hidden="false" customHeight="false" outlineLevel="0" collapsed="false">
      <c r="A63" s="51" t="s">
        <v>225</v>
      </c>
      <c r="B63" s="51" t="s">
        <v>161</v>
      </c>
      <c r="C63" s="41" t="s">
        <v>162</v>
      </c>
      <c r="D63" s="52" t="n">
        <f aca="false">'Market Comparison'!D64</f>
        <v>2.67</v>
      </c>
      <c r="E63" s="51" t="s">
        <v>323</v>
      </c>
      <c r="F63" s="52" t="n">
        <v>29.9909090909091</v>
      </c>
      <c r="G63" s="53" t="n">
        <v>27.3209090909091</v>
      </c>
      <c r="H63" s="54" t="n">
        <v>10.2325502213143</v>
      </c>
      <c r="I63" s="51" t="s">
        <v>322</v>
      </c>
      <c r="J63" s="52" t="str">
        <f aca="false">IF('Market Comparison'!F64="","",'Market Comparison'!F64)</f>
        <v/>
      </c>
      <c r="K63" s="51" t="s">
        <v>324</v>
      </c>
      <c r="L63" s="51" t="s">
        <v>257</v>
      </c>
      <c r="M63" s="51" t="s">
        <v>257</v>
      </c>
      <c r="N63" s="51" t="s">
        <v>257</v>
      </c>
      <c r="O63" s="51" t="s">
        <v>257</v>
      </c>
      <c r="P63" s="41"/>
    </row>
    <row r="64" customFormat="false" ht="28.35" hidden="false" customHeight="false" outlineLevel="0" collapsed="false">
      <c r="A64" s="51" t="s">
        <v>225</v>
      </c>
      <c r="B64" s="51" t="s">
        <v>163</v>
      </c>
      <c r="C64" s="41" t="s">
        <v>164</v>
      </c>
      <c r="D64" s="52" t="n">
        <f aca="false">'Market Comparison'!D65</f>
        <v>10.69</v>
      </c>
      <c r="E64" s="51" t="s">
        <v>333</v>
      </c>
      <c r="F64" s="52" t="n">
        <v>27.2727272727273</v>
      </c>
      <c r="G64" s="53" t="n">
        <v>16.5827272727273</v>
      </c>
      <c r="H64" s="54" t="n">
        <v>1.55123735011481</v>
      </c>
      <c r="I64" s="51" t="s">
        <v>322</v>
      </c>
      <c r="J64" s="52" t="str">
        <f aca="false">IF('Market Comparison'!F65="","",'Market Comparison'!F65)</f>
        <v/>
      </c>
      <c r="K64" s="51" t="s">
        <v>324</v>
      </c>
      <c r="L64" s="51" t="s">
        <v>257</v>
      </c>
      <c r="M64" s="51" t="s">
        <v>257</v>
      </c>
      <c r="N64" s="51" t="s">
        <v>257</v>
      </c>
      <c r="O64" s="51" t="s">
        <v>257</v>
      </c>
      <c r="P64" s="41"/>
    </row>
    <row r="66" customFormat="false" ht="24" hidden="false" customHeight="true" outlineLevel="0" collapsed="false">
      <c r="A66" s="58" t="s">
        <v>334</v>
      </c>
      <c r="B66" s="58"/>
      <c r="C66" s="58"/>
      <c r="D66" s="58"/>
      <c r="E66" s="58"/>
      <c r="F66" s="58"/>
      <c r="G66" s="58"/>
      <c r="H66" s="58"/>
      <c r="I66" s="58"/>
      <c r="J66" s="58"/>
      <c r="K66" s="58"/>
      <c r="L66" s="58"/>
      <c r="M66" s="58"/>
      <c r="N66" s="58"/>
      <c r="O66" s="58"/>
      <c r="P66" s="58"/>
    </row>
    <row r="67" customFormat="false" ht="31.5" hidden="false" customHeight="true" outlineLevel="0" collapsed="false">
      <c r="A67" s="50" t="s">
        <v>0</v>
      </c>
      <c r="B67" s="50" t="s">
        <v>1</v>
      </c>
      <c r="C67" s="50" t="s">
        <v>335</v>
      </c>
      <c r="D67" s="50" t="s">
        <v>336</v>
      </c>
      <c r="E67" s="50" t="s">
        <v>337</v>
      </c>
      <c r="F67" s="50" t="s">
        <v>338</v>
      </c>
      <c r="G67" s="50" t="s">
        <v>339</v>
      </c>
    </row>
    <row r="68" customFormat="false" ht="108.95" hidden="false" customHeight="false" outlineLevel="0" collapsed="false">
      <c r="A68" s="51" t="s">
        <v>7</v>
      </c>
      <c r="B68" s="41" t="s">
        <v>8</v>
      </c>
      <c r="C68" s="51" t="s">
        <v>332</v>
      </c>
      <c r="D68" s="52" t="n">
        <v>9.35454545454545</v>
      </c>
      <c r="E68" s="52" t="n">
        <v>16.71</v>
      </c>
      <c r="F68" s="53" t="n">
        <v>7.35545454545455</v>
      </c>
      <c r="G68" s="54" t="n">
        <v>0.440182797453893</v>
      </c>
    </row>
    <row r="69" customFormat="false" ht="68.65" hidden="false" customHeight="false" outlineLevel="0" collapsed="false">
      <c r="A69" s="51" t="s">
        <v>141</v>
      </c>
      <c r="B69" s="41" t="s">
        <v>142</v>
      </c>
      <c r="C69" s="51" t="s">
        <v>332</v>
      </c>
      <c r="D69" s="52" t="n">
        <v>21.2</v>
      </c>
      <c r="E69" s="52" t="n">
        <v>33.41</v>
      </c>
      <c r="F69" s="53" t="n">
        <v>12.21</v>
      </c>
      <c r="G69" s="54" t="n">
        <v>0.365459443280455</v>
      </c>
    </row>
    <row r="70" customFormat="false" ht="95.5" hidden="false" customHeight="false" outlineLevel="0" collapsed="false">
      <c r="A70" s="51" t="s">
        <v>159</v>
      </c>
      <c r="B70" s="41" t="s">
        <v>160</v>
      </c>
      <c r="C70" s="51" t="s">
        <v>332</v>
      </c>
      <c r="D70" s="52" t="n">
        <v>9.35454545454545</v>
      </c>
      <c r="E70" s="52" t="n">
        <v>11.81</v>
      </c>
      <c r="F70" s="53" t="n">
        <v>2.45545454545455</v>
      </c>
      <c r="G70" s="54" t="n">
        <v>0.207913170656609</v>
      </c>
    </row>
    <row r="71" customFormat="false" ht="108.95" hidden="false" customHeight="false" outlineLevel="0" collapsed="false">
      <c r="A71" s="51" t="s">
        <v>171</v>
      </c>
      <c r="B71" s="41" t="s">
        <v>172</v>
      </c>
      <c r="C71" s="51" t="s">
        <v>332</v>
      </c>
      <c r="D71" s="52" t="n">
        <v>9.35454545454545</v>
      </c>
      <c r="E71" s="52" t="n">
        <v>11.81</v>
      </c>
      <c r="F71" s="53" t="n">
        <v>2.45545454545455</v>
      </c>
      <c r="G71" s="54" t="n">
        <v>0.207913170656609</v>
      </c>
    </row>
    <row r="72" customFormat="false" ht="82.05" hidden="false" customHeight="false" outlineLevel="0" collapsed="false">
      <c r="A72" s="51" t="s">
        <v>79</v>
      </c>
      <c r="B72" s="41" t="s">
        <v>80</v>
      </c>
      <c r="C72" s="51" t="s">
        <v>330</v>
      </c>
      <c r="D72" s="52" t="n">
        <v>28.3545454545455</v>
      </c>
      <c r="E72" s="52" t="n">
        <v>33.41</v>
      </c>
      <c r="F72" s="53" t="n">
        <v>5.0554545454545</v>
      </c>
      <c r="G72" s="54" t="n">
        <v>0.151315610459578</v>
      </c>
    </row>
    <row r="73" customFormat="false" ht="68.65" hidden="false" customHeight="false" outlineLevel="0" collapsed="false">
      <c r="A73" s="51" t="s">
        <v>131</v>
      </c>
      <c r="B73" s="41" t="s">
        <v>132</v>
      </c>
      <c r="C73" s="51" t="s">
        <v>330</v>
      </c>
      <c r="D73" s="52" t="n">
        <v>28.3545454545455</v>
      </c>
      <c r="E73" s="52" t="n">
        <v>29.7</v>
      </c>
      <c r="F73" s="53" t="n">
        <v>1.3454545454545</v>
      </c>
      <c r="G73" s="54" t="n">
        <v>0.0453014998469528</v>
      </c>
    </row>
    <row r="74" customFormat="false" ht="82.05" hidden="false" customHeight="false" outlineLevel="0" collapsed="false">
      <c r="A74" s="51" t="s">
        <v>167</v>
      </c>
      <c r="B74" s="41" t="s">
        <v>168</v>
      </c>
      <c r="C74" s="51" t="s">
        <v>328</v>
      </c>
      <c r="D74" s="52" t="n">
        <v>32.5</v>
      </c>
      <c r="E74" s="52" t="n">
        <v>33.41</v>
      </c>
      <c r="F74" s="53" t="n">
        <v>0.909999999999997</v>
      </c>
      <c r="G74" s="54" t="n">
        <v>0.027237354085603</v>
      </c>
    </row>
    <row r="76" customFormat="false" ht="24" hidden="false" customHeight="true" outlineLevel="0" collapsed="false">
      <c r="A76" s="58" t="s">
        <v>340</v>
      </c>
      <c r="B76" s="58"/>
      <c r="C76" s="58"/>
      <c r="D76" s="58"/>
      <c r="E76" s="58"/>
      <c r="F76" s="58"/>
      <c r="G76" s="58"/>
      <c r="H76" s="58"/>
      <c r="I76" s="58"/>
      <c r="J76" s="58"/>
      <c r="K76" s="58"/>
      <c r="L76" s="58"/>
      <c r="M76" s="58"/>
      <c r="N76" s="58"/>
      <c r="O76" s="58"/>
      <c r="P76" s="58"/>
    </row>
    <row r="77" customFormat="false" ht="31.5" hidden="false" customHeight="true" outlineLevel="0" collapsed="false">
      <c r="A77" s="50" t="s">
        <v>0</v>
      </c>
      <c r="B77" s="50" t="s">
        <v>1</v>
      </c>
      <c r="C77" s="50" t="s">
        <v>335</v>
      </c>
      <c r="D77" s="50" t="s">
        <v>336</v>
      </c>
      <c r="E77" s="50" t="s">
        <v>337</v>
      </c>
      <c r="F77" s="50" t="s">
        <v>338</v>
      </c>
      <c r="G77" s="50" t="s">
        <v>339</v>
      </c>
    </row>
    <row r="78" customFormat="false" ht="108.95" hidden="false" customHeight="false" outlineLevel="0" collapsed="false">
      <c r="A78" s="51" t="s">
        <v>7</v>
      </c>
      <c r="B78" s="41" t="s">
        <v>8</v>
      </c>
      <c r="C78" s="51" t="s">
        <v>332</v>
      </c>
      <c r="D78" s="52" t="n">
        <v>9.35454545454545</v>
      </c>
      <c r="E78" s="52" t="n">
        <v>16.93275</v>
      </c>
      <c r="F78" s="53" t="n">
        <v>7.57820454545455</v>
      </c>
      <c r="G78" s="54" t="n">
        <v>0.447547181967167</v>
      </c>
    </row>
    <row r="79" customFormat="false" ht="68.65" hidden="false" customHeight="false" outlineLevel="0" collapsed="false">
      <c r="A79" s="51" t="s">
        <v>141</v>
      </c>
      <c r="B79" s="41" t="s">
        <v>142</v>
      </c>
      <c r="C79" s="51" t="s">
        <v>332</v>
      </c>
      <c r="D79" s="52" t="n">
        <v>21.2</v>
      </c>
      <c r="E79" s="52" t="n">
        <v>33.8555</v>
      </c>
      <c r="F79" s="53" t="n">
        <v>12.6555</v>
      </c>
      <c r="G79" s="54" t="n">
        <v>0.373809277665372</v>
      </c>
    </row>
    <row r="80" customFormat="false" ht="95.5" hidden="false" customHeight="false" outlineLevel="0" collapsed="false">
      <c r="A80" s="51" t="s">
        <v>159</v>
      </c>
      <c r="B80" s="41" t="s">
        <v>160</v>
      </c>
      <c r="C80" s="51" t="s">
        <v>332</v>
      </c>
      <c r="D80" s="52" t="n">
        <v>9.35454545454545</v>
      </c>
      <c r="E80" s="52" t="n">
        <v>12.03275</v>
      </c>
      <c r="F80" s="53" t="n">
        <v>2.67820454545455</v>
      </c>
      <c r="G80" s="54" t="n">
        <v>0.222576264399622</v>
      </c>
    </row>
    <row r="81" customFormat="false" ht="108.95" hidden="false" customHeight="false" outlineLevel="0" collapsed="false">
      <c r="A81" s="51" t="s">
        <v>171</v>
      </c>
      <c r="B81" s="41" t="s">
        <v>172</v>
      </c>
      <c r="C81" s="51" t="s">
        <v>332</v>
      </c>
      <c r="D81" s="52" t="n">
        <v>9.35454545454545</v>
      </c>
      <c r="E81" s="52" t="n">
        <v>12.03275</v>
      </c>
      <c r="F81" s="53" t="n">
        <v>2.67820454545455</v>
      </c>
      <c r="G81" s="54" t="n">
        <v>0.222576264399622</v>
      </c>
    </row>
    <row r="82" customFormat="false" ht="82.05" hidden="false" customHeight="false" outlineLevel="0" collapsed="false">
      <c r="A82" s="51" t="s">
        <v>79</v>
      </c>
      <c r="B82" s="41" t="s">
        <v>80</v>
      </c>
      <c r="C82" s="51" t="s">
        <v>330</v>
      </c>
      <c r="D82" s="52" t="n">
        <v>28.3545454545455</v>
      </c>
      <c r="E82" s="52" t="n">
        <v>33.8555</v>
      </c>
      <c r="F82" s="53" t="n">
        <v>5.5009545454545</v>
      </c>
      <c r="G82" s="54" t="n">
        <v>0.162483334922081</v>
      </c>
    </row>
    <row r="83" customFormat="false" ht="68.65" hidden="false" customHeight="false" outlineLevel="0" collapsed="false">
      <c r="A83" s="51" t="s">
        <v>131</v>
      </c>
      <c r="B83" s="41" t="s">
        <v>132</v>
      </c>
      <c r="C83" s="51" t="s">
        <v>330</v>
      </c>
      <c r="D83" s="52" t="n">
        <v>28.3545454545455</v>
      </c>
      <c r="E83" s="52" t="n">
        <v>30.1455</v>
      </c>
      <c r="F83" s="53" t="n">
        <v>1.7909545454545</v>
      </c>
      <c r="G83" s="54" t="n">
        <v>0.0594103446768007</v>
      </c>
    </row>
    <row r="84" customFormat="false" ht="82.05" hidden="false" customHeight="false" outlineLevel="0" collapsed="false">
      <c r="A84" s="51" t="s">
        <v>167</v>
      </c>
      <c r="B84" s="41" t="s">
        <v>168</v>
      </c>
      <c r="C84" s="51" t="s">
        <v>328</v>
      </c>
      <c r="D84" s="52" t="n">
        <v>32.5</v>
      </c>
      <c r="E84" s="52" t="n">
        <v>33.8555</v>
      </c>
      <c r="F84" s="53" t="n">
        <v>1.3555</v>
      </c>
      <c r="G84" s="54" t="n">
        <v>0.0400378077417258</v>
      </c>
    </row>
  </sheetData>
  <mergeCells count="4">
    <mergeCell ref="A1:P1"/>
    <mergeCell ref="A2:P2"/>
    <mergeCell ref="A66:P66"/>
    <mergeCell ref="A76:P7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2026-10-15T00:12:12Z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