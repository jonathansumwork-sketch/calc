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Confirmed)" sheetId="7" state="visible" r:id="rId9"/>
    <sheet name="Market Comparison (Assumed)"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<sst xmlns="http://schemas.openxmlformats.org/spreadsheetml/2006/main" count="1065" uniqueCount="348">
  <si>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</si>
  <si>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</si>
  <si>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</si>
  <si>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</si>
  <si>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</si>
  <si>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</si>
  <si>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</si>
  <si>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</si>
  <si>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</si>
  <si>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</si>
  <si>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</si>
  <si>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</si>
  <si>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</si>
  <si>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</si>
  <si>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</si>
  <si>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</si>
  <si>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</si>
  <si>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</si>
  <si>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</si>
  <si>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</si>
  <si>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</si>
  <si>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</si>
  <si>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</si>
  <si>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</si>
  <si>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</si>
  <si>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</si>
  <si>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</si>
  <si>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</si>
  <si>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</si>
  <si>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</si>
  <si>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</si>
  <si>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</si>
  <si>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</si>
  <si>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</si>
  <si>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</si>
  <si>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</si>
  <si>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</si>
  <si>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</si>
  <si>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</si>
  <si>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</si>
  <si>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</si>
  <si>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</si>
  <si>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</si>
  <si>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</si>
  <si>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</si>
  <si>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</si>
  <si>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</si>
  <si>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</si>
  <si>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</si>
  <si>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</si>
  <si>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</si>
  <si>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</si>
  <si>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</si>
  <si>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</si>
  <si>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</si>
  <si>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</si>
  <si>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</si>
  <si>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</si>
  <si>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</si>
  <si>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</si>
  <si>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</si>
  <si>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</si>
  <si>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</si>
  <si>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</si>
  <si>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</si>
  <si>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</si>
  <si>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</si>
  <si>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</si>
  <si>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</si>
  <si>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</si>
  <si>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</si>
  <si>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</si>
  <si>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</si>
  <si>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</si>
  <si>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</si>
  <si>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</si>
  <si>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</si>
  <si>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</si>
  <si>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</si>
  <si>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</si>
  <si>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</si>
  <si>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</si>
  <si>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</si>
  <si>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</si>
  <si>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</si>
  <si>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</si>
  <si>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</si>
  <si>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</si>
  <si>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</si>
  <si>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</si>
  <si>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</si>
  <si>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</si>
  <si>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</si>
  <si>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</si>
  <si>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</si>
  <si>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</si>
  <si>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</si>
  <si>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</si>
  <si>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</si>
  <si>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</si>
  <si>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</si>
  <si>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</si>
  <si>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</si>
  <si>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</si>
  <si>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</si>
  <si>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</si>
  <si>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</si>
  <si>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</si>
  <si>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</si>
  <si>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</si>
  <si>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</si>
  <si>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</si>
  <si>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</si>
  <si>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</si>
  <si>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</si>
  <si>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</si>
  <si>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</si>
  <si>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</si>
  <si>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</si>
  <si>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</si>
  <si>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</si>
  <si>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</si>
  <si>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</si>
  <si>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</si>
  <si>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</si>
  <si>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</si>
  <si>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</si>
  <si>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</si>
  <si>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</si>
  <si>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</si>
  <si>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</si>
  <si>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</si>
  <si>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</si>
  <si>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</si>
  <si>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</si>
  <si>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</si>
  <si>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</si>
  <si>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</si>
  <si>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</si>
  <si>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</si>
  <si>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</si>
  <si>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</si>
  <si>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</si>
  <si>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</si>
  <si>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</si>
  <si>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</si>
  <si>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</si>
  <si>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</si>
  <si>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</si>
  <si>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</si>
  <si>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</si>
  <si>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</si>
  <si>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</si>
  <si>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</si>
  <si>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</si>
  <si>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</si>
  <si>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</si>
  <si>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</si>
  <si>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</si>
  <si>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</si>
  <si>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</si>
  <si>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</si>
  <si>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</si>
  <si>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</si>
  <si>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</si>
  <si>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</si>
  <si>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</si>
  <si>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</si>
  <si>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</si>
  <si>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</si>
  <si>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</si>
  <si>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</si>
  <si>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</si>
  <si>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</si>
  <si>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</si>
  <si>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</si>
  <si>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</si>
  <si>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</si>
  <si>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</si>
  <si>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</si>
  <si>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</si>
  <si>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</si>
  <si>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</si>
  <si>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</si>
  <si>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</si>
  <si>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</si>
  <si>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</si>
  <si>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</si>
  <si>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</si>
  <si>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</si>
  <si>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</si>
  <si>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</si>
  <si>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</si>
  <si>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</si>
  <si>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</si>
  <si>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</si>
  <si>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</si>
  <si>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</si>
  <si>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</si>
  <si>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</si>
  <si>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</si>
  <si>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</si>
  <si>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</si>
  <si>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</si>
  <si>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</si>
  <si>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</si>
  <si>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</si>
  <si>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</si>
  <si>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</si>
  <si>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</si>
  <si>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</si>
  <si>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</si>
  <si>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</si>
  <si>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</si>
  <si>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</si>
  <si>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</si>
  <si>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</si>
  <si>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Our Quoted Price - 1220 Stock
(ex GST)</t>
  </si>
  <si>
    <t xml:space="preserve">Our Quoted Price - 1220 Stock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</si>
  <si>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</si>
  <si>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</si>
  <si>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</si>
  <si>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</si>
  <si>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</si>
  <si>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</si>
  <si>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</si>
  <si>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</si>
  <si>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</si>
  <si>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</si>
  <si>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</si>
  <si>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</si>
  <si>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</si>
  <si>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Retailers With a CONFIRMED GST Basis</t>
  </si>
  <si>
    <t xml:space="preserve">Methodology: this sheet only includes retailers whose product pages explicitly state (or unambiguously imply) whether their displayed price is inc or ex GST, so every figure below can be safely converted to the opposite basis and compared like-for-like. HiVis (hivis.com) states its prices EX GST. Jaybro and eSafety Supplies state their prices INC GST with the ex-GST figure also shown on-page. All Trades Group marks its prices "Tax included", treated here as INC GST. Our Quoted Price, the 1220-Stock quoted price and the RSEA Website Price are pulled by formula from the 'RSEA vs Quoted Comparison' tab. Competitor figures were captured live from each retailer's own website on 14 October 2026 and are hardcoded (not formulas) since they come from outside this workbook.</t>
  </si>
  <si>
    <t xml:space="preserve">Where a retailer did not carry the exact size/material of our line item, the closest equivalent sign TYPE was used instead and the mismatch is flagged in the Notes column — treat those rows as directionally indicative, not an exact apples-to-apples match. Blank cells mean that retailer does not appear to carry a comparable product. See the 'Market Comparison (Assumed)' sheet for the five retailers whose GST basis is not stated — deliberately kept separate so confirmed and assumed figures are never mixed. Sources: hivis.com/collections/signage · jaybro.com.au/road-traffic/permanent-signs/regulatory-signs/ · alltradesgroup.net.au/collections/site-safety-signage-roads-traffic-signs · esafetysupplies.com.au/collections/traffic-road-safety-sign</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</si>
  <si>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</si>
  <si>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</si>
  <si>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</si>
  <si>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</si>
  <si>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</si>
  <si>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</si>
  <si>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</si>
  <si>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</si>
  <si>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Cheapest of RSEA +
4 Competitors (ex GST)</t>
  </si>
  <si>
    <t xml:space="preserve">Our Quote (1200 Stock) vs Cheapest
(ex GST; negative = we're cheaper)</t>
  </si>
  <si>
    <t xml:space="preserve">Our Quote (1220 Stock) vs Cheapest
(ex GST; negative = we're cheaper)</t>
  </si>
  <si>
    <t xml:space="preserve">Notes / Match Basis</t>
  </si>
  <si>
    <t xml:space="preserve">All Trades Group: 300x225 poly or 600x450; no exact 450x300 | eSafety Supplies: 600x450 also stocked</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</si>
  <si>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</si>
  <si>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t>
  </si>
  <si>
    <t xml:space="preserve">HiVis: 750/900/1200mm | Jaybro: 750x750 exact | All Trades Group: 750mm triangular | eSafety Supplies: 750mm triangle</t>
  </si>
  <si>
    <t xml:space="preserve">HiVis: 300x400/450x600/600x800 | Jaybro: 450x600 exact | All Trades Group: 600x450mm | eSafety Supplies: 450x600 exact, sale price (was 86.65)</t>
  </si>
  <si>
    <t xml:space="preserve">HiVis: 600/750/900mm | Jaybro: 600mm exact | All Trades Group: 600x600 or 750x750 (W6-1, size differs from 600mm round) | eSafety Supplies: 600mm exact</t>
  </si>
  <si>
    <t xml:space="preserve">HiVis: 10km/h, 450x600/600x800/900x1200 | Jaybro: 10km/h, 450x600 exact | All Trades Group: 10km/h, 300x225 or 600x450 | eSafety Supplies: 10km/h, 450x600 exact</t>
  </si>
  <si>
    <t xml:space="preserve">HiVis: 450x750, size differs from 450x450 | Jaybro: 450x450 exact | All Trades Group: 600x450, size differs | eSafety Supplies: 450x450 exact</t>
  </si>
  <si>
    <t xml:space="preserve">Generic site/warehouse danger sign - no comparable product found at any of the 9 researched retailers (out of scope: these retailers focus on road/traffic signage).</t>
  </si>
  <si>
    <t xml:space="preserve">No metal-sign equivalent found at the 9 researched retailers for this specific size/material. See RSEA 685265 (Poly, Confined Space Entry By Permit) below for comparable market data.</t>
  </si>
  <si>
    <t xml:space="preserve">Generic site/warehouse safety sign - no comparable product found at any of the 9 researched retailers.</t>
  </si>
  <si>
    <t xml:space="preserve">eSafety Supplies: 5km/h, 450x600 (combined with item 16), not 600x400</t>
  </si>
  <si>
    <t xml:space="preserve">HiVis: 10km/h SKU reused, size differs (600x800 etc not 600x400) | All Trades Group: 10km/h SKU reused, size differs | eSafety Supplies: 10km/h, 450x600 (combined with item 5), not 600x400</t>
  </si>
  <si>
    <t xml:space="preserve">HiVis: 225x450, size differs from 450x300 | Jaybro: 225x450, size differs | All Trades Group: 300x225, size differs | eSafety Supplies: 225x450, closest size</t>
  </si>
  <si>
    <t xml:space="preserve">HiVis: 225x450, much smaller than 600x450 target | Jaybro: 225x450, size differs | All Trades Group: 225x450, size differs | eSafety Supplies: 300x450 shown / 600x450 also stocked</t>
  </si>
  <si>
    <t xml:space="preserve">Jaybro: 225x450, size differs from 300x450 | All Trades Group: 'No Stopping' dual arrow closest wording, 225x450 | eSafety Supplies: 300x450 exact</t>
  </si>
  <si>
    <t xml:space="preserve">HiVis: 225x450, close to 450x300 | Jaybro: 225x450, close | All Trades Group: 225x450, same SKU as 686503 | eSafety Supplies: 300x450, close</t>
  </si>
  <si>
    <t xml:space="preserve">Jaybro: Found differently-worded 'No Entry Authorised Prohibition' 600x450 $39.58inc/$35.98ex - size differs, see notes | All Trades Group: 450x300 exact size option available | eSafety Supplies: 300x450, 600x450 also stocked</t>
  </si>
  <si>
    <t xml:space="preserve">869339</t>
  </si>
  <si>
    <t xml:space="preserve">Jaybro: Not found | All Trades Group: 450x300 exact size option | eSafety Supplies: 300x450, 3mm ACP</t>
  </si>
  <si>
    <t xml:space="preserve">HiVis: Not stocked (no 5km/h plate) | Jaybro: Not found separately | All Trades Group: Generic 5km/h reused, CL1 reflective not confirmed | eSafety Supplies: 5km/h, confirmed '1.6mm aluminium Class1 reflective' - good match</t>
  </si>
  <si>
    <t xml:space="preserve">HiVis: 20km/h, SKU reused across speeds | Jaybro: 20km/h, 450x600 exact | All Trades Group: 20km/h, 600x450 dedicated item | eSafety Supplies: 20km/h, 450x600 dedicated item</t>
  </si>
  <si>
    <t xml:space="preserve">HiVis: 1800x600, Boxed Edge STEEL not corflute - material/size differ | Jaybro: Not found (only POA corflute detour sign on site) | All Trades Group: Only $199.50 swing-stand version, not flat panel | eSafety Supplies: Not found</t>
  </si>
  <si>
    <t xml:space="preserve">eSafety Supplies: Not found</t>
  </si>
  <si>
    <t xml:space="preserve">HiVis: 1200x900, Boxed Edge STEEL 'Workmen Ahead Digger Man' not corflute | All Trades Group: Only swing-stand version exists</t>
  </si>
  <si>
    <t xml:space="preserve">HiVis: 900x1200, Boxed Edge STEEL '40,60km/h Roadwork' not corflute</t>
  </si>
  <si>
    <t xml:space="preserve">HiVis: 900x1200, Boxed Edge STEEL, same SKU as 60km item</t>
  </si>
  <si>
    <t xml:space="preserve">HiVis: From; 900x600/1200x900, Boxed Edge STEEL not corflute</t>
  </si>
  <si>
    <t xml:space="preserve">HiVis: From; 1800x600/2400x900, Boxed Edge STEEL not corflute | All Trades Group: 600x600, confirmed 6mm corflute, size differs from 1200x300</t>
  </si>
  <si>
    <t xml:space="preserve">No comparable product found at any of the 9 researched retailers - likely generic site-safety signage outside their core road/traffic-sign range.</t>
  </si>
  <si>
    <t xml:space="preserve">HiVis: 1800x300, Boxed Edge STEEL not corflute</t>
  </si>
  <si>
    <t xml:space="preserve">HiVis: From; 1200x300/1800x450, material likely alu/boxed-edge not corflute | All Trades Group: 1200x300 Class1, 'boxed edge' material not confirmed as corflute</t>
  </si>
  <si>
    <t xml:space="preserve">HiVis: From; same as left-arrow SKU | All Trades Group: same note as detour left</t>
  </si>
  <si>
    <t xml:space="preserve">HiVis: 1200x300, 3mm aluminium Class400, not corflute but same size | eSafety Supplies: 1200x300, steel 3M Class1, NOT corflute</t>
  </si>
  <si>
    <t xml:space="preserve">Jaybro: 300x225 exact | All Trades Group: two fetches disagreed (42.50 vs 28.30); 300x225/450x300/600x450 avail | eSafety Supplies: 300x450, closest size</t>
  </si>
  <si>
    <t xml:space="preserve">Jaybro: 600x450 exact | All Trades Group: 600x450 exact | eSafety Supplies: 600x450 exact</t>
  </si>
  <si>
    <t xml:space="preserve">Jaybro: wording lacks 'By Permit'</t>
  </si>
  <si>
    <t xml:space="preserve">Jaybro: 225x300, size differs from 450x300 | All Trades Group: 450x300 exact size | eSafety Supplies: 300x450, size differs slightly, polypropylene</t>
  </si>
  <si>
    <t xml:space="preserve">Jaybro: 150x150, size differs from 225x225 | All Trades Group: 150x225, size differs | eSafety Supplies: 300x450, closest, '600x450 also stocked'</t>
  </si>
  <si>
    <t xml:space="preserve">All Trades Group: 900x600 corflute, size differs (larger)</t>
  </si>
  <si>
    <t xml:space="preserve">Items compared (60 total line items)</t>
  </si>
  <si>
    <t xml:space="preserve">Total price points captured across these 4 retailers (ex GST columns)</t>
  </si>
  <si>
    <t xml:space="preserve">Items where our 1200-Stock quote is cheaper than the cheapest of RSEA/competitors</t>
  </si>
  <si>
    <t xml:space="preserve">Items where RSEA or a competitor undercuts our 1200-Stock quote</t>
  </si>
  <si>
    <t xml:space="preserve">Average of (our 1200-Stock quote ÷ cheapest − 1), ex GST — negative means our quote is cheaper</t>
  </si>
  <si>
    <t xml:space="preserve">Median of (our 1200-Stock quote ÷ cheapest − 1), ex GST — negative means our quote is cheaper</t>
  </si>
  <si>
    <t xml:space="preserve">Items where our 1220-Stock quote is cheaper than the cheapest of RSEA/competitors</t>
  </si>
  <si>
    <t xml:space="preserve">Items where RSEA or a competitor undercuts our 1220-Stock quote</t>
  </si>
  <si>
    <t xml:space="preserve">Average of (our 1220-Stock quote ÷ cheapest − 1), ex GST — negative means our quote is cheaper</t>
  </si>
  <si>
    <t xml:space="preserve">Median of (our 1220-Stock quote ÷ cheapest − 1), ex GST — negative means our quote is cheaper</t>
  </si>
  <si>
    <t xml:space="preserve">Market-Wide Price Comparison — Retailers With an ASSUMED (Unconfirmed) GST Basis</t>
  </si>
  <si>
    <t xml:space="preserve">Methodology: none of these five retailers state anywhere on their product pages, cart, or FAQ whether displayed prices are inc or ex GST (checked multiple product pages and, where available, each site's Shipping/FAQ pages). To give this sheet the SAME column structure as 'Market Comparison (Confirmed)', every price captured here is ASSUMED to be INC GST — the standard default for Australian consumer-facing retail — and the ex-GST figure is calculated as (price ÷ 1.1). This is an assumption, not a confirmed fact: every price and every column on this sheet is marked ASSUMED, and all totals/percentages below inherit that uncertainty.</t>
  </si>
  <si>
    <t xml:space="preserve">Do not treat this sheet's figures with the same confidence as the Confirmed sheet — verify GST treatment at checkout on the retailer's own site before using these numbers commercially. Seton (seton.net.au) additionally blocked direct automated access (403/bot protection), so its figures were recovered only from search-engine cache and are further flagged LOW CONFIDENCE in the Notes column — several Seton rows showed conflicting cached prices. Sources: safetysigns.com.au/collections/road-car-park-signs · safetyxpress.com.au/traffic-signs/ · trafficcontrolproducts.com.au/collections/road-signs-traffic · nationalsafetysigns.com.au/product-category/road-and-traffic-signs/road-signs/ · seton.net.au. Captured 14 October 2026.</t>
  </si>
  <si>
    <t xml:space="preserve">Safety Signs Australia
(inc GST, ASSUMED)</t>
  </si>
  <si>
    <t xml:space="preserve">Safety Signs Australia
(ex GST, calc., ASSUMED)</t>
  </si>
  <si>
    <t xml:space="preserve">SafetyXpress
(inc GST, ASSUMED)</t>
  </si>
  <si>
    <t xml:space="preserve">SafetyXpress
(ex GST, calc., ASSUMED)</t>
  </si>
  <si>
    <t xml:space="preserve">Traffic Control Products
(inc GST, ASSUMED)</t>
  </si>
  <si>
    <t xml:space="preserve">Traffic Control Products
(ex GST, calc., ASSUMED)</t>
  </si>
  <si>
    <t xml:space="preserve">National Safety Signs
(inc GST, ASSUMED)</t>
  </si>
  <si>
    <t xml:space="preserve">National Safety Signs
(ex GST, calc., ASSUMED)</t>
  </si>
  <si>
    <t xml:space="preserve">Seton
(inc GST, ASSUMED)</t>
  </si>
  <si>
    <t xml:space="preserve">Seton
(ex GST, calc., ASSUMED)</t>
  </si>
  <si>
    <t xml:space="preserve">Cheapest of RSEA +
5 Competitors (ex GST)</t>
  </si>
  <si>
    <t xml:space="preserve">Safety Signs Australia: 450x600, size differs | SafetyXpress: 3 sizes incl 300x450 | National Safety Signs: From, S2870 | Seton: LOW conf; 'Video Surveillance In Use', 300-450mm range</t>
  </si>
  <si>
    <t xml:space="preserve">Safety Signs Australia: 600x600 Class1 refl alu | SafetyXpress: range 84.67-127.50, midpoint used | Traffic Control Products: 600x600 'Hexagonal' CL1X (alt 750x750=$75) | National Safety Signs: From, 600x600 or 750x750 | Seton: LOW conf - conflicting cache (also 183.95/169.50)</t>
  </si>
  <si>
    <t xml:space="preserve">Safety Signs Australia: 750mm | SafetyXpress: 750mm | Traffic Control Products: 750mm | National Safety Signs: From, 750 or 900mm | Seton: LOW conf - 6-pack bulk tier price, single-unit unconfirmed</t>
  </si>
  <si>
    <t xml:space="preserve">Safety Signs Australia: 450x600 | SafetyXpress: 450x600 | Traffic Control Products: 450x600 | National Safety Signs: From, 400x300/600x450/800x600 | Seton: MEDIUM conf, 450x600</t>
  </si>
  <si>
    <t xml:space="preserve">Safety Signs Australia: 600mm dia | SafetyXpress: 600mm dia | Traffic Control Products: 600mm dia | National Safety Signs: From, 600 or 750mm round | Seton: MEDIUM conf, 600mm dia</t>
  </si>
  <si>
    <t xml:space="preserve">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t>
  </si>
  <si>
    <t xml:space="preserve">Safety Signs Australia: 450x450 exact | SafetyXpress: range 72.28-80.84, 450x450 exact | Traffic Control Products: 450x750, size differs | National Safety Signs: From, 450x450 avail | Seton: MEDIUM conf, 750x750 (not 450x450)</t>
  </si>
  <si>
    <t xml:space="preserve">Safety Signs Australia: 5km/h, 450x600, not 600x400 | SafetyXpress: 5km/h plain metal, 450x600 | Traffic Control Products: Not stocked | National Safety Signs: From; shared custom-text speed sign | Seton: Not confirmed</t>
  </si>
  <si>
    <t xml:space="preserve">Safety Signs Australia: 10km/h SKU reused, size differs | SafetyXpress: 10km/h, size differs | Traffic Control Products: Not stocked | National Safety Signs: From; shared custom-text speed sign</t>
  </si>
  <si>
    <t xml:space="preserve">Safety Signs Australia: 300x450, size differs | SafetyXpress: 300x450, size differs | Traffic Control Products: Not found | National Safety Signs: From | Seton: From, inc GST, 300x450</t>
  </si>
  <si>
    <t xml:space="preserve">Safety Signs Australia: Not found - only 300x450 exists | SafetyXpress: 600x450 variant, exact size | Traffic Control Products: Only directional-arrow variants stocked | National Safety Signs: From, generic RD124</t>
  </si>
  <si>
    <t xml:space="preserve">Safety Signs Australia: 300x450 exact | SafetyXpress: 300x450 exact (upper of range) | Traffic Control Products: Not found | National Safety Signs: From, 'Bi-Directional' closest to double arrow | Seton: LOW conf - promo pricing, 300x450 exact</t>
  </si>
  <si>
    <t xml:space="preserve">Safety Signs Australia: 300x450, close | SafetyXpress: 300x450, close | Traffic Control Products: Not found | National Safety Signs: From, shared with 686503</t>
  </si>
  <si>
    <t xml:space="preserve">Safety Signs Australia: 450x600, size differs | SafetyXpress: range 33.19-35.73, no exact 450x300 | Traffic Control Products: 450x300 exact, poly | National Safety Signs: From, R2543 'Restricted Area Do Not Enter'</t>
  </si>
  <si>
    <t xml:space="preserve">Safety Signs Australia: 300x450, close | SafetyXpress: 300x450, close | Traffic Control Products: Not found | National Safety Signs: From | Seton: From, inc GST, 300x450</t>
  </si>
  <si>
    <t xml:space="preserve">Safety Signs Australia: Generic 5km/h reused, size/spec differs | SafetyXpress: CL1/400 reflective alu, 450x600 - good match | Traffic Control Products: Not stocked | National Safety Signs: From; shared custom-text speed sign</t>
  </si>
  <si>
    <t xml:space="preserve">Safety Signs Australia: 20km/h, 450x600 | SafetyXpress: CL1/400 reflective, range 98.07-130.08, midpoint | Traffic Control Products: Not stocked | National Safety Signs: From; shared custom-text speed sign</t>
  </si>
  <si>
    <t xml:space="preserve">Safety Signs Australia: 300x1200, 6mm Corflute Class1 - exact match | SafetyXpress: 1200x300 corflute - good match | Traffic Control Products: 1200x300 corflute, SOLD OUT at capture | National Safety Signs: Not found</t>
  </si>
  <si>
    <t xml:space="preserve">Safety Signs Australia: 600x600, 6mm Corflute Class1 - exact match (confirms Jess's size assumption) | SafetyXpress: range 30.24-64.03 incl 600x600 | Traffic Control Products: Not found separately | National Safety Signs: From, was 70.65, 600x600 MM981, yellow colour not confirmed</t>
  </si>
  <si>
    <t xml:space="preserve">Safety Signs Australia: 600x600, 'Workmen' closest wording, 6mm Corflute | SafetyXpress: range 58.84-114.86 incl 600x600 | Traffic Control Products: 600x600, 'Digger Workman' corflute MMS - good match | National Safety Signs: Not found (closest is different boxed-edge sign)</t>
  </si>
  <si>
    <t xml:space="preserve">Safety Signs Australia: 600x600, '60 KM' 6mm Corflute - exact match | SafetyXpress: 600x600 corflute - exact match | Traffic Control Products: Not found (TCP only has 40/END40, no plain 60) | National Safety Signs: From, was 70.65, MM916 '60 kph' 600x600</t>
  </si>
  <si>
    <t xml:space="preserve">Safety Signs Australia: 600x600, '40 KM' 6mm Corflute - exact match | SafetyXpress: 600x600 corflute - exact match | Traffic Control Products: 600x600, '40 (Speed)' corflute MMS - exact match | National Safety Signs: From, was 70.65, MM915 '40 kph' 600x600</t>
  </si>
  <si>
    <t xml:space="preserve">Safety Signs Australia: 300x1200, 6mm Corflute - exact size &amp; material | SafetyXpress: range 58.84-59.26, 600x600 or 1200x300 corflute | Traffic Control Products: 600x600, 'PTS' corflute MMS, size differs from 1200x300 | National Safety Signs: From, was 70.65, MM914, 600x600, size differs</t>
  </si>
  <si>
    <t xml:space="preserve">Safety Signs Australia: 300x1200, 6mm Corflute - exact match | SafetyXpress: range 57.75-90.17 incl 1200x300 | Traffic Control Products: 1200x300, corflute MMS reflective - exact match | National Safety Signs: From, was 70.65, MM920, 600x600, size differs</t>
  </si>
  <si>
    <t xml:space="preserve">Safety Signs Australia: 300x1200, 6mm Corflute - exact match | SafetyXpress: 1200x300 corflute - exact match | Traffic Control Products: 1200x300, 'White on Blue' corflute MMS - exact match | National Safety Signs: Not found</t>
  </si>
  <si>
    <t xml:space="preserve">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t>
  </si>
  <si>
    <t xml:space="preserve">Safety Signs Australia: 300x1200, 6mm Corflute - exact match | SafetyXpress: 1200x300 corflute - exact match | Traffic Control Products: Only alu Boxed Edge ~$109.65, not corflute | National Safety Signs: INC GST; T5-1BL boxed-edge ALU not corflute, ~900x600 size differs</t>
  </si>
  <si>
    <t xml:space="preserve">Safety Signs Australia: 300x1200, 6mm Corflute - exact match | SafetyXpress: 1200x300 corflute - exact match | Traffic Control Products: Only alu Boxed Edge ~$109.65, not corflute | National Safety Signs: INC GST; T5-1BR boxed-edge ALU not corflute</t>
  </si>
  <si>
    <t xml:space="preserve">Safety Signs Australia: 300x1200, 6mm Corflute - exact match | SafetyXpress: 1200x300 MMS board, corflute | Traffic Control Products: 1200x300, Boxed Edge, NOT corflute | National Safety Signs: From, was 70.65, MM905 right variant, 600x600, size differs</t>
  </si>
  <si>
    <t xml:space="preserve">Safety Signs Australia: 300x1200, 6mm Corflute - exact match | SafetyXpress: 1200x300 MMS board, corflute | Traffic Control Products: 1200x300 corflute, SOLD OUT at capture | National Safety Signs: From, was 70.65, MM905 left variant, 600x600, size differs</t>
  </si>
  <si>
    <t xml:space="preserve">Safety Signs Australia: Not found - no exact wording/size/material match | SafetyXpress: 225x300, close | Traffic Control Products: Not found | National Safety Signs: From, M1890 | Seton: LOW conf, bulk tier range 31.16-34.28, 300x225 poly</t>
  </si>
  <si>
    <t xml:space="preserve">Safety Signs Australia: 18.00(corflute)/33.50(metal) avg, 450x600 size differs slightly | SafetyXpress: Not found - only differently-worded 'Construction Site Office' sign | Traffic Control Products: 600x450 exact, poly | National Safety Signs: Not found (only differently-worded 'All Vehicles Report')</t>
  </si>
  <si>
    <t xml:space="preserve">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t>
  </si>
  <si>
    <t xml:space="preserve">Safety Signs Australia: 300x450 poly, size differs slightly | SafetyXpress: range 25.15-44.87 incl 300x450 | Traffic Control Products: 19.50/26.50 two sizes (300x225/450x600), no exact 450x300 | National Safety Signs: From, E1217</t>
  </si>
  <si>
    <t xml:space="preserve">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t>
  </si>
  <si>
    <t xml:space="preserve">Safety Signs Australia: 450x600 poly EXACT | SafetyXpress: 450x600 metal EXACT size, material differs | Traffic Control Products: 600x450, 'Danger Crane Working Overhead' - different wording, poly | National Safety Signs: From, D10279 | Seton: LOW conf, bulk tier range 33.21-36.91, 600x450 Flute</t>
  </si>
  <si>
    <t xml:space="preserve">Total price points captured across these 5 retailers (ex GST columns)</t>
  </si>
</sst>
</file>

<file path=xl/styles.xml><?xml version="1.0" encoding="utf-8"?>
<styleSheet xmlns="http://schemas.openxmlformats.org/spreadsheetml/2006/main">
  <numFmts count="6">
    <numFmt numFmtId="164" formatCode="General"/>
    <numFmt numFmtId="165" formatCode="\$#,##0.00"/>
    <numFmt numFmtId="166" formatCode="\$#,##0.00_);[RED]&quot;($&quot;#,##0.00\)"/>
    <numFmt numFmtId="167" formatCode="0.0000"/>
    <numFmt numFmtId="168" formatCode="0.0%"/>
    <numFmt numFmtId="169" formatCode="0"/>
  </numFmts>
  <fonts count="18">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b val="true"/>
      <sz val="11"/>
      <color rgb="FFFFFFFF"/>
      <name val="Calibri"/>
      <family val="0"/>
      <charset val="1"/>
    </font>
    <font>
      <sz val="11"/>
      <color rgb="FF375623"/>
      <name val="Calibri"/>
      <family val="2"/>
      <charset val="1"/>
    </font>
    <font>
      <b val="true"/>
      <sz val="12"/>
      <color rgb="FF17365D"/>
      <name val="Calibri"/>
      <family val="2"/>
      <charset val="1"/>
    </font>
    <font>
      <b val="true"/>
      <sz val="11"/>
      <name val="Calibri"/>
      <family val="2"/>
      <charset val="1"/>
    </font>
    <font>
      <b val="true"/>
      <sz val="14"/>
      <color rgb="FF17365D"/>
      <name val="Calibri"/>
      <family val="0"/>
      <charset val="1"/>
    </font>
    <font>
      <sz val="10"/>
      <color rgb="FF595959"/>
      <name val="Calibri"/>
      <family val="0"/>
      <charset val="1"/>
    </font>
    <font>
      <b val="true"/>
      <sz val="12"/>
      <color rgb="FF17365D"/>
      <name val="Calibri"/>
      <family val="0"/>
      <charset val="1"/>
    </font>
    <font>
      <b val="true"/>
      <sz val="11"/>
      <name val="Calibri"/>
      <family val="0"/>
      <charset val="1"/>
    </font>
  </fonts>
  <fills count="7">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FCC"/>
      </patternFill>
    </fill>
    <fill>
      <patternFill patternType="solid">
        <fgColor rgb="FFE2EFDA"/>
        <bgColor rgb="FFFFFFCC"/>
      </patternFill>
    </fill>
  </fills>
  <borders count="4">
    <border diagonalUp="false" diagonalDown="false">
      <left/>
      <right/>
      <top/>
      <bottom/>
      <diagonal/>
    </border>
    <border diagonalUp="false" diagonalDown="false">
      <left style="thin">
        <color theme="4" tint="0.3998"/>
      </left>
      <right/>
      <top style="thin">
        <color theme="4" tint="0.3998"/>
      </top>
      <bottom style="thin">
        <color theme="4" tint="0.3998"/>
      </bottom>
      <diagonal/>
    </border>
    <border diagonalUp="false" diagonalDown="false">
      <left/>
      <right/>
      <top style="thin">
        <color theme="4" tint="0.3998"/>
      </top>
      <bottom style="thin">
        <color theme="4" tint="0.3998"/>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10" fillId="2" borderId="0" xfId="0" applyFont="true" applyBorder="fals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8" fontId="0" fillId="0" borderId="3" xfId="0" applyFont="false" applyBorder="true" applyAlignment="true" applyProtection="false">
      <alignment horizontal="center" vertical="center" textRotation="0" wrapText="true" indent="0" shrinkToFit="false"/>
      <protection locked="true" hidden="false"/>
    </xf>
    <xf numFmtId="164" fontId="11" fillId="6" borderId="3" xfId="0" applyFont="true" applyBorder="true" applyAlignment="true" applyProtection="false">
      <alignment horizontal="center" vertical="center" textRotation="0" wrapText="true" indent="0" shrinkToFit="false"/>
      <protection locked="true" hidden="false"/>
    </xf>
    <xf numFmtId="164" fontId="11" fillId="6" borderId="3" xfId="0" applyFont="true" applyBorder="true" applyAlignment="true" applyProtection="false">
      <alignment horizontal="left" vertical="center" textRotation="0" wrapText="true" indent="0" shrinkToFit="false"/>
      <protection locked="true" hidden="false"/>
    </xf>
    <xf numFmtId="165" fontId="11" fillId="6" borderId="3" xfId="0" applyFont="true" applyBorder="true" applyAlignment="true" applyProtection="false">
      <alignment horizontal="center" vertical="center" textRotation="0" wrapText="true" indent="0" shrinkToFit="false"/>
      <protection locked="true" hidden="false"/>
    </xf>
    <xf numFmtId="168" fontId="11" fillId="6" borderId="3"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center" vertical="center" textRotation="0" wrapText="true" indent="0" shrinkToFit="false"/>
      <protection locked="true" hidden="false"/>
    </xf>
    <xf numFmtId="168" fontId="13"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8" fontId="0"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9" fontId="17" fillId="0" borderId="0" xfId="0" applyFont="true" applyBorder="false" applyAlignment="true" applyProtection="false">
      <alignment horizontal="general" vertical="bottom" textRotation="0" wrapText="false" indent="0" shrinkToFit="false"/>
      <protection locked="true" hidden="false"/>
    </xf>
    <xf numFmtId="168" fontId="1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9" fontId="17" fillId="0" borderId="0" xfId="0" applyFont="true" applyBorder="false" applyAlignment="false" applyProtection="false">
      <alignment horizontal="general" vertical="bottom" textRotation="0" wrapText="false" indent="0" shrinkToFit="false"/>
      <protection locked="true" hidden="false"/>
    </xf>
    <xf numFmtId="168" fontId="1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45B1E1"/>
      <rgbColor rgb="FF99CC00"/>
      <rgbColor rgb="FFFFCC00"/>
      <rgbColor rgb="FFFF9900"/>
      <rgbColor rgb="FFFF6600"/>
      <rgbColor rgb="FF595959"/>
      <rgbColor rgb="FF969696"/>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407520</xdr:colOff>
      <xdr:row>57</xdr:row>
      <xdr:rowOff>263880</xdr:rowOff>
    </xdr:to>
    <xdr:pic>
      <xdr:nvPicPr>
        <xdr:cNvPr id="0" name="Picture 1" descr=""/>
        <xdr:cNvPicPr/>
      </xdr:nvPicPr>
      <xdr:blipFill>
        <a:blip r:embed="rId1"/>
        <a:stretch/>
      </xdr:blipFill>
      <xdr:spPr>
        <a:xfrm>
          <a:off x="17428680" y="22115880"/>
          <a:ext cx="2195280" cy="234144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1" width="15"/>
    <col collapsed="false" customWidth="true" hidden="false" outlineLevel="0" max="2" min="2" style="1" width="55"/>
    <col collapsed="false" customWidth="true" hidden="false" outlineLevel="0" max="3" min="3" style="1" width="20"/>
    <col collapsed="false" customWidth="true" hidden="false" outlineLevel="0" max="4" min="4" style="1" width="48"/>
    <col collapsed="false" customWidth="true" hidden="false" outlineLevel="0" max="5" min="5" style="1" width="72.83"/>
  </cols>
  <sheetData>
    <row r="1" customFormat="false" ht="15" hidden="false" customHeight="true" outlineLevel="0" collapsed="false">
      <c r="A1" s="2" t="s">
        <v>0</v>
      </c>
      <c r="B1" s="2" t="s">
        <v>1</v>
      </c>
      <c r="C1" s="2" t="s">
        <v>2</v>
      </c>
      <c r="D1" s="2" t="s">
        <v>3</v>
      </c>
    </row>
    <row r="2" customFormat="false" ht="33.75" hidden="false" customHeight="true" outlineLevel="0" collapsed="false">
      <c r="A2" s="1" t="s">
        <v>4</v>
      </c>
      <c r="B2" s="3" t="s">
        <v>5</v>
      </c>
      <c r="C2" s="4" t="n">
        <v>37.99</v>
      </c>
      <c r="D2" s="3" t="s">
        <v>6</v>
      </c>
    </row>
    <row r="3" customFormat="false" ht="33.75" hidden="false" customHeight="true" outlineLevel="0" collapsed="false">
      <c r="A3" s="1" t="s">
        <v>7</v>
      </c>
      <c r="B3" s="3" t="s">
        <v>8</v>
      </c>
      <c r="C3" s="4" t="n">
        <v>42.99</v>
      </c>
      <c r="D3" s="3" t="s">
        <v>6</v>
      </c>
    </row>
    <row r="4" customFormat="false" ht="33.75" hidden="false" customHeight="true" outlineLevel="0" collapsed="false">
      <c r="A4" s="1" t="s">
        <v>9</v>
      </c>
      <c r="B4" s="3" t="s">
        <v>10</v>
      </c>
      <c r="C4" s="4" t="n">
        <v>134.99</v>
      </c>
      <c r="D4" s="3" t="s">
        <v>6</v>
      </c>
    </row>
    <row r="5" customFormat="false" ht="33.75" hidden="false" customHeight="true" outlineLevel="0" collapsed="false">
      <c r="A5" s="1" t="s">
        <v>11</v>
      </c>
      <c r="B5" s="3" t="s">
        <v>12</v>
      </c>
      <c r="C5" s="4" t="n">
        <v>167.99</v>
      </c>
      <c r="D5" s="3" t="s">
        <v>6</v>
      </c>
    </row>
    <row r="6" customFormat="false" ht="33.75" hidden="false" customHeight="true" outlineLevel="0" collapsed="false">
      <c r="A6" s="1" t="s">
        <v>13</v>
      </c>
      <c r="B6" s="3" t="s">
        <v>14</v>
      </c>
      <c r="C6" s="4" t="n">
        <v>147.99</v>
      </c>
      <c r="D6" s="3" t="s">
        <v>6</v>
      </c>
    </row>
    <row r="7" customFormat="false" ht="33.75" hidden="false" customHeight="true" outlineLevel="0" collapsed="false">
      <c r="A7" s="1" t="s">
        <v>15</v>
      </c>
      <c r="B7" s="3" t="s">
        <v>16</v>
      </c>
      <c r="C7" s="4" t="n">
        <v>167.99</v>
      </c>
      <c r="D7" s="3" t="s">
        <v>6</v>
      </c>
    </row>
    <row r="8" customFormat="false" ht="33.75" hidden="false" customHeight="true" outlineLevel="0" collapsed="false">
      <c r="A8" s="1" t="s">
        <v>17</v>
      </c>
      <c r="B8" s="3" t="s">
        <v>18</v>
      </c>
      <c r="C8" s="4" t="n">
        <v>142.99</v>
      </c>
      <c r="D8" s="3" t="s">
        <v>6</v>
      </c>
    </row>
    <row r="9" customFormat="false" ht="33.75" hidden="false" customHeight="true" outlineLevel="0" collapsed="false">
      <c r="A9" s="1" t="s">
        <v>19</v>
      </c>
      <c r="B9" s="3" t="s">
        <v>20</v>
      </c>
      <c r="C9" s="4" t="n">
        <v>157.99</v>
      </c>
      <c r="D9" s="3" t="s">
        <v>6</v>
      </c>
    </row>
    <row r="10" customFormat="false" ht="33.75" hidden="false" customHeight="true" outlineLevel="0" collapsed="false">
      <c r="A10" s="1" t="s">
        <v>21</v>
      </c>
      <c r="B10" s="3" t="s">
        <v>22</v>
      </c>
      <c r="C10" s="4" t="n">
        <v>132.99</v>
      </c>
      <c r="D10" s="3" t="s">
        <v>6</v>
      </c>
    </row>
    <row r="11" customFormat="false" ht="33.75" hidden="false" customHeight="true" outlineLevel="0" collapsed="false">
      <c r="A11" s="1" t="s">
        <v>23</v>
      </c>
      <c r="B11" s="3" t="s">
        <v>24</v>
      </c>
      <c r="C11" s="4" t="n">
        <v>57.99</v>
      </c>
      <c r="D11" s="3" t="s">
        <v>6</v>
      </c>
    </row>
    <row r="12" customFormat="false" ht="33.75" hidden="false" customHeight="true" outlineLevel="0" collapsed="false">
      <c r="A12" s="1" t="s">
        <v>25</v>
      </c>
      <c r="B12" s="3" t="s">
        <v>26</v>
      </c>
      <c r="C12" s="4" t="n">
        <v>52.99</v>
      </c>
      <c r="D12" s="3" t="s">
        <v>6</v>
      </c>
    </row>
    <row r="13" customFormat="false" ht="33.75" hidden="false" customHeight="true" outlineLevel="0" collapsed="false">
      <c r="A13" s="1" t="s">
        <v>27</v>
      </c>
      <c r="B13" s="3" t="s">
        <v>28</v>
      </c>
      <c r="C13" s="4" t="n">
        <v>9.99</v>
      </c>
      <c r="D13" s="3" t="s">
        <v>6</v>
      </c>
    </row>
    <row r="14" customFormat="false" ht="33.75" hidden="false" customHeight="true" outlineLevel="0" collapsed="false">
      <c r="A14" s="1" t="s">
        <v>29</v>
      </c>
      <c r="B14" s="3" t="s">
        <v>30</v>
      </c>
      <c r="C14" s="4" t="n">
        <v>12.99</v>
      </c>
      <c r="D14" s="3" t="s">
        <v>6</v>
      </c>
    </row>
    <row r="15" customFormat="false" ht="33.75" hidden="false" customHeight="true" outlineLevel="0" collapsed="false">
      <c r="A15" s="1" t="s">
        <v>31</v>
      </c>
      <c r="B15" s="3" t="s">
        <v>32</v>
      </c>
      <c r="C15" s="4" t="n">
        <v>57.99</v>
      </c>
      <c r="D15" s="3" t="s">
        <v>6</v>
      </c>
    </row>
    <row r="16" customFormat="false" ht="33.75" hidden="false" customHeight="true" outlineLevel="0" collapsed="false">
      <c r="A16" s="1" t="s">
        <v>33</v>
      </c>
      <c r="B16" s="3" t="s">
        <v>34</v>
      </c>
      <c r="C16" s="4" t="n">
        <v>57.99</v>
      </c>
      <c r="D16" s="3" t="s">
        <v>6</v>
      </c>
    </row>
    <row r="17" customFormat="false" ht="33.75" hidden="false" customHeight="true" outlineLevel="0" collapsed="false">
      <c r="A17" s="1" t="s">
        <v>35</v>
      </c>
      <c r="B17" s="3" t="s">
        <v>36</v>
      </c>
      <c r="C17" s="4" t="n">
        <v>57.99</v>
      </c>
      <c r="D17" s="3" t="s">
        <v>6</v>
      </c>
    </row>
    <row r="18" customFormat="false" ht="33.75" hidden="false" customHeight="true" outlineLevel="0" collapsed="false">
      <c r="A18" s="1" t="s">
        <v>37</v>
      </c>
      <c r="B18" s="3" t="s">
        <v>38</v>
      </c>
      <c r="C18" s="4" t="n">
        <v>59.99</v>
      </c>
      <c r="D18" s="3" t="s">
        <v>6</v>
      </c>
    </row>
    <row r="19" customFormat="false" ht="33.75" hidden="false" customHeight="true" outlineLevel="0" collapsed="false">
      <c r="A19" s="1" t="s">
        <v>39</v>
      </c>
      <c r="B19" s="3" t="s">
        <v>40</v>
      </c>
      <c r="C19" s="4" t="n">
        <v>132.99</v>
      </c>
      <c r="D19" s="3" t="s">
        <v>6</v>
      </c>
    </row>
    <row r="20" customFormat="false" ht="33.75" hidden="false" customHeight="true" outlineLevel="0" collapsed="false">
      <c r="A20" s="1" t="s">
        <v>41</v>
      </c>
      <c r="B20" s="3" t="s">
        <v>42</v>
      </c>
      <c r="C20" s="4" t="n">
        <v>167.99</v>
      </c>
      <c r="D20" s="3" t="s">
        <v>6</v>
      </c>
    </row>
    <row r="21" customFormat="false" ht="33.75" hidden="false" customHeight="true" outlineLevel="0" collapsed="false">
      <c r="A21" s="1" t="s">
        <v>43</v>
      </c>
      <c r="B21" s="3" t="s">
        <v>44</v>
      </c>
      <c r="C21" s="4" t="n">
        <v>167.99</v>
      </c>
      <c r="D21" s="3" t="s">
        <v>6</v>
      </c>
    </row>
    <row r="22" customFormat="false" ht="33.75" hidden="false" customHeight="true" outlineLevel="0" collapsed="false">
      <c r="A22" s="1" t="s">
        <v>45</v>
      </c>
      <c r="B22" s="3" t="s">
        <v>46</v>
      </c>
      <c r="C22" s="4" t="n">
        <v>134.99</v>
      </c>
      <c r="D22" s="3" t="s">
        <v>6</v>
      </c>
    </row>
    <row r="23" customFormat="false" ht="33.75" hidden="false" customHeight="true" outlineLevel="0" collapsed="false">
      <c r="A23" s="1" t="s">
        <v>47</v>
      </c>
      <c r="B23" s="3" t="s">
        <v>48</v>
      </c>
      <c r="C23" s="4" t="n">
        <v>57.99</v>
      </c>
      <c r="D23" s="3" t="s">
        <v>6</v>
      </c>
    </row>
    <row r="24" customFormat="false" ht="33.75" hidden="false" customHeight="true" outlineLevel="0" collapsed="false">
      <c r="A24" s="1" t="s">
        <v>49</v>
      </c>
      <c r="B24" s="3" t="s">
        <v>50</v>
      </c>
      <c r="C24" s="4" t="n">
        <v>57.99</v>
      </c>
      <c r="D24" s="3" t="s">
        <v>6</v>
      </c>
    </row>
    <row r="25" customFormat="false" ht="33.75" hidden="false" customHeight="true" outlineLevel="0" collapsed="false">
      <c r="A25" s="1" t="s">
        <v>51</v>
      </c>
      <c r="B25" s="3" t="s">
        <v>52</v>
      </c>
      <c r="C25" s="4" t="n">
        <v>44.99</v>
      </c>
      <c r="D25" s="3" t="s">
        <v>6</v>
      </c>
    </row>
    <row r="26" customFormat="false" ht="33.75" hidden="false" customHeight="true" outlineLevel="0" collapsed="false">
      <c r="A26" s="1" t="s">
        <v>53</v>
      </c>
      <c r="B26" s="3" t="s">
        <v>54</v>
      </c>
      <c r="C26" s="4" t="n">
        <v>52.99</v>
      </c>
      <c r="D26" s="3" t="s">
        <v>6</v>
      </c>
    </row>
    <row r="27" customFormat="false" ht="33.75" hidden="false" customHeight="true" outlineLevel="0" collapsed="false">
      <c r="A27" s="1" t="s">
        <v>55</v>
      </c>
      <c r="B27" s="3" t="s">
        <v>56</v>
      </c>
      <c r="C27" s="4" t="n">
        <v>57.99</v>
      </c>
      <c r="D27" s="3" t="s">
        <v>6</v>
      </c>
    </row>
    <row r="28" customFormat="false" ht="33.75" hidden="false" customHeight="true" outlineLevel="0" collapsed="false">
      <c r="A28" s="1" t="s">
        <v>57</v>
      </c>
      <c r="B28" s="3" t="s">
        <v>58</v>
      </c>
      <c r="C28" s="4" t="n">
        <v>57.99</v>
      </c>
      <c r="D28" s="3" t="s">
        <v>6</v>
      </c>
    </row>
    <row r="29" customFormat="false" ht="33.75" hidden="false" customHeight="true" outlineLevel="0" collapsed="false">
      <c r="A29" s="1" t="s">
        <v>59</v>
      </c>
      <c r="B29" s="3" t="s">
        <v>60</v>
      </c>
      <c r="C29" s="4" t="n">
        <v>57.99</v>
      </c>
      <c r="D29" s="3" t="s">
        <v>6</v>
      </c>
    </row>
    <row r="30" customFormat="false" ht="33.75" hidden="false" customHeight="true" outlineLevel="0" collapsed="false">
      <c r="A30" s="1" t="s">
        <v>61</v>
      </c>
      <c r="B30" s="3" t="s">
        <v>62</v>
      </c>
      <c r="C30" s="4" t="n">
        <v>57.99</v>
      </c>
      <c r="D30" s="3" t="s">
        <v>6</v>
      </c>
    </row>
    <row r="31" customFormat="false" ht="33.75" hidden="false" customHeight="true" outlineLevel="0" collapsed="false">
      <c r="A31" s="1" t="s">
        <v>63</v>
      </c>
      <c r="B31" s="3" t="s">
        <v>64</v>
      </c>
      <c r="C31" s="4" t="n">
        <v>59.99</v>
      </c>
      <c r="D31" s="3" t="s">
        <v>6</v>
      </c>
    </row>
    <row r="32" customFormat="false" ht="33.75" hidden="false" customHeight="true" outlineLevel="0" collapsed="false">
      <c r="A32" s="1" t="s">
        <v>65</v>
      </c>
      <c r="B32" s="3" t="s">
        <v>66</v>
      </c>
      <c r="C32" s="4" t="n">
        <v>57.99</v>
      </c>
      <c r="D32" s="3" t="s">
        <v>6</v>
      </c>
    </row>
    <row r="33" customFormat="false" ht="33.75" hidden="false" customHeight="true" outlineLevel="0" collapsed="false">
      <c r="A33" s="1" t="s">
        <v>67</v>
      </c>
      <c r="B33" s="3" t="s">
        <v>68</v>
      </c>
      <c r="C33" s="4" t="n">
        <v>57.99</v>
      </c>
      <c r="D33" s="3" t="s">
        <v>6</v>
      </c>
    </row>
    <row r="34" customFormat="false" ht="33.75" hidden="false" customHeight="true" outlineLevel="0" collapsed="false">
      <c r="A34" s="1" t="s">
        <v>69</v>
      </c>
      <c r="B34" s="3" t="s">
        <v>70</v>
      </c>
      <c r="C34" s="4" t="n">
        <v>57.99</v>
      </c>
      <c r="D34" s="3" t="s">
        <v>6</v>
      </c>
    </row>
    <row r="35" customFormat="false" ht="33.75" hidden="false" customHeight="true" outlineLevel="0" collapsed="false">
      <c r="A35" s="1" t="s">
        <v>71</v>
      </c>
      <c r="B35" s="3" t="s">
        <v>72</v>
      </c>
      <c r="C35" s="4" t="n">
        <v>57.99</v>
      </c>
      <c r="D35" s="3" t="s">
        <v>6</v>
      </c>
    </row>
    <row r="36" customFormat="false" ht="33.75" hidden="false" customHeight="true" outlineLevel="0" collapsed="false">
      <c r="A36" s="1" t="s">
        <v>73</v>
      </c>
      <c r="B36" s="3" t="s">
        <v>74</v>
      </c>
      <c r="C36" s="4" t="n">
        <v>57.99</v>
      </c>
      <c r="D36" s="3" t="s">
        <v>6</v>
      </c>
    </row>
    <row r="37" customFormat="false" ht="33.75" hidden="false" customHeight="true" outlineLevel="0" collapsed="false">
      <c r="A37" s="1" t="s">
        <v>75</v>
      </c>
      <c r="B37" s="3" t="s">
        <v>76</v>
      </c>
      <c r="C37" s="4" t="n">
        <v>152.99</v>
      </c>
      <c r="D37" s="3" t="s">
        <v>6</v>
      </c>
    </row>
    <row r="38" customFormat="false" ht="33.75" hidden="false" customHeight="true" outlineLevel="0" collapsed="false">
      <c r="A38" s="1" t="s">
        <v>77</v>
      </c>
      <c r="B38" s="3" t="s">
        <v>78</v>
      </c>
      <c r="C38" s="4" t="n">
        <v>144.99</v>
      </c>
      <c r="D38" s="3" t="s">
        <v>6</v>
      </c>
    </row>
    <row r="39" customFormat="false" ht="33.75" hidden="false" customHeight="true" outlineLevel="0" collapsed="false">
      <c r="A39" s="1" t="s">
        <v>79</v>
      </c>
      <c r="B39" s="3" t="s">
        <v>80</v>
      </c>
      <c r="C39" s="4" t="n">
        <v>142.99</v>
      </c>
      <c r="D39" s="3" t="s">
        <v>6</v>
      </c>
    </row>
    <row r="40" customFormat="false" ht="33.75" hidden="false" customHeight="true" outlineLevel="0" collapsed="false">
      <c r="A40" s="1" t="s">
        <v>81</v>
      </c>
      <c r="B40" s="3" t="s">
        <v>82</v>
      </c>
      <c r="C40" s="4" t="n">
        <v>112.99</v>
      </c>
      <c r="D40" s="3" t="s">
        <v>6</v>
      </c>
    </row>
    <row r="41" customFormat="false" ht="33.75" hidden="false" customHeight="true" outlineLevel="0" collapsed="false">
      <c r="A41" s="1" t="s">
        <v>83</v>
      </c>
      <c r="B41" s="3" t="s">
        <v>84</v>
      </c>
      <c r="C41" s="4" t="n">
        <v>147.99</v>
      </c>
      <c r="D41" s="3" t="s">
        <v>6</v>
      </c>
    </row>
    <row r="42" customFormat="false" ht="33.75" hidden="false" customHeight="true" outlineLevel="0" collapsed="false">
      <c r="A42" s="1" t="s">
        <v>85</v>
      </c>
      <c r="B42" s="3" t="s">
        <v>86</v>
      </c>
      <c r="C42" s="4" t="n">
        <v>139.99</v>
      </c>
      <c r="D42" s="3" t="s">
        <v>6</v>
      </c>
    </row>
    <row r="43" customFormat="false" ht="33.75" hidden="false" customHeight="true" outlineLevel="0" collapsed="false">
      <c r="A43" s="1" t="s">
        <v>87</v>
      </c>
      <c r="B43" s="3" t="s">
        <v>88</v>
      </c>
      <c r="C43" s="4" t="n">
        <v>129.99</v>
      </c>
      <c r="D43" s="3" t="s">
        <v>6</v>
      </c>
    </row>
    <row r="44" customFormat="false" ht="33.75" hidden="false" customHeight="true" outlineLevel="0" collapsed="false">
      <c r="A44" s="1" t="s">
        <v>89</v>
      </c>
      <c r="B44" s="3" t="s">
        <v>90</v>
      </c>
      <c r="C44" s="4" t="n">
        <v>57.99</v>
      </c>
      <c r="D44" s="3" t="s">
        <v>6</v>
      </c>
    </row>
    <row r="45" customFormat="false" ht="33.75" hidden="false" customHeight="true" outlineLevel="0" collapsed="false">
      <c r="A45" s="1" t="s">
        <v>91</v>
      </c>
      <c r="B45" s="3" t="s">
        <v>92</v>
      </c>
      <c r="C45" s="4" t="n">
        <v>62.99</v>
      </c>
      <c r="D45" s="3" t="s">
        <v>6</v>
      </c>
    </row>
    <row r="46" customFormat="false" ht="33.75" hidden="false" customHeight="true" outlineLevel="0" collapsed="false">
      <c r="A46" s="1" t="s">
        <v>93</v>
      </c>
      <c r="B46" s="3" t="s">
        <v>94</v>
      </c>
      <c r="C46" s="4" t="n">
        <v>4.99</v>
      </c>
      <c r="D46" s="3" t="s">
        <v>6</v>
      </c>
    </row>
    <row r="47" customFormat="false" ht="33.75" hidden="false" customHeight="true" outlineLevel="0" collapsed="false">
      <c r="A47" s="1" t="s">
        <v>95</v>
      </c>
      <c r="B47" s="3" t="s">
        <v>96</v>
      </c>
      <c r="C47" s="4" t="n">
        <v>24.99</v>
      </c>
      <c r="D47" s="3" t="s">
        <v>6</v>
      </c>
    </row>
    <row r="48" customFormat="false" ht="33.75" hidden="false" customHeight="true" outlineLevel="0" collapsed="false">
      <c r="A48" s="1" t="s">
        <v>97</v>
      </c>
      <c r="B48" s="3" t="s">
        <v>98</v>
      </c>
      <c r="C48" s="4" t="n">
        <v>44.99</v>
      </c>
      <c r="D48" s="3" t="s">
        <v>6</v>
      </c>
    </row>
    <row r="49" customFormat="false" ht="33.75" hidden="false" customHeight="true" outlineLevel="0" collapsed="false">
      <c r="A49" s="1" t="s">
        <v>99</v>
      </c>
      <c r="B49" s="3" t="s">
        <v>100</v>
      </c>
      <c r="C49" s="4" t="n">
        <v>24.99</v>
      </c>
      <c r="D49" s="3" t="s">
        <v>6</v>
      </c>
    </row>
    <row r="50" customFormat="false" ht="33.75" hidden="false" customHeight="true" outlineLevel="0" collapsed="false">
      <c r="A50" s="1" t="s">
        <v>101</v>
      </c>
      <c r="B50" s="3" t="s">
        <v>102</v>
      </c>
      <c r="C50" s="4" t="n">
        <v>32.99</v>
      </c>
      <c r="D50" s="3" t="s">
        <v>6</v>
      </c>
    </row>
    <row r="51" customFormat="false" ht="33.75" hidden="false" customHeight="true" outlineLevel="0" collapsed="false">
      <c r="A51" s="1" t="s">
        <v>103</v>
      </c>
      <c r="B51" s="3" t="s">
        <v>104</v>
      </c>
      <c r="C51" s="4" t="n">
        <v>44.99</v>
      </c>
      <c r="D51" s="3" t="s">
        <v>6</v>
      </c>
    </row>
    <row r="52" customFormat="false" ht="33.75" hidden="false" customHeight="true" outlineLevel="0" collapsed="false">
      <c r="A52" s="1" t="s">
        <v>105</v>
      </c>
      <c r="B52" s="3" t="s">
        <v>106</v>
      </c>
      <c r="C52" s="4" t="n">
        <v>44.99</v>
      </c>
      <c r="D52" s="3" t="s">
        <v>6</v>
      </c>
    </row>
    <row r="53" customFormat="false" ht="33.75" hidden="false" customHeight="true" outlineLevel="0" collapsed="false">
      <c r="A53" s="1" t="s">
        <v>107</v>
      </c>
      <c r="B53" s="3" t="s">
        <v>108</v>
      </c>
      <c r="C53" s="4" t="n">
        <v>44.99</v>
      </c>
      <c r="D53" s="3" t="s">
        <v>6</v>
      </c>
    </row>
    <row r="54" customFormat="false" ht="33.75" hidden="false" customHeight="true" outlineLevel="0" collapsed="false">
      <c r="A54" s="1" t="s">
        <v>109</v>
      </c>
      <c r="B54" s="3" t="s">
        <v>110</v>
      </c>
      <c r="C54" s="4" t="n">
        <v>32.99</v>
      </c>
      <c r="D54" s="3" t="s">
        <v>6</v>
      </c>
    </row>
    <row r="55" customFormat="false" ht="33.75" hidden="false" customHeight="true" outlineLevel="0" collapsed="false">
      <c r="A55" s="1" t="s">
        <v>111</v>
      </c>
      <c r="B55" s="3" t="s">
        <v>112</v>
      </c>
      <c r="C55" s="4" t="n">
        <v>49.99</v>
      </c>
      <c r="D55" s="3" t="s">
        <v>6</v>
      </c>
    </row>
    <row r="56" customFormat="false" ht="33.75" hidden="false" customHeight="true" outlineLevel="0" collapsed="false">
      <c r="A56" s="1" t="s">
        <v>113</v>
      </c>
      <c r="B56" s="3" t="s">
        <v>114</v>
      </c>
      <c r="C56" s="4" t="n">
        <v>49.99</v>
      </c>
      <c r="D56" s="3" t="s">
        <v>6</v>
      </c>
    </row>
    <row r="57" customFormat="false" ht="33.75" hidden="false" customHeight="true" outlineLevel="0" collapsed="false">
      <c r="A57" s="1" t="s">
        <v>115</v>
      </c>
      <c r="B57" s="3" t="s">
        <v>116</v>
      </c>
      <c r="C57" s="4" t="n">
        <v>27.99</v>
      </c>
      <c r="D57" s="3" t="s">
        <v>6</v>
      </c>
    </row>
    <row r="58" customFormat="false" ht="33.75" hidden="false" customHeight="true" outlineLevel="0" collapsed="false">
      <c r="A58" s="1" t="s">
        <v>117</v>
      </c>
      <c r="B58" s="3" t="s">
        <v>118</v>
      </c>
      <c r="C58" s="4" t="n">
        <v>32.99</v>
      </c>
      <c r="D58" s="3" t="s">
        <v>6</v>
      </c>
    </row>
    <row r="59" customFormat="false" ht="33.75" hidden="false" customHeight="true" outlineLevel="0" collapsed="false">
      <c r="A59" s="1" t="s">
        <v>119</v>
      </c>
      <c r="B59" s="3" t="s">
        <v>120</v>
      </c>
      <c r="C59" s="4" t="n">
        <v>44.99</v>
      </c>
      <c r="D59" s="3" t="s">
        <v>6</v>
      </c>
    </row>
    <row r="60" customFormat="false" ht="33.75" hidden="false" customHeight="true" outlineLevel="0" collapsed="false">
      <c r="A60" s="1" t="s">
        <v>121</v>
      </c>
      <c r="B60" s="3" t="s">
        <v>122</v>
      </c>
      <c r="C60" s="4" t="n">
        <v>49.99</v>
      </c>
      <c r="D60" s="3" t="s">
        <v>6</v>
      </c>
    </row>
    <row r="61" customFormat="false" ht="33.75" hidden="false" customHeight="true" outlineLevel="0" collapsed="false">
      <c r="A61" s="1" t="s">
        <v>123</v>
      </c>
      <c r="B61" s="3" t="s">
        <v>124</v>
      </c>
      <c r="C61" s="4" t="n">
        <v>32.99</v>
      </c>
      <c r="D61" s="3" t="s">
        <v>6</v>
      </c>
    </row>
    <row r="62" customFormat="false" ht="33.75" hidden="false" customHeight="true" outlineLevel="0" collapsed="false">
      <c r="A62" s="1" t="s">
        <v>125</v>
      </c>
      <c r="B62" s="3" t="s">
        <v>126</v>
      </c>
      <c r="C62" s="4" t="n">
        <v>37.99</v>
      </c>
      <c r="D62" s="3" t="s">
        <v>6</v>
      </c>
    </row>
    <row r="63" customFormat="false" ht="33.75" hidden="false" customHeight="true" outlineLevel="0" collapsed="false">
      <c r="A63" s="1" t="s">
        <v>127</v>
      </c>
      <c r="B63" s="3" t="s">
        <v>128</v>
      </c>
      <c r="C63" s="4" t="n">
        <v>69.99</v>
      </c>
      <c r="D63" s="3" t="s">
        <v>6</v>
      </c>
    </row>
    <row r="64" customFormat="false" ht="33.75" hidden="false" customHeight="true" outlineLevel="0" collapsed="false">
      <c r="A64" s="1" t="s">
        <v>129</v>
      </c>
      <c r="B64" s="3" t="s">
        <v>130</v>
      </c>
      <c r="C64" s="4" t="n">
        <v>37.99</v>
      </c>
      <c r="D64" s="3" t="s">
        <v>6</v>
      </c>
    </row>
    <row r="65" customFormat="false" ht="33.75" hidden="false" customHeight="true" outlineLevel="0" collapsed="false">
      <c r="A65" s="1" t="s">
        <v>131</v>
      </c>
      <c r="B65" s="3" t="s">
        <v>132</v>
      </c>
      <c r="C65" s="4" t="n">
        <v>84.99</v>
      </c>
      <c r="D65" s="3" t="s">
        <v>6</v>
      </c>
    </row>
    <row r="66" customFormat="false" ht="33.75" hidden="false" customHeight="true" outlineLevel="0" collapsed="false">
      <c r="A66" s="1" t="s">
        <v>133</v>
      </c>
      <c r="B66" s="3" t="s">
        <v>134</v>
      </c>
      <c r="C66" s="4" t="n">
        <v>37.99</v>
      </c>
      <c r="D66" s="3" t="s">
        <v>6</v>
      </c>
    </row>
    <row r="67" customFormat="false" ht="33.75" hidden="false" customHeight="true" outlineLevel="0" collapsed="false">
      <c r="A67" s="1" t="s">
        <v>135</v>
      </c>
      <c r="B67" s="3" t="s">
        <v>136</v>
      </c>
      <c r="C67" s="4" t="n">
        <v>44.99</v>
      </c>
      <c r="D67" s="3" t="s">
        <v>6</v>
      </c>
    </row>
    <row r="68" customFormat="false" ht="33.75" hidden="false" customHeight="true" outlineLevel="0" collapsed="false">
      <c r="A68" s="1" t="s">
        <v>137</v>
      </c>
      <c r="B68" s="3" t="s">
        <v>138</v>
      </c>
      <c r="C68" s="4" t="n">
        <v>44.99</v>
      </c>
      <c r="D68" s="3" t="s">
        <v>6</v>
      </c>
    </row>
    <row r="69" customFormat="false" ht="33.75" hidden="false" customHeight="true" outlineLevel="0" collapsed="false">
      <c r="A69" s="1" t="s">
        <v>139</v>
      </c>
      <c r="B69" s="3" t="s">
        <v>140</v>
      </c>
      <c r="C69" s="4" t="n">
        <v>32.99</v>
      </c>
      <c r="D69" s="3" t="s">
        <v>6</v>
      </c>
    </row>
    <row r="70" customFormat="false" ht="33.75" hidden="false" customHeight="true" outlineLevel="0" collapsed="false">
      <c r="A70" s="1" t="s">
        <v>141</v>
      </c>
      <c r="B70" s="3" t="s">
        <v>142</v>
      </c>
      <c r="C70" s="4" t="n">
        <v>64.99</v>
      </c>
      <c r="D70" s="3" t="s">
        <v>6</v>
      </c>
    </row>
    <row r="71" customFormat="false" ht="33.75" hidden="false" customHeight="true" outlineLevel="0" collapsed="false">
      <c r="A71" s="1" t="s">
        <v>143</v>
      </c>
      <c r="B71" s="3" t="s">
        <v>144</v>
      </c>
      <c r="C71" s="4" t="n">
        <v>49.99</v>
      </c>
      <c r="D71" s="3" t="s">
        <v>6</v>
      </c>
    </row>
    <row r="72" customFormat="false" ht="33.75" hidden="false" customHeight="true" outlineLevel="0" collapsed="false">
      <c r="A72" s="1" t="s">
        <v>145</v>
      </c>
      <c r="B72" s="3" t="s">
        <v>146</v>
      </c>
      <c r="C72" s="4" t="n">
        <v>17.99</v>
      </c>
      <c r="D72" s="3" t="s">
        <v>6</v>
      </c>
    </row>
    <row r="73" customFormat="false" ht="33.75" hidden="false" customHeight="true" outlineLevel="0" collapsed="false">
      <c r="A73" s="1" t="s">
        <v>147</v>
      </c>
      <c r="B73" s="3" t="s">
        <v>148</v>
      </c>
      <c r="C73" s="4" t="n">
        <v>44.99</v>
      </c>
      <c r="D73" s="3" t="s">
        <v>6</v>
      </c>
    </row>
    <row r="74" customFormat="false" ht="33.75" hidden="false" customHeight="true" outlineLevel="0" collapsed="false">
      <c r="A74" s="1" t="s">
        <v>149</v>
      </c>
      <c r="B74" s="3" t="s">
        <v>150</v>
      </c>
      <c r="C74" s="4" t="n">
        <v>49.99</v>
      </c>
      <c r="D74" s="3" t="s">
        <v>6</v>
      </c>
    </row>
    <row r="75" customFormat="false" ht="33.75" hidden="false" customHeight="true" outlineLevel="0" collapsed="false">
      <c r="A75" s="1" t="s">
        <v>151</v>
      </c>
      <c r="B75" s="3" t="s">
        <v>152</v>
      </c>
      <c r="C75" s="4" t="n">
        <v>49.99</v>
      </c>
      <c r="D75" s="3" t="s">
        <v>6</v>
      </c>
    </row>
    <row r="76" customFormat="false" ht="33.75" hidden="false" customHeight="true" outlineLevel="0" collapsed="false">
      <c r="A76" s="1" t="s">
        <v>153</v>
      </c>
      <c r="B76" s="3" t="s">
        <v>154</v>
      </c>
      <c r="C76" s="4" t="n">
        <v>37.99</v>
      </c>
      <c r="D76" s="3" t="s">
        <v>6</v>
      </c>
    </row>
    <row r="77" customFormat="false" ht="33.75" hidden="false" customHeight="true" outlineLevel="0" collapsed="false">
      <c r="A77" s="1" t="s">
        <v>155</v>
      </c>
      <c r="B77" s="3" t="s">
        <v>156</v>
      </c>
      <c r="C77" s="4" t="n">
        <v>32.99</v>
      </c>
      <c r="D77" s="3" t="s">
        <v>6</v>
      </c>
    </row>
    <row r="78" customFormat="false" ht="33.75" hidden="false" customHeight="true" outlineLevel="0" collapsed="false">
      <c r="A78" s="1" t="s">
        <v>157</v>
      </c>
      <c r="B78" s="3" t="s">
        <v>158</v>
      </c>
      <c r="C78" s="4" t="n">
        <v>32.99</v>
      </c>
      <c r="D78" s="3" t="s">
        <v>6</v>
      </c>
    </row>
    <row r="79" customFormat="false" ht="33.75" hidden="false" customHeight="true" outlineLevel="0" collapsed="false">
      <c r="A79" s="1" t="s">
        <v>159</v>
      </c>
      <c r="B79" s="3" t="s">
        <v>160</v>
      </c>
      <c r="C79" s="4" t="n">
        <v>49.99</v>
      </c>
      <c r="D79" s="3" t="s">
        <v>6</v>
      </c>
    </row>
    <row r="80" customFormat="false" ht="33.75" hidden="false" customHeight="true" outlineLevel="0" collapsed="false">
      <c r="A80" s="1" t="s">
        <v>161</v>
      </c>
      <c r="B80" s="3" t="s">
        <v>162</v>
      </c>
      <c r="C80" s="4" t="n">
        <v>32.99</v>
      </c>
      <c r="D80" s="3" t="s">
        <v>6</v>
      </c>
    </row>
    <row r="81" customFormat="false" ht="33.75" hidden="false" customHeight="true" outlineLevel="0" collapsed="false">
      <c r="A81" s="1" t="s">
        <v>163</v>
      </c>
      <c r="B81" s="3" t="s">
        <v>164</v>
      </c>
      <c r="C81" s="4" t="n">
        <v>32.99</v>
      </c>
      <c r="D81" s="3" t="s">
        <v>6</v>
      </c>
    </row>
    <row r="82" customFormat="false" ht="33.75" hidden="false" customHeight="true" outlineLevel="0" collapsed="false">
      <c r="A82" s="1" t="s">
        <v>165</v>
      </c>
      <c r="B82" s="3" t="s">
        <v>166</v>
      </c>
      <c r="C82" s="4" t="n">
        <v>32.99</v>
      </c>
      <c r="D82" s="3" t="s">
        <v>6</v>
      </c>
    </row>
    <row r="83" customFormat="false" ht="33.75" hidden="false" customHeight="true" outlineLevel="0" collapsed="false">
      <c r="A83" s="1" t="s">
        <v>167</v>
      </c>
      <c r="B83" s="3" t="s">
        <v>168</v>
      </c>
      <c r="C83" s="4" t="n">
        <v>142.99</v>
      </c>
      <c r="D83" s="3" t="s">
        <v>6</v>
      </c>
    </row>
    <row r="84" customFormat="false" ht="33.75" hidden="false" customHeight="true" outlineLevel="0" collapsed="false">
      <c r="A84" s="1" t="s">
        <v>169</v>
      </c>
      <c r="B84" s="3" t="s">
        <v>170</v>
      </c>
      <c r="C84" s="4" t="n">
        <v>27.99</v>
      </c>
      <c r="D84" s="3" t="s">
        <v>6</v>
      </c>
    </row>
    <row r="85" customFormat="false" ht="33.75" hidden="false" customHeight="true" outlineLevel="0" collapsed="false">
      <c r="A85" s="1" t="s">
        <v>171</v>
      </c>
      <c r="B85" s="3" t="s">
        <v>172</v>
      </c>
      <c r="C85" s="4" t="n">
        <v>44.99</v>
      </c>
      <c r="D85" s="3" t="s">
        <v>6</v>
      </c>
    </row>
    <row r="86" customFormat="false" ht="33.75" hidden="false" customHeight="true" outlineLevel="0" collapsed="false">
      <c r="A86" s="1" t="n">
        <v>869339</v>
      </c>
      <c r="B86" s="3" t="s">
        <v>173</v>
      </c>
      <c r="C86" s="4" t="n">
        <v>44.99</v>
      </c>
      <c r="D86" s="3" t="s">
        <v>6</v>
      </c>
    </row>
    <row r="87" customFormat="false" ht="33.75" hidden="false" customHeight="true" outlineLevel="0" collapsed="false">
      <c r="A87" s="1" t="s">
        <v>174</v>
      </c>
      <c r="B87" s="3" t="s">
        <v>175</v>
      </c>
      <c r="C87" s="4" t="n">
        <v>142.99</v>
      </c>
      <c r="D87" s="3" t="s">
        <v>6</v>
      </c>
    </row>
    <row r="88" customFormat="false" ht="33.75" hidden="false" customHeight="true" outlineLevel="0" collapsed="false">
      <c r="A88" s="1" t="s">
        <v>176</v>
      </c>
      <c r="B88" s="3" t="s">
        <v>177</v>
      </c>
      <c r="C88" s="4" t="n">
        <v>167.99</v>
      </c>
      <c r="D88" s="3" t="s">
        <v>6</v>
      </c>
    </row>
    <row r="89" customFormat="false" ht="33.75" hidden="false" customHeight="true" outlineLevel="0" collapsed="false">
      <c r="A89" s="1" t="s">
        <v>178</v>
      </c>
      <c r="B89" s="3" t="s">
        <v>179</v>
      </c>
      <c r="C89" s="4" t="n">
        <v>167.99</v>
      </c>
      <c r="D89" s="3" t="s">
        <v>6</v>
      </c>
    </row>
    <row r="90" customFormat="false" ht="33.75" hidden="false" customHeight="true" outlineLevel="0" collapsed="false">
      <c r="A90" s="1" t="s">
        <v>180</v>
      </c>
      <c r="B90" s="3" t="s">
        <v>181</v>
      </c>
      <c r="C90" s="4" t="n">
        <v>167.99</v>
      </c>
      <c r="D90" s="3" t="s">
        <v>6</v>
      </c>
    </row>
    <row r="91" customFormat="false" ht="33.75" hidden="false" customHeight="true" outlineLevel="0" collapsed="false">
      <c r="A91" s="1" t="s">
        <v>182</v>
      </c>
      <c r="B91" s="3" t="s">
        <v>183</v>
      </c>
      <c r="C91" s="4" t="n">
        <v>167.99</v>
      </c>
      <c r="D91" s="3" t="s">
        <v>6</v>
      </c>
    </row>
    <row r="92" customFormat="false" ht="33.75" hidden="false" customHeight="true" outlineLevel="0" collapsed="false">
      <c r="A92" s="1" t="s">
        <v>184</v>
      </c>
      <c r="B92" s="3" t="s">
        <v>185</v>
      </c>
      <c r="C92" s="4" t="n">
        <v>167.99</v>
      </c>
      <c r="D92" s="3" t="s">
        <v>6</v>
      </c>
    </row>
    <row r="93" customFormat="false" ht="33.75" hidden="false" customHeight="true" outlineLevel="0" collapsed="false">
      <c r="A93" s="1" t="s">
        <v>186</v>
      </c>
      <c r="B93" s="3" t="s">
        <v>187</v>
      </c>
      <c r="C93" s="4" t="n">
        <v>122.99</v>
      </c>
      <c r="D93" s="3"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0"/>
  </cols>
  <sheetData>
    <row r="1" customFormat="false" ht="15.75" hidden="false" customHeight="true" outlineLevel="0" collapsed="false">
      <c r="A1" s="5" t="s">
        <v>188</v>
      </c>
      <c r="B1" s="6" t="s">
        <v>189</v>
      </c>
    </row>
    <row r="2" customFormat="false" ht="15" hidden="false" customHeight="true" outlineLevel="0" collapsed="false">
      <c r="A2" s="1" t="s">
        <v>3</v>
      </c>
      <c r="B2" s="3" t="s">
        <v>6</v>
      </c>
    </row>
    <row r="3" customFormat="false" ht="15" hidden="false" customHeight="true" outlineLevel="0" collapsed="false">
      <c r="A3" s="1" t="s">
        <v>190</v>
      </c>
      <c r="B3" s="3" t="s">
        <v>191</v>
      </c>
    </row>
    <row r="4" customFormat="false" ht="15" hidden="false" customHeight="true" outlineLevel="0" collapsed="false">
      <c r="A4" s="1" t="s">
        <v>192</v>
      </c>
      <c r="B4" s="3"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1" width="29.33"/>
    <col collapsed="false" customWidth="true" hidden="false" outlineLevel="0" max="3" min="3" style="1" width="24"/>
    <col collapsed="false" customWidth="true" hidden="false" outlineLevel="0" max="4" min="4" style="1" width="45.33"/>
    <col collapsed="false" customWidth="true" hidden="false" outlineLevel="0" max="5" min="5" style="1" width="15"/>
    <col collapsed="false" customWidth="true" hidden="false" outlineLevel="0" max="9" min="6" style="1" width="13"/>
  </cols>
  <sheetData>
    <row r="1" customFormat="false" ht="40.5" hidden="false" customHeight="true" outlineLevel="0" collapsed="false">
      <c r="A1" s="7" t="s">
        <v>7</v>
      </c>
      <c r="B1" s="8" t="s">
        <v>8</v>
      </c>
      <c r="C1" s="9" t="n">
        <v>42.99</v>
      </c>
      <c r="D1" s="10" t="n">
        <v>16.71</v>
      </c>
      <c r="E1" s="11" t="n">
        <v>16.93275</v>
      </c>
      <c r="F1" s="1" t="s">
        <v>194</v>
      </c>
      <c r="G1" s="12"/>
      <c r="H1" s="11"/>
      <c r="I1" s="11"/>
      <c r="J1" s="11"/>
    </row>
    <row r="2" customFormat="false" ht="72.75" hidden="false" customHeight="true" outlineLevel="0" collapsed="false">
      <c r="A2" s="13" t="s">
        <v>9</v>
      </c>
      <c r="B2" s="14" t="s">
        <v>10</v>
      </c>
      <c r="C2" s="15" t="n">
        <v>134.99</v>
      </c>
      <c r="D2" s="16" t="n">
        <v>66.83</v>
      </c>
      <c r="F2" s="17" t="s">
        <v>195</v>
      </c>
    </row>
    <row r="3" customFormat="false" ht="84" hidden="false" customHeight="true" outlineLevel="0" collapsed="false">
      <c r="A3" s="7" t="s">
        <v>11</v>
      </c>
      <c r="B3" s="8" t="s">
        <v>12</v>
      </c>
      <c r="C3" s="9" t="n">
        <v>167.99</v>
      </c>
      <c r="D3" s="10" t="n">
        <v>44.55</v>
      </c>
      <c r="F3" s="17" t="s">
        <v>195</v>
      </c>
    </row>
    <row r="4" customFormat="false" ht="50.25" hidden="false" customHeight="true" outlineLevel="0" collapsed="false">
      <c r="A4" s="13" t="s">
        <v>13</v>
      </c>
      <c r="B4" s="14" t="s">
        <v>14</v>
      </c>
      <c r="C4" s="15" t="n">
        <v>147.99</v>
      </c>
      <c r="D4" s="16" t="n">
        <v>44.55</v>
      </c>
      <c r="E4" s="11" t="n">
        <v>45.144</v>
      </c>
      <c r="F4" s="17" t="s">
        <v>196</v>
      </c>
      <c r="G4" s="12"/>
      <c r="H4" s="11"/>
      <c r="I4" s="11"/>
      <c r="J4" s="11"/>
    </row>
    <row r="5" customFormat="false" ht="50.25" hidden="false" customHeight="true" outlineLevel="0" collapsed="false">
      <c r="A5" s="7" t="s">
        <v>15</v>
      </c>
      <c r="B5" s="8" t="s">
        <v>16</v>
      </c>
      <c r="C5" s="9" t="n">
        <v>167.99</v>
      </c>
      <c r="D5" s="10" t="n">
        <v>69.61</v>
      </c>
      <c r="E5" s="11" t="n">
        <v>70.538125</v>
      </c>
      <c r="F5" s="17" t="s">
        <v>197</v>
      </c>
      <c r="G5" s="12"/>
      <c r="H5" s="11"/>
      <c r="I5" s="11"/>
      <c r="J5" s="11"/>
    </row>
    <row r="6" customFormat="false" ht="50.25" hidden="false" customHeight="true" outlineLevel="0" collapsed="false">
      <c r="A6" s="13" t="s">
        <v>17</v>
      </c>
      <c r="B6" s="14" t="s">
        <v>18</v>
      </c>
      <c r="C6" s="15" t="n">
        <v>142.99</v>
      </c>
      <c r="D6" s="16" t="n">
        <v>33.41</v>
      </c>
      <c r="E6" s="11" t="n">
        <v>33.8555</v>
      </c>
      <c r="F6" s="17" t="s">
        <v>198</v>
      </c>
      <c r="G6" s="12"/>
      <c r="H6" s="11"/>
      <c r="I6" s="11"/>
      <c r="J6" s="11"/>
    </row>
    <row r="7" customFormat="false" ht="50.25" hidden="false" customHeight="true" outlineLevel="0" collapsed="false">
      <c r="A7" s="7" t="s">
        <v>19</v>
      </c>
      <c r="B7" s="8" t="s">
        <v>20</v>
      </c>
      <c r="C7" s="9" t="n">
        <v>157.99</v>
      </c>
      <c r="D7" s="10" t="n">
        <v>44.55</v>
      </c>
      <c r="E7" s="11" t="n">
        <v>45.144</v>
      </c>
      <c r="F7" s="17" t="s">
        <v>199</v>
      </c>
      <c r="G7" s="12"/>
      <c r="H7" s="11"/>
      <c r="I7" s="11"/>
      <c r="J7" s="11"/>
    </row>
    <row r="8" customFormat="false" ht="50.25" hidden="false" customHeight="true" outlineLevel="0" collapsed="false">
      <c r="A8" s="7" t="s">
        <v>79</v>
      </c>
      <c r="B8" s="8" t="s">
        <v>80</v>
      </c>
      <c r="C8" s="9" t="n">
        <v>142.99</v>
      </c>
      <c r="D8" s="10" t="n">
        <v>33.41</v>
      </c>
      <c r="E8" s="11" t="n">
        <v>33.8555</v>
      </c>
      <c r="F8" s="17" t="s">
        <v>200</v>
      </c>
      <c r="G8" s="12"/>
      <c r="H8" s="11"/>
      <c r="I8" s="11"/>
      <c r="J8" s="11"/>
    </row>
    <row r="9" customFormat="false" ht="50.25" hidden="false" customHeight="true" outlineLevel="0" collapsed="false">
      <c r="A9" s="13" t="s">
        <v>81</v>
      </c>
      <c r="B9" s="14" t="s">
        <v>82</v>
      </c>
      <c r="C9" s="15" t="n">
        <v>112.99</v>
      </c>
      <c r="D9" s="16" t="n">
        <v>25.06</v>
      </c>
      <c r="E9" s="11" t="n">
        <v>25.394125</v>
      </c>
      <c r="F9" s="17" t="s">
        <v>201</v>
      </c>
      <c r="G9" s="12"/>
      <c r="H9" s="11"/>
      <c r="I9" s="11"/>
      <c r="J9" s="11"/>
    </row>
    <row r="10" customFormat="false" ht="50.25" hidden="false" customHeight="true" outlineLevel="0" collapsed="false">
      <c r="A10" s="13" t="s">
        <v>101</v>
      </c>
      <c r="B10" s="14" t="s">
        <v>102</v>
      </c>
      <c r="C10" s="15" t="n">
        <v>32.99</v>
      </c>
      <c r="D10" s="16" t="n">
        <v>8.35</v>
      </c>
      <c r="E10" s="11" t="n">
        <v>8.461375</v>
      </c>
      <c r="F10" s="1" t="s">
        <v>194</v>
      </c>
      <c r="G10" s="12"/>
      <c r="H10" s="11"/>
      <c r="I10" s="11"/>
      <c r="J10" s="11"/>
    </row>
    <row r="11" customFormat="false" ht="33.75" hidden="false" customHeight="true" outlineLevel="0" collapsed="false">
      <c r="A11" s="7" t="n">
        <v>685264</v>
      </c>
      <c r="B11" s="8" t="s">
        <v>108</v>
      </c>
      <c r="C11" s="9" t="n">
        <v>44.99</v>
      </c>
      <c r="D11" s="10" t="n">
        <v>15.59</v>
      </c>
      <c r="E11" s="11" t="n">
        <v>15.81275</v>
      </c>
      <c r="F11" s="1" t="s">
        <v>194</v>
      </c>
      <c r="G11" s="12"/>
      <c r="H11" s="11"/>
      <c r="I11" s="11"/>
      <c r="J11" s="11"/>
    </row>
    <row r="12" customFormat="false" ht="33.75" hidden="false" customHeight="true" outlineLevel="0" collapsed="false">
      <c r="A12" s="13" t="s">
        <v>117</v>
      </c>
      <c r="B12" s="14" t="s">
        <v>118</v>
      </c>
      <c r="C12" s="15" t="n">
        <v>32.99</v>
      </c>
      <c r="D12" s="16" t="n">
        <v>8.35</v>
      </c>
      <c r="E12" s="11" t="n">
        <v>8.461375</v>
      </c>
      <c r="F12" s="1" t="s">
        <v>194</v>
      </c>
      <c r="G12" s="12"/>
      <c r="H12" s="11"/>
      <c r="I12" s="11"/>
      <c r="J12" s="11"/>
    </row>
    <row r="13" customFormat="false" ht="66.75" hidden="false" customHeight="true" outlineLevel="0" collapsed="false">
      <c r="A13" s="7" t="s">
        <v>127</v>
      </c>
      <c r="B13" s="8" t="s">
        <v>128</v>
      </c>
      <c r="C13" s="9" t="n">
        <v>69.99</v>
      </c>
      <c r="D13" s="10" t="n">
        <v>29.7</v>
      </c>
      <c r="E13" s="11" t="n">
        <v>30.1455</v>
      </c>
      <c r="F13" s="3" t="s">
        <v>202</v>
      </c>
      <c r="G13" s="12"/>
      <c r="H13" s="11"/>
      <c r="I13" s="11"/>
      <c r="J13" s="11"/>
    </row>
    <row r="14" customFormat="false" ht="66.75" hidden="false" customHeight="true" outlineLevel="0" collapsed="false">
      <c r="A14" s="7" t="s">
        <v>131</v>
      </c>
      <c r="B14" s="8" t="s">
        <v>132</v>
      </c>
      <c r="C14" s="9" t="n">
        <v>84.99</v>
      </c>
      <c r="D14" s="10" t="n">
        <v>29.7</v>
      </c>
      <c r="E14" s="11" t="n">
        <v>30.1455</v>
      </c>
      <c r="F14" s="3" t="s">
        <v>202</v>
      </c>
      <c r="G14" s="12"/>
      <c r="H14" s="11"/>
      <c r="I14" s="11"/>
      <c r="J14" s="11"/>
    </row>
    <row r="15" customFormat="false" ht="33.75" hidden="false" customHeight="true" outlineLevel="0" collapsed="false">
      <c r="A15" s="13" t="s">
        <v>137</v>
      </c>
      <c r="B15" s="14" t="s">
        <v>138</v>
      </c>
      <c r="C15" s="15" t="n">
        <v>44.99</v>
      </c>
      <c r="D15" s="16" t="n">
        <v>16.71</v>
      </c>
      <c r="E15" s="11" t="n">
        <v>16.93275</v>
      </c>
      <c r="F15" s="1" t="s">
        <v>203</v>
      </c>
      <c r="G15" s="12"/>
      <c r="H15" s="11"/>
      <c r="I15" s="11"/>
      <c r="J15" s="11"/>
    </row>
    <row r="16" customFormat="false" ht="33.75" hidden="false" customHeight="true" outlineLevel="0" collapsed="false">
      <c r="A16" s="13" t="s">
        <v>141</v>
      </c>
      <c r="B16" s="14" t="s">
        <v>142</v>
      </c>
      <c r="C16" s="15" t="n">
        <v>64.99</v>
      </c>
      <c r="D16" s="16" t="n">
        <v>33.41</v>
      </c>
      <c r="E16" s="11" t="n">
        <v>33.8555</v>
      </c>
      <c r="F16" s="1" t="s">
        <v>203</v>
      </c>
      <c r="G16" s="12"/>
      <c r="H16" s="11"/>
      <c r="I16" s="11"/>
      <c r="J16" s="11"/>
    </row>
    <row r="17" customFormat="false" ht="50.25" hidden="false" customHeight="true" outlineLevel="0" collapsed="false">
      <c r="A17" s="7" t="s">
        <v>147</v>
      </c>
      <c r="B17" s="8" t="s">
        <v>148</v>
      </c>
      <c r="C17" s="9" t="n">
        <v>44.99</v>
      </c>
      <c r="D17" s="10" t="n">
        <v>11.81</v>
      </c>
      <c r="E17" s="11" t="n">
        <v>12.03275</v>
      </c>
      <c r="F17" s="1" t="s">
        <v>203</v>
      </c>
      <c r="G17" s="12"/>
      <c r="H17" s="11"/>
      <c r="I17" s="11"/>
      <c r="J17" s="11"/>
    </row>
    <row r="18" customFormat="false" ht="33.75" hidden="false" customHeight="true" outlineLevel="0" collapsed="false">
      <c r="A18" s="7" t="s">
        <v>151</v>
      </c>
      <c r="B18" s="8" t="s">
        <v>152</v>
      </c>
      <c r="C18" s="9" t="n">
        <v>49.99</v>
      </c>
      <c r="D18" s="10" t="n">
        <v>11.81</v>
      </c>
      <c r="E18" s="11" t="n">
        <v>12.03275</v>
      </c>
      <c r="F18" s="1" t="s">
        <v>203</v>
      </c>
      <c r="G18" s="12"/>
      <c r="H18" s="11"/>
      <c r="I18" s="11"/>
      <c r="J18" s="11"/>
    </row>
    <row r="19" customFormat="false" ht="50.25" hidden="false" customHeight="true" outlineLevel="0" collapsed="false">
      <c r="A19" s="13" t="s">
        <v>153</v>
      </c>
      <c r="B19" s="14" t="s">
        <v>154</v>
      </c>
      <c r="C19" s="15" t="n">
        <v>37.99</v>
      </c>
      <c r="D19" s="16" t="n">
        <v>5.9</v>
      </c>
      <c r="E19" s="11" t="n">
        <v>6.011375</v>
      </c>
      <c r="F19" s="1" t="s">
        <v>204</v>
      </c>
      <c r="G19" s="12"/>
      <c r="H19" s="11"/>
      <c r="I19" s="11"/>
      <c r="J19" s="11"/>
    </row>
    <row r="20" customFormat="false" ht="50.25" hidden="false" customHeight="true" outlineLevel="0" collapsed="false">
      <c r="A20" s="7" t="s">
        <v>159</v>
      </c>
      <c r="B20" s="8" t="s">
        <v>160</v>
      </c>
      <c r="C20" s="9" t="n">
        <v>49.99</v>
      </c>
      <c r="D20" s="10" t="n">
        <v>11.81</v>
      </c>
      <c r="E20" s="11" t="n">
        <v>12.03275</v>
      </c>
      <c r="F20" s="1" t="s">
        <v>204</v>
      </c>
      <c r="G20" s="12"/>
      <c r="H20" s="11"/>
      <c r="I20" s="11"/>
      <c r="J20" s="11"/>
    </row>
    <row r="21" customFormat="false" ht="50.25" hidden="false" customHeight="true" outlineLevel="0" collapsed="false">
      <c r="A21" s="7" t="s">
        <v>171</v>
      </c>
      <c r="B21" s="8" t="s">
        <v>172</v>
      </c>
      <c r="C21" s="9" t="n">
        <v>44.99</v>
      </c>
      <c r="D21" s="10" t="n">
        <v>11.81</v>
      </c>
      <c r="E21" s="11" t="n">
        <v>12.03275</v>
      </c>
      <c r="F21" s="1" t="s">
        <v>204</v>
      </c>
      <c r="G21" s="12"/>
      <c r="H21" s="11"/>
      <c r="I21" s="11"/>
      <c r="J21" s="11"/>
    </row>
    <row r="22" customFormat="false" ht="33.75" hidden="false" customHeight="true" outlineLevel="0" collapsed="false">
      <c r="A22" s="13" t="n">
        <v>869339</v>
      </c>
      <c r="B22" s="14" t="s">
        <v>173</v>
      </c>
      <c r="C22" s="15" t="n">
        <v>44.99</v>
      </c>
      <c r="D22" s="10" t="n">
        <v>11.81</v>
      </c>
      <c r="E22" s="11" t="n">
        <v>12.03275</v>
      </c>
      <c r="F22" s="1" t="s">
        <v>203</v>
      </c>
      <c r="G22" s="12"/>
      <c r="H22" s="11"/>
      <c r="I22" s="11"/>
      <c r="J22" s="11"/>
    </row>
    <row r="23" customFormat="false" ht="50.25" hidden="false" customHeight="true" outlineLevel="0" collapsed="false">
      <c r="A23" s="7" t="s">
        <v>167</v>
      </c>
      <c r="B23" s="8" t="s">
        <v>168</v>
      </c>
      <c r="C23" s="9" t="n">
        <v>142.99</v>
      </c>
      <c r="D23" s="10" t="n">
        <v>33.41</v>
      </c>
      <c r="E23" s="11" t="n">
        <v>33.8555</v>
      </c>
      <c r="F23" s="3" t="s">
        <v>205</v>
      </c>
      <c r="G23" s="12"/>
      <c r="H23" s="11"/>
      <c r="I23" s="11"/>
      <c r="J23" s="11"/>
    </row>
    <row r="24" customFormat="false" ht="50.25" hidden="false" customHeight="true" outlineLevel="0" collapsed="false">
      <c r="A24" s="7" t="s">
        <v>174</v>
      </c>
      <c r="B24" s="8" t="s">
        <v>175</v>
      </c>
      <c r="C24" s="9" t="n">
        <v>142.99</v>
      </c>
      <c r="D24" s="10" t="n">
        <v>33.41</v>
      </c>
      <c r="E24" s="11" t="n">
        <v>33.8555</v>
      </c>
      <c r="F24" s="3" t="s">
        <v>206</v>
      </c>
      <c r="G24" s="12"/>
      <c r="H24" s="11"/>
      <c r="I24" s="11"/>
      <c r="J24" s="1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1" width="53.83"/>
    <col collapsed="false" customWidth="true" hidden="false" outlineLevel="0" max="3" min="3" style="1" width="11.83"/>
    <col collapsed="false" customWidth="true" hidden="false" outlineLevel="0" max="4" min="4" style="1" width="25.16"/>
    <col collapsed="false" customWidth="true" hidden="false" outlineLevel="0" max="5" min="5" style="1" width="14.52"/>
  </cols>
  <sheetData>
    <row r="1" customFormat="false" ht="33.75" hidden="false" customHeight="true" outlineLevel="0" collapsed="false">
      <c r="A1" s="13" t="s">
        <v>49</v>
      </c>
      <c r="B1" s="14" t="s">
        <v>50</v>
      </c>
      <c r="C1" s="15" t="n">
        <v>57.99</v>
      </c>
      <c r="D1" s="18" t="n">
        <v>13.07</v>
      </c>
    </row>
    <row r="2" customFormat="false" ht="16.5" hidden="false" customHeight="true" outlineLevel="0" collapsed="false">
      <c r="A2" s="7" t="s">
        <v>51</v>
      </c>
      <c r="B2" s="8" t="s">
        <v>52</v>
      </c>
      <c r="C2" s="9" t="n">
        <v>44.99</v>
      </c>
      <c r="D2" s="1" t="s">
        <v>207</v>
      </c>
    </row>
    <row r="3" customFormat="false" ht="16.5" hidden="false" customHeight="true" outlineLevel="0" collapsed="false">
      <c r="A3" s="13" t="s">
        <v>53</v>
      </c>
      <c r="B3" s="14" t="s">
        <v>54</v>
      </c>
      <c r="C3" s="15" t="n">
        <v>52.99</v>
      </c>
      <c r="D3" s="19" t="n">
        <v>16.04</v>
      </c>
    </row>
    <row r="4" customFormat="false" ht="16.5" hidden="false" customHeight="true" outlineLevel="0" collapsed="false">
      <c r="A4" s="7" t="s">
        <v>55</v>
      </c>
      <c r="B4" s="8" t="s">
        <v>56</v>
      </c>
      <c r="C4" s="9" t="n">
        <v>57.99</v>
      </c>
      <c r="D4" s="18" t="n">
        <v>16.04</v>
      </c>
    </row>
    <row r="5" customFormat="false" ht="16.5" hidden="false" customHeight="true" outlineLevel="0" collapsed="false">
      <c r="A5" s="13" t="s">
        <v>57</v>
      </c>
      <c r="B5" s="14" t="s">
        <v>58</v>
      </c>
      <c r="C5" s="15" t="n">
        <v>57.99</v>
      </c>
      <c r="D5" s="18" t="n">
        <v>16.04</v>
      </c>
    </row>
    <row r="6" customFormat="false" ht="16.5" hidden="false" customHeight="true" outlineLevel="0" collapsed="false">
      <c r="A6" s="7" t="s">
        <v>59</v>
      </c>
      <c r="B6" s="8" t="s">
        <v>60</v>
      </c>
      <c r="C6" s="9" t="n">
        <v>57.99</v>
      </c>
      <c r="D6" s="18" t="n">
        <v>16.04</v>
      </c>
    </row>
    <row r="7" customFormat="false" ht="16.5" hidden="false" customHeight="true" outlineLevel="0" collapsed="false">
      <c r="A7" s="13" t="s">
        <v>61</v>
      </c>
      <c r="B7" s="14" t="s">
        <v>62</v>
      </c>
      <c r="C7" s="15" t="n">
        <v>57.99</v>
      </c>
      <c r="D7" s="18" t="n">
        <v>13.07</v>
      </c>
    </row>
    <row r="8" customFormat="false" ht="16.5" hidden="false" customHeight="true" outlineLevel="0" collapsed="false">
      <c r="A8" s="7" t="s">
        <v>63</v>
      </c>
      <c r="B8" s="8" t="s">
        <v>64</v>
      </c>
      <c r="C8" s="9" t="n">
        <v>59.99</v>
      </c>
      <c r="D8" s="18" t="n">
        <v>16.04</v>
      </c>
    </row>
    <row r="9" customFormat="false" ht="16.5" hidden="false" customHeight="true" outlineLevel="0" collapsed="false">
      <c r="A9" s="13" t="s">
        <v>65</v>
      </c>
      <c r="B9" s="14" t="s">
        <v>66</v>
      </c>
      <c r="C9" s="15" t="n">
        <v>57.99</v>
      </c>
      <c r="D9" s="18" t="n">
        <v>13.07</v>
      </c>
    </row>
    <row r="10" customFormat="false" ht="16.5" hidden="false" customHeight="true" outlineLevel="0" collapsed="false">
      <c r="A10" s="7" t="s">
        <v>67</v>
      </c>
      <c r="B10" s="8" t="s">
        <v>68</v>
      </c>
      <c r="C10" s="9" t="n">
        <v>57.99</v>
      </c>
      <c r="D10" s="18" t="n">
        <v>13.07</v>
      </c>
    </row>
    <row r="11" customFormat="false" ht="16.5" hidden="false" customHeight="true" outlineLevel="0" collapsed="false">
      <c r="A11" s="13" t="s">
        <v>69</v>
      </c>
      <c r="B11" s="14" t="s">
        <v>70</v>
      </c>
      <c r="C11" s="15" t="n">
        <v>57.99</v>
      </c>
      <c r="D11" s="18" t="n">
        <v>13.07</v>
      </c>
    </row>
    <row r="12" customFormat="false" ht="33.75" hidden="false" customHeight="true" outlineLevel="0" collapsed="false">
      <c r="A12" s="7" t="s">
        <v>71</v>
      </c>
      <c r="B12" s="8" t="s">
        <v>72</v>
      </c>
      <c r="C12" s="9" t="n">
        <v>57.99</v>
      </c>
      <c r="D12" s="18" t="n">
        <v>13.07</v>
      </c>
    </row>
    <row r="13" customFormat="false" ht="33.75" hidden="false" customHeight="true" outlineLevel="0" collapsed="false">
      <c r="A13" s="13" t="s">
        <v>73</v>
      </c>
      <c r="B13" s="14" t="s">
        <v>74</v>
      </c>
      <c r="C13" s="15" t="n">
        <v>57.99</v>
      </c>
      <c r="D13" s="18"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1" width="80.5"/>
    <col collapsed="false" customWidth="true" hidden="false" outlineLevel="0" max="6" min="6" style="1" width="40.67"/>
  </cols>
  <sheetData>
    <row r="1" customFormat="false" ht="31.5" hidden="false" customHeight="true" outlineLevel="0" collapsed="false">
      <c r="A1" s="13" t="s">
        <v>4</v>
      </c>
      <c r="B1" s="14" t="s">
        <v>5</v>
      </c>
      <c r="C1" s="15" t="n">
        <v>37.99</v>
      </c>
      <c r="D1" s="18" t="n">
        <v>5.35</v>
      </c>
      <c r="F1" s="20" t="s">
        <v>208</v>
      </c>
    </row>
    <row r="2" customFormat="false" ht="16.5" hidden="false" customHeight="true" outlineLevel="0" collapsed="false">
      <c r="A2" s="7" t="s">
        <v>95</v>
      </c>
      <c r="B2" s="8" t="s">
        <v>96</v>
      </c>
      <c r="C2" s="9" t="n">
        <v>24.99</v>
      </c>
      <c r="D2" s="18" t="n">
        <v>2.67</v>
      </c>
    </row>
    <row r="3" customFormat="false" ht="16.5" hidden="false" customHeight="true" outlineLevel="0" collapsed="false">
      <c r="A3" s="13" t="s">
        <v>97</v>
      </c>
      <c r="B3" s="14" t="s">
        <v>98</v>
      </c>
      <c r="C3" s="15" t="n">
        <v>44.99</v>
      </c>
      <c r="D3" s="18" t="n">
        <v>10.69</v>
      </c>
    </row>
    <row r="4" customFormat="false" ht="16.5" hidden="false" customHeight="true" outlineLevel="0" collapsed="false">
      <c r="A4" s="7" t="s">
        <v>99</v>
      </c>
      <c r="B4" s="8" t="s">
        <v>100</v>
      </c>
      <c r="C4" s="9" t="n">
        <v>24.99</v>
      </c>
      <c r="D4" s="18" t="n">
        <v>2.67</v>
      </c>
    </row>
    <row r="5" customFormat="false" ht="16.5" hidden="false" customHeight="true" outlineLevel="0" collapsed="false">
      <c r="A5" s="7" t="s">
        <v>103</v>
      </c>
      <c r="B5" s="8" t="s">
        <v>104</v>
      </c>
      <c r="C5" s="9" t="n">
        <v>44.99</v>
      </c>
      <c r="D5" s="18" t="n">
        <v>9.5</v>
      </c>
    </row>
    <row r="6" customFormat="false" ht="16.5" hidden="false" customHeight="true" outlineLevel="0" collapsed="false">
      <c r="A6" s="13" t="s">
        <v>105</v>
      </c>
      <c r="B6" s="14" t="s">
        <v>106</v>
      </c>
      <c r="C6" s="15" t="n">
        <v>44.99</v>
      </c>
      <c r="D6" s="18" t="n">
        <v>10.69</v>
      </c>
    </row>
    <row r="7" customFormat="false" ht="16.5" hidden="false" customHeight="true" outlineLevel="0" collapsed="false">
      <c r="A7" s="13" t="s">
        <v>109</v>
      </c>
      <c r="B7" s="14" t="s">
        <v>110</v>
      </c>
      <c r="C7" s="15" t="n">
        <v>32.99</v>
      </c>
      <c r="D7" s="18" t="n">
        <v>5.35</v>
      </c>
    </row>
    <row r="8" customFormat="false" ht="16.5" hidden="false" customHeight="true" outlineLevel="0" collapsed="false">
      <c r="A8" s="7" t="s">
        <v>111</v>
      </c>
      <c r="B8" s="8" t="s">
        <v>112</v>
      </c>
      <c r="C8" s="9" t="n">
        <v>49.99</v>
      </c>
      <c r="D8" s="18" t="n">
        <v>5.35</v>
      </c>
    </row>
    <row r="9" customFormat="false" ht="16.5" hidden="false" customHeight="true" outlineLevel="0" collapsed="false">
      <c r="A9" s="7" t="s">
        <v>115</v>
      </c>
      <c r="B9" s="8" t="s">
        <v>116</v>
      </c>
      <c r="C9" s="9" t="n">
        <v>27.99</v>
      </c>
      <c r="D9" s="18" t="n">
        <v>2.67</v>
      </c>
    </row>
    <row r="10" customFormat="false" ht="16.5" hidden="false" customHeight="true" outlineLevel="0" collapsed="false">
      <c r="A10" s="7" t="s">
        <v>119</v>
      </c>
      <c r="B10" s="8" t="s">
        <v>120</v>
      </c>
      <c r="C10" s="9" t="n">
        <v>44.99</v>
      </c>
      <c r="D10" s="18" t="n">
        <v>9.5</v>
      </c>
    </row>
    <row r="11" customFormat="false" ht="16.5" hidden="false" customHeight="true" outlineLevel="0" collapsed="false">
      <c r="A11" s="13" t="s">
        <v>121</v>
      </c>
      <c r="B11" s="14" t="s">
        <v>122</v>
      </c>
      <c r="C11" s="15" t="n">
        <v>49.99</v>
      </c>
      <c r="D11" s="18" t="n">
        <v>2</v>
      </c>
    </row>
    <row r="12" customFormat="false" ht="16.5" hidden="false" customHeight="true" outlineLevel="0" collapsed="false">
      <c r="A12" s="7" t="s">
        <v>123</v>
      </c>
      <c r="B12" s="8" t="s">
        <v>124</v>
      </c>
      <c r="C12" s="9" t="n">
        <v>32.99</v>
      </c>
      <c r="D12" s="18" t="n">
        <v>2.67</v>
      </c>
    </row>
    <row r="13" customFormat="false" ht="16.5" hidden="false" customHeight="true" outlineLevel="0" collapsed="false">
      <c r="A13" s="13" t="s">
        <v>125</v>
      </c>
      <c r="B13" s="14" t="s">
        <v>126</v>
      </c>
      <c r="C13" s="15" t="n">
        <v>37.99</v>
      </c>
      <c r="D13" s="18" t="n">
        <v>4.01</v>
      </c>
    </row>
    <row r="14" customFormat="false" ht="16.5" hidden="false" customHeight="true" outlineLevel="0" collapsed="false">
      <c r="A14" s="13" t="s">
        <v>129</v>
      </c>
      <c r="B14" s="14" t="s">
        <v>130</v>
      </c>
      <c r="C14" s="15" t="n">
        <v>37.99</v>
      </c>
      <c r="D14" s="18" t="n">
        <v>10.69</v>
      </c>
    </row>
    <row r="15" customFormat="false" ht="16.5" hidden="false" customHeight="true" outlineLevel="0" collapsed="false">
      <c r="A15" s="13" t="s">
        <v>133</v>
      </c>
      <c r="B15" s="14" t="s">
        <v>134</v>
      </c>
      <c r="C15" s="15" t="n">
        <v>37.99</v>
      </c>
      <c r="D15" s="18" t="n">
        <v>10.69</v>
      </c>
    </row>
    <row r="16" customFormat="false" ht="16.5" hidden="false" customHeight="true" outlineLevel="0" collapsed="false">
      <c r="A16" s="7" t="s">
        <v>135</v>
      </c>
      <c r="B16" s="8" t="s">
        <v>136</v>
      </c>
      <c r="C16" s="9" t="n">
        <v>44.99</v>
      </c>
      <c r="D16" s="18" t="n">
        <v>10.69</v>
      </c>
    </row>
    <row r="17" customFormat="false" ht="16.5" hidden="false" customHeight="true" outlineLevel="0" collapsed="false">
      <c r="A17" s="7" t="s">
        <v>139</v>
      </c>
      <c r="B17" s="8" t="s">
        <v>140</v>
      </c>
      <c r="C17" s="9" t="n">
        <v>32.99</v>
      </c>
      <c r="D17" s="18" t="n">
        <v>2.89</v>
      </c>
    </row>
    <row r="18" customFormat="false" ht="16.5" hidden="false" customHeight="true" outlineLevel="0" collapsed="false">
      <c r="A18" s="7" t="s">
        <v>143</v>
      </c>
      <c r="B18" s="8" t="s">
        <v>144</v>
      </c>
      <c r="C18" s="9" t="n">
        <v>49.99</v>
      </c>
      <c r="D18" s="18" t="n">
        <v>1.94</v>
      </c>
    </row>
    <row r="19" customFormat="false" ht="16.5" hidden="false" customHeight="true" outlineLevel="0" collapsed="false">
      <c r="A19" s="13" t="s">
        <v>149</v>
      </c>
      <c r="B19" s="14" t="s">
        <v>150</v>
      </c>
      <c r="C19" s="15" t="n">
        <v>49.99</v>
      </c>
      <c r="D19" s="18" t="n">
        <v>10.69</v>
      </c>
    </row>
    <row r="20" customFormat="false" ht="16.5" hidden="false" customHeight="true" outlineLevel="0" collapsed="false">
      <c r="A20" s="7" t="s">
        <v>155</v>
      </c>
      <c r="B20" s="8" t="s">
        <v>156</v>
      </c>
      <c r="C20" s="9" t="n">
        <v>32.99</v>
      </c>
      <c r="D20" s="21" t="n">
        <f aca="false">D18*1.65</f>
        <v>3.201</v>
      </c>
    </row>
    <row r="21" customFormat="false" ht="16.5" hidden="false" customHeight="true" outlineLevel="0" collapsed="false">
      <c r="A21" s="13" t="s">
        <v>157</v>
      </c>
      <c r="B21" s="14" t="s">
        <v>158</v>
      </c>
      <c r="C21" s="15" t="n">
        <v>32.99</v>
      </c>
      <c r="D21" s="18" t="n">
        <v>5.35</v>
      </c>
    </row>
    <row r="22" customFormat="false" ht="16.5" hidden="false" customHeight="true" outlineLevel="0" collapsed="false">
      <c r="A22" s="13" t="s">
        <v>161</v>
      </c>
      <c r="B22" s="14" t="s">
        <v>162</v>
      </c>
      <c r="C22" s="15" t="n">
        <v>32.99</v>
      </c>
      <c r="D22" s="18" t="n">
        <v>2.67</v>
      </c>
    </row>
    <row r="23" customFormat="false" ht="16.5" hidden="false" customHeight="true" outlineLevel="0" collapsed="false">
      <c r="A23" s="7" t="s">
        <v>163</v>
      </c>
      <c r="B23" s="8" t="s">
        <v>164</v>
      </c>
      <c r="C23" s="9" t="n">
        <v>32.99</v>
      </c>
      <c r="D23" s="18"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3"/>
    <col collapsed="false" customWidth="true" hidden="false" outlineLevel="0" max="3" min="3" style="1" width="48"/>
    <col collapsed="false" customWidth="true" hidden="false" outlineLevel="0" max="9" min="4" style="1" width="15"/>
    <col collapsed="false" customWidth="true" hidden="false" outlineLevel="0" max="10" min="10" style="1" width="16"/>
    <col collapsed="false" customWidth="true" hidden="false" outlineLevel="0" max="12" min="11" style="1" width="14"/>
  </cols>
  <sheetData>
    <row r="1" customFormat="false" ht="18.75" hidden="false" customHeight="true" outlineLevel="0" collapsed="false">
      <c r="A1" s="22" t="s">
        <v>209</v>
      </c>
    </row>
    <row r="2" customFormat="false" ht="30" hidden="false" customHeight="true" outlineLevel="0" collapsed="false">
      <c r="A2" s="23" t="s">
        <v>210</v>
      </c>
      <c r="B2" s="23"/>
      <c r="C2" s="23"/>
      <c r="D2" s="23"/>
      <c r="E2" s="23"/>
      <c r="F2" s="23"/>
      <c r="G2" s="23"/>
      <c r="H2" s="23"/>
      <c r="I2" s="23"/>
      <c r="J2" s="23"/>
    </row>
    <row r="3" customFormat="false" ht="30" hidden="false" customHeight="true" outlineLevel="0" collapsed="false">
      <c r="A3" s="23" t="s">
        <v>211</v>
      </c>
      <c r="B3" s="23"/>
      <c r="C3" s="23"/>
      <c r="D3" s="23"/>
      <c r="E3" s="23"/>
      <c r="F3" s="23"/>
      <c r="G3" s="23"/>
      <c r="H3" s="23"/>
      <c r="I3" s="23"/>
      <c r="J3" s="23"/>
    </row>
    <row r="5" customFormat="false" ht="48.75" hidden="false" customHeight="true" outlineLevel="0" collapsed="false">
      <c r="A5" s="24" t="s">
        <v>212</v>
      </c>
      <c r="B5" s="24" t="s">
        <v>0</v>
      </c>
      <c r="C5" s="24" t="s">
        <v>1</v>
      </c>
      <c r="D5" s="24" t="s">
        <v>213</v>
      </c>
      <c r="E5" s="24" t="s">
        <v>214</v>
      </c>
      <c r="F5" s="24" t="s">
        <v>215</v>
      </c>
      <c r="G5" s="24" t="s">
        <v>216</v>
      </c>
      <c r="H5" s="25" t="s">
        <v>217</v>
      </c>
      <c r="I5" s="25" t="s">
        <v>218</v>
      </c>
      <c r="J5" s="24" t="s">
        <v>219</v>
      </c>
      <c r="K5" s="24" t="s">
        <v>220</v>
      </c>
      <c r="L5" s="24" t="s">
        <v>221</v>
      </c>
      <c r="M5" s="25"/>
      <c r="N5" s="25"/>
    </row>
    <row r="6" customFormat="false" ht="31.5" hidden="false" customHeight="true" outlineLevel="0" collapsed="false">
      <c r="A6" s="26" t="s">
        <v>222</v>
      </c>
      <c r="B6" s="26" t="str">
        <f aca="false">'1.6 AL ON WEBSITE'!A1</f>
        <v>114090</v>
      </c>
      <c r="C6" s="27" t="str">
        <f aca="false">'1.6 AL ON WEBSITE'!B1</f>
        <v>Security Sign This Area Is Under 24 Hour Surv Metal 450x300 SW023LSM</v>
      </c>
      <c r="D6" s="28" t="n">
        <f aca="false">'1.6 AL ON WEBSITE'!C1</f>
        <v>42.99</v>
      </c>
      <c r="E6" s="28" t="n">
        <f aca="false">D6/1.1</f>
        <v>39.0818181818182</v>
      </c>
      <c r="F6" s="28" t="n">
        <f aca="false">'1.6 AL ON WEBSITE'!D1</f>
        <v>16.71</v>
      </c>
      <c r="G6" s="28" t="n">
        <f aca="false">F6*1.1</f>
        <v>18.381</v>
      </c>
      <c r="H6" s="11" t="n">
        <f aca="false">IF('1.6 AL ON WEBSITE'!E1="","",'1.6 AL ON WEBSITE'!E1)</f>
        <v>16.93275</v>
      </c>
      <c r="I6" s="11" t="n">
        <f aca="false">IF(H6="","",H6*1.1)</f>
        <v>18.626025</v>
      </c>
      <c r="J6" s="28" t="n">
        <f aca="false">E6-F6</f>
        <v>22.3718181818182</v>
      </c>
      <c r="K6" s="29" t="n">
        <f aca="false">IFERROR(E6/F6-1,"")</f>
        <v>1.33882813775094</v>
      </c>
      <c r="L6" s="27" t="str">
        <f aca="false">IF('1.6 AL ON WEBSITE'!F1="","",'1.6 AL ON WEBSITE'!F1)</f>
        <v>Site/Warehouse safety sign </v>
      </c>
      <c r="M6" s="11"/>
      <c r="N6" s="11"/>
    </row>
    <row r="7" customFormat="false" ht="48" hidden="false" customHeight="true" outlineLevel="0" collapsed="false">
      <c r="A7" s="26" t="s">
        <v>222</v>
      </c>
      <c r="B7" s="26" t="str">
        <f aca="false">'1.6 AL ON WEBSITE'!A2</f>
        <v>201032</v>
      </c>
      <c r="C7" s="27" t="str">
        <f aca="false">'1.6 AL ON WEBSITE'!B2</f>
        <v>Uniform Safety Flat Plate Swing Stand Reduce Speed Metal SG519-ALUM</v>
      </c>
      <c r="D7" s="28" t="n">
        <f aca="false">'1.6 AL ON WEBSITE'!C2</f>
        <v>134.99</v>
      </c>
      <c r="E7" s="28" t="n">
        <f aca="false">D7/1.1</f>
        <v>122.718181818182</v>
      </c>
      <c r="F7" s="28" t="n">
        <f aca="false">'1.6 AL ON WEBSITE'!D2</f>
        <v>66.83</v>
      </c>
      <c r="G7" s="28" t="n">
        <f aca="false">F7*1.1</f>
        <v>73.513</v>
      </c>
      <c r="H7" s="11" t="str">
        <f aca="false">IF('1.6 AL ON WEBSITE'!E2="","",'1.6 AL ON WEBSITE'!E2)</f>
        <v/>
      </c>
      <c r="I7" s="11" t="str">
        <f aca="false">IF(H7="","",H7*1.1)</f>
        <v/>
      </c>
      <c r="J7" s="28" t="n">
        <f aca="false">E7-F7</f>
        <v>55.8881818181818</v>
      </c>
      <c r="K7" s="29" t="n">
        <f aca="false">IFERROR(E7/F7-1,"")</f>
        <v>0.836273856324732</v>
      </c>
      <c r="L7" s="27" t="str">
        <f aca="false">IF('1.6 AL ON WEBSITE'!F2="","",'1.6 AL ON WEBSITE'!F2)</f>
        <v>Traffic control temp signage assuming this is 900x600 no sizes provided, more used for gardnening or side road works. Swing stand holes required </v>
      </c>
      <c r="M7" s="11"/>
      <c r="N7" s="11"/>
    </row>
    <row r="8" customFormat="false" ht="48" hidden="false" customHeight="true" outlineLevel="0" collapsed="false">
      <c r="A8" s="26" t="s">
        <v>222</v>
      </c>
      <c r="B8" s="26" t="str">
        <f aca="false">'1.6 AL ON WEBSITE'!A3</f>
        <v>201033</v>
      </c>
      <c r="C8" s="27" t="str">
        <f aca="false">'1.6 AL ON WEBSITE'!B3</f>
        <v>Unifrom Safety Sign Flate Plat Swing Stand End Roadwork Metal SG501-ALUM</v>
      </c>
      <c r="D8" s="28" t="n">
        <f aca="false">'1.6 AL ON WEBSITE'!C3</f>
        <v>167.99</v>
      </c>
      <c r="E8" s="28" t="n">
        <f aca="false">D8/1.1</f>
        <v>152.718181818182</v>
      </c>
      <c r="F8" s="28" t="n">
        <f aca="false">'1.6 AL ON WEBSITE'!D3</f>
        <v>44.55</v>
      </c>
      <c r="G8" s="28" t="n">
        <f aca="false">F8*1.1</f>
        <v>49.005</v>
      </c>
      <c r="H8" s="11" t="str">
        <f aca="false">IF('1.6 AL ON WEBSITE'!E3="","",'1.6 AL ON WEBSITE'!E3)</f>
        <v/>
      </c>
      <c r="I8" s="11" t="str">
        <f aca="false">IF(H8="","",H8*1.1)</f>
        <v/>
      </c>
      <c r="J8" s="28" t="n">
        <f aca="false">E8-F8</f>
        <v>108.168181818182</v>
      </c>
      <c r="K8" s="29" t="n">
        <f aca="false">IFERROR(E8/F8-1,"")</f>
        <v>2.42801754922967</v>
      </c>
      <c r="L8" s="27" t="str">
        <f aca="false">IF('1.6 AL ON WEBSITE'!F3="","",'1.6 AL ON WEBSITE'!F3)</f>
        <v>Traffic control temp signage assuming this is 900x600 no sizes provided, more used for gardnening or side road works. Swing stand holes required </v>
      </c>
      <c r="M8" s="11"/>
      <c r="N8" s="11"/>
    </row>
    <row r="9" customFormat="false" ht="31.5" hidden="false" customHeight="true" outlineLevel="0" collapsed="false">
      <c r="A9" s="26" t="s">
        <v>222</v>
      </c>
      <c r="B9" s="26" t="str">
        <f aca="false">'1.6 AL ON WEBSITE'!A4</f>
        <v>60268</v>
      </c>
      <c r="C9" s="27" t="str">
        <f aca="false">'1.6 AL ON WEBSITE'!B4</f>
        <v>Stop 600mm Octagonal Metal Traffic Sign R1-1A-1X</v>
      </c>
      <c r="D9" s="28" t="n">
        <f aca="false">'1.6 AL ON WEBSITE'!C4</f>
        <v>147.99</v>
      </c>
      <c r="E9" s="28" t="n">
        <f aca="false">D9/1.1</f>
        <v>134.536363636364</v>
      </c>
      <c r="F9" s="28" t="n">
        <f aca="false">'1.6 AL ON WEBSITE'!D4</f>
        <v>44.55</v>
      </c>
      <c r="G9" s="28" t="n">
        <f aca="false">F9*1.1</f>
        <v>49.005</v>
      </c>
      <c r="H9" s="11" t="n">
        <f aca="false">IF('1.6 AL ON WEBSITE'!E4="","",'1.6 AL ON WEBSITE'!E4)</f>
        <v>45.144</v>
      </c>
      <c r="I9" s="11" t="n">
        <f aca="false">IF(H9="","",H9*1.1)</f>
        <v>49.6584</v>
      </c>
      <c r="J9" s="28" t="n">
        <f aca="false">E9-F9</f>
        <v>89.9863636363636</v>
      </c>
      <c r="K9" s="29" t="n">
        <f aca="false">IFERROR(E9/F9-1,"")</f>
        <v>2.01989592898684</v>
      </c>
      <c r="L9" s="27" t="str">
        <f aca="false">IF('1.6 AL ON WEBSITE'!F4="","",'1.6 AL ON WEBSITE'!F4)</f>
        <v>Traffic signage, STOP sign, only sold in one size at RSEA, comes in 3 different standard sizes. </v>
      </c>
      <c r="M9" s="11"/>
      <c r="N9" s="11"/>
    </row>
    <row r="10" customFormat="false" ht="31.5" hidden="false" customHeight="true" outlineLevel="0" collapsed="false">
      <c r="A10" s="26" t="s">
        <v>222</v>
      </c>
      <c r="B10" s="26" t="str">
        <f aca="false">'1.6 AL ON WEBSITE'!A5</f>
        <v>60273</v>
      </c>
      <c r="C10" s="27" t="str">
        <f aca="false">'1.6 AL ON WEBSITE'!B5</f>
        <v>Give Way 750mm Triangle Metal Traffic Sign R1-2A</v>
      </c>
      <c r="D10" s="28" t="n">
        <f aca="false">'1.6 AL ON WEBSITE'!C5</f>
        <v>167.99</v>
      </c>
      <c r="E10" s="28" t="n">
        <f aca="false">D10/1.1</f>
        <v>152.718181818182</v>
      </c>
      <c r="F10" s="28" t="n">
        <f aca="false">'1.6 AL ON WEBSITE'!D5</f>
        <v>69.61</v>
      </c>
      <c r="G10" s="28" t="n">
        <f aca="false">F10*1.1</f>
        <v>76.571</v>
      </c>
      <c r="H10" s="11" t="n">
        <f aca="false">IF('1.6 AL ON WEBSITE'!E5="","",'1.6 AL ON WEBSITE'!E5)</f>
        <v>70.538125</v>
      </c>
      <c r="I10" s="11" t="n">
        <f aca="false">IF(H10="","",H10*1.1)</f>
        <v>77.5919375</v>
      </c>
      <c r="J10" s="28" t="n">
        <f aca="false">E10-F10</f>
        <v>83.1081818181818</v>
      </c>
      <c r="K10" s="29" t="n">
        <f aca="false">IFERROR(E10/F10-1,"")</f>
        <v>1.19391153308694</v>
      </c>
      <c r="L10" s="27" t="str">
        <f aca="false">IF('1.6 AL ON WEBSITE'!F5="","",'1.6 AL ON WEBSITE'!F5)</f>
        <v>Traffic signage, GIVE WAY sign, only sold in one size at RSEA comes in 4 different standard sizes</v>
      </c>
      <c r="M10" s="11"/>
      <c r="N10" s="11"/>
    </row>
    <row r="11" customFormat="false" ht="31.5" hidden="false" customHeight="true" outlineLevel="0" collapsed="false">
      <c r="A11" s="26" t="s">
        <v>222</v>
      </c>
      <c r="B11" s="26" t="str">
        <f aca="false">'1.6 AL ON WEBSITE'!A6</f>
        <v>60290</v>
      </c>
      <c r="C11" s="27" t="str">
        <f aca="false">'1.6 AL ON WEBSITE'!B6</f>
        <v>Keep Left Arrow 450x600mm Metal Traffic Sign R2-3AL</v>
      </c>
      <c r="D11" s="28" t="n">
        <f aca="false">'1.6 AL ON WEBSITE'!C6</f>
        <v>142.99</v>
      </c>
      <c r="E11" s="28" t="n">
        <f aca="false">D11/1.1</f>
        <v>129.990909090909</v>
      </c>
      <c r="F11" s="28" t="n">
        <f aca="false">'1.6 AL ON WEBSITE'!D6</f>
        <v>33.41</v>
      </c>
      <c r="G11" s="28" t="n">
        <f aca="false">F11*1.1</f>
        <v>36.751</v>
      </c>
      <c r="H11" s="11" t="n">
        <f aca="false">IF('1.6 AL ON WEBSITE'!E6="","",'1.6 AL ON WEBSITE'!E6)</f>
        <v>33.8555</v>
      </c>
      <c r="I11" s="11" t="n">
        <f aca="false">IF(H11="","",H11*1.1)</f>
        <v>37.24105</v>
      </c>
      <c r="J11" s="28" t="n">
        <f aca="false">E11-F11</f>
        <v>96.5809090909091</v>
      </c>
      <c r="K11" s="29" t="n">
        <f aca="false">IFERROR(E11/F11-1,"")</f>
        <v>2.89077848221817</v>
      </c>
      <c r="L11" s="27" t="str">
        <f aca="false">IF('1.6 AL ON WEBSITE'!F6="","",'1.6 AL ON WEBSITE'!F6)</f>
        <v>Traffic signage, KEEP LEFT sign, only sold in one size at RSEA, comes in 3 different standard sizes </v>
      </c>
      <c r="M11" s="11"/>
      <c r="N11" s="11"/>
    </row>
    <row r="12" customFormat="false" ht="31.5" hidden="false" customHeight="true" outlineLevel="0" collapsed="false">
      <c r="A12" s="26" t="s">
        <v>222</v>
      </c>
      <c r="B12" s="26" t="str">
        <f aca="false">'1.6 AL ON WEBSITE'!A7</f>
        <v>60314</v>
      </c>
      <c r="C12" s="27" t="str">
        <f aca="false">'1.6 AL ON WEBSITE'!B7</f>
        <v>Lime Green Pedestrian Crossing Sign 600mm</v>
      </c>
      <c r="D12" s="28" t="n">
        <f aca="false">'1.6 AL ON WEBSITE'!C7</f>
        <v>157.99</v>
      </c>
      <c r="E12" s="28" t="n">
        <f aca="false">D12/1.1</f>
        <v>143.627272727273</v>
      </c>
      <c r="F12" s="28" t="n">
        <f aca="false">'1.6 AL ON WEBSITE'!D7</f>
        <v>44.55</v>
      </c>
      <c r="G12" s="28" t="n">
        <f aca="false">F12*1.1</f>
        <v>49.005</v>
      </c>
      <c r="H12" s="11" t="n">
        <f aca="false">IF('1.6 AL ON WEBSITE'!E7="","",'1.6 AL ON WEBSITE'!E7)</f>
        <v>45.144</v>
      </c>
      <c r="I12" s="11" t="n">
        <f aca="false">IF(H12="","",H12*1.1)</f>
        <v>49.6584</v>
      </c>
      <c r="J12" s="28" t="n">
        <f aca="false">E12-F12</f>
        <v>99.0772727272727</v>
      </c>
      <c r="K12" s="29" t="n">
        <f aca="false">IFERROR(E12/F12-1,"")</f>
        <v>2.22395673910825</v>
      </c>
      <c r="L12" s="27" t="str">
        <f aca="false">IF('1.6 AL ON WEBSITE'!F7="","",'1.6 AL ON WEBSITE'!F7)</f>
        <v>Traffic signage, PEDESTRIAN CROSSING sign, only sold in one size at RSEA, comes in 3 standard sizes. </v>
      </c>
      <c r="M12" s="11"/>
      <c r="N12" s="11"/>
    </row>
    <row r="13" customFormat="false" ht="31.5" hidden="false" customHeight="true" outlineLevel="0" collapsed="false">
      <c r="A13" s="26" t="s">
        <v>222</v>
      </c>
      <c r="B13" s="26" t="str">
        <f aca="false">'1.6 AL ON WEBSITE'!A8</f>
        <v>61041</v>
      </c>
      <c r="C13" s="27" t="str">
        <f aca="false">'1.6 AL ON WEBSITE'!B8</f>
        <v>Regulatory Sign Speed Restriction 10km 450x600mm Metal</v>
      </c>
      <c r="D13" s="28" t="n">
        <f aca="false">'1.6 AL ON WEBSITE'!C8</f>
        <v>142.99</v>
      </c>
      <c r="E13" s="28" t="n">
        <f aca="false">D13/1.1</f>
        <v>129.990909090909</v>
      </c>
      <c r="F13" s="28" t="n">
        <f aca="false">'1.6 AL ON WEBSITE'!D8</f>
        <v>33.41</v>
      </c>
      <c r="G13" s="28" t="n">
        <f aca="false">F13*1.1</f>
        <v>36.751</v>
      </c>
      <c r="H13" s="11" t="n">
        <f aca="false">IF('1.6 AL ON WEBSITE'!E8="","",'1.6 AL ON WEBSITE'!E8)</f>
        <v>33.8555</v>
      </c>
      <c r="I13" s="11" t="n">
        <f aca="false">IF(H13="","",H13*1.1)</f>
        <v>37.24105</v>
      </c>
      <c r="J13" s="28" t="n">
        <f aca="false">E13-F13</f>
        <v>96.5809090909091</v>
      </c>
      <c r="K13" s="29" t="n">
        <f aca="false">IFERROR(E13/F13-1,"")</f>
        <v>2.89077848221817</v>
      </c>
      <c r="L13" s="27" t="str">
        <f aca="false">IF('1.6 AL ON WEBSITE'!F8="","",'1.6 AL ON WEBSITE'!F8)</f>
        <v>Traffic signage, 10KM SPEED sign, only sold in one size at RSEA. Comes in 4 standard sizes </v>
      </c>
      <c r="M13" s="11"/>
      <c r="N13" s="11"/>
    </row>
    <row r="14" customFormat="false" ht="31.5" hidden="false" customHeight="true" outlineLevel="0" collapsed="false">
      <c r="A14" s="26" t="s">
        <v>222</v>
      </c>
      <c r="B14" s="26" t="str">
        <f aca="false">'1.6 AL ON WEBSITE'!A9</f>
        <v>61138</v>
      </c>
      <c r="C14" s="27" t="str">
        <f aca="false">'1.6 AL ON WEBSITE'!B9</f>
        <v>Regulatory Sign No Entry Metal 450x450 R2-4A-1</v>
      </c>
      <c r="D14" s="28" t="n">
        <f aca="false">'1.6 AL ON WEBSITE'!C9</f>
        <v>112.99</v>
      </c>
      <c r="E14" s="28" t="n">
        <f aca="false">D14/1.1</f>
        <v>102.718181818182</v>
      </c>
      <c r="F14" s="28" t="n">
        <f aca="false">'1.6 AL ON WEBSITE'!D9</f>
        <v>25.06</v>
      </c>
      <c r="G14" s="28" t="n">
        <f aca="false">F14*1.1</f>
        <v>27.566</v>
      </c>
      <c r="H14" s="11" t="n">
        <f aca="false">IF('1.6 AL ON WEBSITE'!E9="","",'1.6 AL ON WEBSITE'!E9)</f>
        <v>25.394125</v>
      </c>
      <c r="I14" s="11" t="n">
        <f aca="false">IF(H14="","",H14*1.1)</f>
        <v>27.9335375</v>
      </c>
      <c r="J14" s="28" t="n">
        <f aca="false">E14-F14</f>
        <v>77.6581818181818</v>
      </c>
      <c r="K14" s="29" t="n">
        <f aca="false">IFERROR(E14/F14-1,"")</f>
        <v>3.09888993687876</v>
      </c>
      <c r="L14" s="27" t="str">
        <f aca="false">IF('1.6 AL ON WEBSITE'!F9="","",'1.6 AL ON WEBSITE'!F9)</f>
        <v>Traffic signage, NO ENTRY sign, only one size sold at RSEA. Comes in 5 standard sizes.</v>
      </c>
      <c r="M14" s="11"/>
      <c r="N14" s="11"/>
    </row>
    <row r="15" customFormat="false" ht="31.5" hidden="false" customHeight="true" outlineLevel="0" collapsed="false">
      <c r="A15" s="26" t="s">
        <v>222</v>
      </c>
      <c r="B15" s="26" t="str">
        <f aca="false">'1.6 AL ON WEBSITE'!A10</f>
        <v>685224</v>
      </c>
      <c r="C15" s="27" t="str">
        <f aca="false">'1.6 AL ON WEBSITE'!B10</f>
        <v>216MM 25D-LM Sign Danger Forklift Operating Area Metal 300x225</v>
      </c>
      <c r="D15" s="28" t="n">
        <f aca="false">'1.6 AL ON WEBSITE'!C10</f>
        <v>32.99</v>
      </c>
      <c r="E15" s="28" t="n">
        <f aca="false">D15/1.1</f>
        <v>29.9909090909091</v>
      </c>
      <c r="F15" s="28" t="n">
        <f aca="false">'1.6 AL ON WEBSITE'!D10</f>
        <v>8.35</v>
      </c>
      <c r="G15" s="28" t="n">
        <f aca="false">F15*1.1</f>
        <v>9.185</v>
      </c>
      <c r="H15" s="11" t="n">
        <f aca="false">IF('1.6 AL ON WEBSITE'!E10="","",'1.6 AL ON WEBSITE'!E10)</f>
        <v>8.461375</v>
      </c>
      <c r="I15" s="11" t="n">
        <f aca="false">IF(H15="","",H15*1.1)</f>
        <v>9.3075125</v>
      </c>
      <c r="J15" s="28" t="n">
        <f aca="false">E15-F15</f>
        <v>21.6409090909091</v>
      </c>
      <c r="K15" s="29" t="n">
        <f aca="false">IFERROR(E15/F15-1,"")</f>
        <v>2.59172563962983</v>
      </c>
      <c r="L15" s="27" t="str">
        <f aca="false">IF('1.6 AL ON WEBSITE'!F10="","",'1.6 AL ON WEBSITE'!F10)</f>
        <v>Site/Warehouse safety sign </v>
      </c>
      <c r="M15" s="11"/>
      <c r="N15" s="11"/>
    </row>
    <row r="16" customFormat="false" ht="31.5" hidden="false" customHeight="true" outlineLevel="0" collapsed="false">
      <c r="A16" s="26" t="s">
        <v>222</v>
      </c>
      <c r="B16" s="26" t="n">
        <f aca="false">'1.6 AL ON WEBSITE'!A11</f>
        <v>685264</v>
      </c>
      <c r="C16" s="27" t="str">
        <f aca="false">'1.6 AL ON WEBSITE'!B11</f>
        <v>Danger Confined Space Entry By Permit Metal Sign 450x300mm</v>
      </c>
      <c r="D16" s="28" t="n">
        <f aca="false">'1.6 AL ON WEBSITE'!C11</f>
        <v>44.99</v>
      </c>
      <c r="E16" s="28" t="n">
        <f aca="false">D16/1.1</f>
        <v>40.9</v>
      </c>
      <c r="F16" s="28" t="n">
        <f aca="false">'1.6 AL ON WEBSITE'!D11</f>
        <v>15.59</v>
      </c>
      <c r="G16" s="28" t="n">
        <f aca="false">F16*1.1</f>
        <v>17.149</v>
      </c>
      <c r="H16" s="11" t="n">
        <f aca="false">IF('1.6 AL ON WEBSITE'!E11="","",'1.6 AL ON WEBSITE'!E11)</f>
        <v>15.81275</v>
      </c>
      <c r="I16" s="11" t="n">
        <f aca="false">IF(H16="","",H16*1.1)</f>
        <v>17.394025</v>
      </c>
      <c r="J16" s="28" t="n">
        <f aca="false">E16-F16</f>
        <v>25.31</v>
      </c>
      <c r="K16" s="29" t="n">
        <f aca="false">IFERROR(E16/F16-1,"")</f>
        <v>1.62347658755613</v>
      </c>
      <c r="L16" s="27" t="str">
        <f aca="false">IF('1.6 AL ON WEBSITE'!F11="","",'1.6 AL ON WEBSITE'!F11)</f>
        <v>Site/Warehouse safety sign </v>
      </c>
      <c r="M16" s="11"/>
      <c r="N16" s="11"/>
    </row>
    <row r="17" customFormat="false" ht="31.5" hidden="false" customHeight="true" outlineLevel="0" collapsed="false">
      <c r="A17" s="26" t="s">
        <v>222</v>
      </c>
      <c r="B17" s="26" t="str">
        <f aca="false">'1.6 AL ON WEBSITE'!A12</f>
        <v>685642</v>
      </c>
      <c r="C17" s="27" t="str">
        <f aca="false">'1.6 AL ON WEBSITE'!B12</f>
        <v>First Aid Emergency Eye Wash Metal Sign 300x225mm 506MM</v>
      </c>
      <c r="D17" s="28" t="n">
        <f aca="false">'1.6 AL ON WEBSITE'!C12</f>
        <v>32.99</v>
      </c>
      <c r="E17" s="28" t="n">
        <f aca="false">D17/1.1</f>
        <v>29.9909090909091</v>
      </c>
      <c r="F17" s="28" t="n">
        <f aca="false">'1.6 AL ON WEBSITE'!D12</f>
        <v>8.35</v>
      </c>
      <c r="G17" s="28" t="n">
        <f aca="false">F17*1.1</f>
        <v>9.185</v>
      </c>
      <c r="H17" s="11" t="n">
        <f aca="false">IF('1.6 AL ON WEBSITE'!E12="","",'1.6 AL ON WEBSITE'!E12)</f>
        <v>8.461375</v>
      </c>
      <c r="I17" s="11" t="n">
        <f aca="false">IF(H17="","",H17*1.1)</f>
        <v>9.3075125</v>
      </c>
      <c r="J17" s="28" t="n">
        <f aca="false">E17-F17</f>
        <v>21.6409090909091</v>
      </c>
      <c r="K17" s="29" t="n">
        <f aca="false">IFERROR(E17/F17-1,"")</f>
        <v>2.59172563962983</v>
      </c>
      <c r="L17" s="27" t="str">
        <f aca="false">IF('1.6 AL ON WEBSITE'!F12="","",'1.6 AL ON WEBSITE'!F12)</f>
        <v>Site/Warehouse safety sign </v>
      </c>
      <c r="M17" s="11"/>
      <c r="N17" s="11"/>
    </row>
    <row r="18" customFormat="false" ht="48" hidden="false" customHeight="true" outlineLevel="0" collapsed="false">
      <c r="A18" s="26" t="s">
        <v>222</v>
      </c>
      <c r="B18" s="26" t="str">
        <f aca="false">'1.6 AL ON WEBSITE'!A13</f>
        <v>685976</v>
      </c>
      <c r="C18" s="27" t="str">
        <f aca="false">'1.6 AL ON WEBSITE'!B13</f>
        <v>Speed 5km 600x400mm Metal Traffic Sign TC409LM</v>
      </c>
      <c r="D18" s="28" t="n">
        <f aca="false">'1.6 AL ON WEBSITE'!C13</f>
        <v>69.99</v>
      </c>
      <c r="E18" s="28" t="n">
        <f aca="false">D18/1.1</f>
        <v>63.6272727272727</v>
      </c>
      <c r="F18" s="28" t="n">
        <f aca="false">'1.6 AL ON WEBSITE'!D13</f>
        <v>29.7</v>
      </c>
      <c r="G18" s="28" t="n">
        <f aca="false">F18*1.1</f>
        <v>32.67</v>
      </c>
      <c r="H18" s="11" t="n">
        <f aca="false">IF('1.6 AL ON WEBSITE'!E13="","",'1.6 AL ON WEBSITE'!E13)</f>
        <v>30.1455</v>
      </c>
      <c r="I18" s="11" t="n">
        <f aca="false">IF(H18="","",H18*1.1)</f>
        <v>33.16005</v>
      </c>
      <c r="J18" s="28" t="n">
        <f aca="false">E18-F18</f>
        <v>33.9272727272727</v>
      </c>
      <c r="K18" s="29" t="n">
        <f aca="false">IFERROR(E18/F18-1,"")</f>
        <v>1.14233241505969</v>
      </c>
      <c r="L18" s="27" t="str">
        <f aca="false">IF('1.6 AL ON WEBSITE'!F13="","",'1.6 AL ON WEBSITE'!F13)</f>
        <v>Site/Warehouse safety sign - Not to spec to be a traffic sign, incorrect sizes, used for warehouses or entrances into warehouse parking.</v>
      </c>
      <c r="M18" s="11"/>
      <c r="N18" s="11"/>
    </row>
    <row r="19" customFormat="false" ht="48" hidden="false" customHeight="true" outlineLevel="0" collapsed="false">
      <c r="A19" s="26" t="s">
        <v>222</v>
      </c>
      <c r="B19" s="26" t="str">
        <f aca="false">'1.6 AL ON WEBSITE'!A14</f>
        <v>685980</v>
      </c>
      <c r="C19" s="27" t="str">
        <f aca="false">'1.6 AL ON WEBSITE'!B14</f>
        <v>Speed 10km 600x400mm Metal Traffic Sign TC410LM</v>
      </c>
      <c r="D19" s="28" t="n">
        <f aca="false">'1.6 AL ON WEBSITE'!C14</f>
        <v>84.99</v>
      </c>
      <c r="E19" s="28" t="n">
        <f aca="false">D19/1.1</f>
        <v>77.2636363636364</v>
      </c>
      <c r="F19" s="28" t="n">
        <f aca="false">'1.6 AL ON WEBSITE'!D14</f>
        <v>29.7</v>
      </c>
      <c r="G19" s="28" t="n">
        <f aca="false">F19*1.1</f>
        <v>32.67</v>
      </c>
      <c r="H19" s="11" t="n">
        <f aca="false">IF('1.6 AL ON WEBSITE'!E14="","",'1.6 AL ON WEBSITE'!E14)</f>
        <v>30.1455</v>
      </c>
      <c r="I19" s="11" t="n">
        <f aca="false">IF(H19="","",H19*1.1)</f>
        <v>33.16005</v>
      </c>
      <c r="J19" s="28" t="n">
        <f aca="false">E19-F19</f>
        <v>47.5636363636364</v>
      </c>
      <c r="K19" s="29" t="n">
        <f aca="false">IFERROR(E19/F19-1,"")</f>
        <v>1.60146923783287</v>
      </c>
      <c r="L19" s="27" t="str">
        <f aca="false">IF('1.6 AL ON WEBSITE'!F14="","",'1.6 AL ON WEBSITE'!F14)</f>
        <v>Site/Warehouse safety sign - Not to spec to be a traffic sign, incorrect sizes, used for warehouses or entrances into warehouse parking.</v>
      </c>
      <c r="M19" s="11"/>
      <c r="N19" s="11"/>
    </row>
    <row r="20" customFormat="false" ht="31.5" hidden="false" customHeight="true" outlineLevel="0" collapsed="false">
      <c r="A20" s="26" t="s">
        <v>222</v>
      </c>
      <c r="B20" s="26" t="str">
        <f aca="false">'1.6 AL ON WEBSITE'!A15</f>
        <v>686188</v>
      </c>
      <c r="C20" s="27" t="str">
        <f aca="false">'1.6 AL ON WEBSITE'!B15</f>
        <v>Disabled Parking 450x300mm Metal Traffic Sign TC420LSM</v>
      </c>
      <c r="D20" s="28" t="n">
        <f aca="false">'1.6 AL ON WEBSITE'!C15</f>
        <v>44.99</v>
      </c>
      <c r="E20" s="28" t="n">
        <f aca="false">D20/1.1</f>
        <v>40.9</v>
      </c>
      <c r="F20" s="28" t="n">
        <f aca="false">'1.6 AL ON WEBSITE'!D15</f>
        <v>16.71</v>
      </c>
      <c r="G20" s="28" t="n">
        <f aca="false">F20*1.1</f>
        <v>18.381</v>
      </c>
      <c r="H20" s="11" t="n">
        <f aca="false">IF('1.6 AL ON WEBSITE'!E15="","",'1.6 AL ON WEBSITE'!E15)</f>
        <v>16.93275</v>
      </c>
      <c r="I20" s="11" t="n">
        <f aca="false">IF(H20="","",H20*1.1)</f>
        <v>18.626025</v>
      </c>
      <c r="J20" s="28" t="n">
        <f aca="false">E20-F20</f>
        <v>24.19</v>
      </c>
      <c r="K20" s="29" t="n">
        <f aca="false">IFERROR(E20/F20-1,"")</f>
        <v>1.44763614602035</v>
      </c>
      <c r="L20" s="27" t="str">
        <f aca="false">IF('1.6 AL ON WEBSITE'!F15="","",'1.6 AL ON WEBSITE'!F15)</f>
        <v>Private car park signage</v>
      </c>
      <c r="M20" s="11"/>
      <c r="N20" s="11"/>
    </row>
    <row r="21" customFormat="false" ht="31.5" hidden="false" customHeight="true" outlineLevel="0" collapsed="false">
      <c r="A21" s="26" t="s">
        <v>222</v>
      </c>
      <c r="B21" s="26" t="str">
        <f aca="false">'1.6 AL ON WEBSITE'!A16</f>
        <v>686503</v>
      </c>
      <c r="C21" s="27" t="str">
        <f aca="false">'1.6 AL ON WEBSITE'!B16</f>
        <v>Traffic Sign No Parking Metal 600x450 TC426LM</v>
      </c>
      <c r="D21" s="28" t="n">
        <f aca="false">'1.6 AL ON WEBSITE'!C16</f>
        <v>64.99</v>
      </c>
      <c r="E21" s="28" t="n">
        <f aca="false">D21/1.1</f>
        <v>59.0818181818182</v>
      </c>
      <c r="F21" s="28" t="n">
        <f aca="false">'1.6 AL ON WEBSITE'!D16</f>
        <v>33.41</v>
      </c>
      <c r="G21" s="28" t="n">
        <f aca="false">F21*1.1</f>
        <v>36.751</v>
      </c>
      <c r="H21" s="11" t="n">
        <f aca="false">IF('1.6 AL ON WEBSITE'!E16="","",'1.6 AL ON WEBSITE'!E16)</f>
        <v>33.8555</v>
      </c>
      <c r="I21" s="11" t="n">
        <f aca="false">IF(H21="","",H21*1.1)</f>
        <v>37.24105</v>
      </c>
      <c r="J21" s="28" t="n">
        <f aca="false">E21-F21</f>
        <v>25.6718181818182</v>
      </c>
      <c r="K21" s="29" t="n">
        <f aca="false">IFERROR(E21/F21-1,"")</f>
        <v>0.768387254768578</v>
      </c>
      <c r="L21" s="27" t="str">
        <f aca="false">IF('1.6 AL ON WEBSITE'!F16="","",'1.6 AL ON WEBSITE'!F16)</f>
        <v>Private car park signage</v>
      </c>
      <c r="M21" s="11"/>
      <c r="N21" s="11"/>
    </row>
    <row r="22" customFormat="false" ht="31.5" hidden="false" customHeight="true" outlineLevel="0" collapsed="false">
      <c r="A22" s="26" t="s">
        <v>222</v>
      </c>
      <c r="B22" s="26" t="str">
        <f aca="false">'1.6 AL ON WEBSITE'!A17</f>
        <v>686829</v>
      </c>
      <c r="C22" s="27" t="str">
        <f aca="false">'1.6 AL ON WEBSITE'!B17</f>
        <v>No Standing Anytime Double Arrow Symbolic Metal 300 x 450mm</v>
      </c>
      <c r="D22" s="28" t="n">
        <f aca="false">'1.6 AL ON WEBSITE'!C17</f>
        <v>44.99</v>
      </c>
      <c r="E22" s="28" t="n">
        <f aca="false">D22/1.1</f>
        <v>40.9</v>
      </c>
      <c r="F22" s="28" t="n">
        <f aca="false">'1.6 AL ON WEBSITE'!D17</f>
        <v>11.81</v>
      </c>
      <c r="G22" s="28" t="n">
        <f aca="false">F22*1.1</f>
        <v>12.991</v>
      </c>
      <c r="H22" s="11" t="n">
        <f aca="false">IF('1.6 AL ON WEBSITE'!E17="","",'1.6 AL ON WEBSITE'!E17)</f>
        <v>12.03275</v>
      </c>
      <c r="I22" s="11" t="n">
        <f aca="false">IF(H22="","",H22*1.1)</f>
        <v>13.236025</v>
      </c>
      <c r="J22" s="28" t="n">
        <f aca="false">E22-F22</f>
        <v>29.09</v>
      </c>
      <c r="K22" s="29" t="n">
        <f aca="false">IFERROR(E22/F22-1,"")</f>
        <v>2.46316680779001</v>
      </c>
      <c r="L22" s="27" t="str">
        <f aca="false">IF('1.6 AL ON WEBSITE'!F17="","",'1.6 AL ON WEBSITE'!F17)</f>
        <v>Private car park signage</v>
      </c>
      <c r="M22" s="11"/>
      <c r="N22" s="11"/>
    </row>
    <row r="23" customFormat="false" ht="31.5" hidden="false" customHeight="true" outlineLevel="0" collapsed="false">
      <c r="A23" s="26" t="s">
        <v>222</v>
      </c>
      <c r="B23" s="26" t="str">
        <f aca="false">'1.6 AL ON WEBSITE'!A18</f>
        <v>712752</v>
      </c>
      <c r="C23" s="27" t="str">
        <f aca="false">'1.6 AL ON WEBSITE'!B18</f>
        <v>840307 TC426LSM Sign No Parking Metal 450x300</v>
      </c>
      <c r="D23" s="28" t="n">
        <f aca="false">'1.6 AL ON WEBSITE'!C18</f>
        <v>49.99</v>
      </c>
      <c r="E23" s="28" t="n">
        <f aca="false">D23/1.1</f>
        <v>45.4454545454545</v>
      </c>
      <c r="F23" s="28" t="n">
        <f aca="false">'1.6 AL ON WEBSITE'!D18</f>
        <v>11.81</v>
      </c>
      <c r="G23" s="28" t="n">
        <f aca="false">F23*1.1</f>
        <v>12.991</v>
      </c>
      <c r="H23" s="11" t="n">
        <f aca="false">IF('1.6 AL ON WEBSITE'!E18="","",'1.6 AL ON WEBSITE'!E18)</f>
        <v>12.03275</v>
      </c>
      <c r="I23" s="11" t="n">
        <f aca="false">IF(H23="","",H23*1.1)</f>
        <v>13.236025</v>
      </c>
      <c r="J23" s="28" t="n">
        <f aca="false">E23-F23</f>
        <v>33.6354545454545</v>
      </c>
      <c r="K23" s="29" t="n">
        <f aca="false">IFERROR(E23/F23-1,"")</f>
        <v>2.84804864906474</v>
      </c>
      <c r="L23" s="27" t="str">
        <f aca="false">IF('1.6 AL ON WEBSITE'!F18="","",'1.6 AL ON WEBSITE'!F18)</f>
        <v>Private car park signage</v>
      </c>
      <c r="M23" s="11"/>
      <c r="N23" s="11"/>
    </row>
    <row r="24" customFormat="false" ht="31.5" hidden="false" customHeight="true" outlineLevel="0" collapsed="false">
      <c r="A24" s="26" t="s">
        <v>222</v>
      </c>
      <c r="B24" s="26" t="str">
        <f aca="false">'1.6 AL ON WEBSITE'!A19</f>
        <v>713252</v>
      </c>
      <c r="C24" s="27" t="str">
        <f aca="false">'1.6 AL ON WEBSITE'!B19</f>
        <v>841090 415MM 112P-LM Sign Prohibition No Smoking In This Area Metal 300x225</v>
      </c>
      <c r="D24" s="28" t="n">
        <f aca="false">'1.6 AL ON WEBSITE'!C19</f>
        <v>37.99</v>
      </c>
      <c r="E24" s="28" t="n">
        <f aca="false">D24/1.1</f>
        <v>34.5363636363636</v>
      </c>
      <c r="F24" s="28" t="n">
        <f aca="false">'1.6 AL ON WEBSITE'!D19</f>
        <v>5.9</v>
      </c>
      <c r="G24" s="28" t="n">
        <f aca="false">F24*1.1</f>
        <v>6.49</v>
      </c>
      <c r="H24" s="11" t="n">
        <f aca="false">IF('1.6 AL ON WEBSITE'!E19="","",'1.6 AL ON WEBSITE'!E19)</f>
        <v>6.011375</v>
      </c>
      <c r="I24" s="11" t="n">
        <f aca="false">IF(H24="","",H24*1.1)</f>
        <v>6.6125125</v>
      </c>
      <c r="J24" s="28" t="n">
        <f aca="false">E24-F24</f>
        <v>28.6363636363636</v>
      </c>
      <c r="K24" s="29" t="n">
        <f aca="false">IFERROR(E24/F24-1,"")</f>
        <v>4.85362095531587</v>
      </c>
      <c r="L24" s="27" t="str">
        <f aca="false">IF('1.6 AL ON WEBSITE'!F19="","",'1.6 AL ON WEBSITE'!F19)</f>
        <v>Site/warehouse/office space signage </v>
      </c>
      <c r="M24" s="11"/>
      <c r="N24" s="11"/>
    </row>
    <row r="25" customFormat="false" ht="31.5" hidden="false" customHeight="true" outlineLevel="0" collapsed="false">
      <c r="A25" s="26" t="s">
        <v>222</v>
      </c>
      <c r="B25" s="26" t="str">
        <f aca="false">'1.6 AL ON WEBSITE'!A20</f>
        <v>716586</v>
      </c>
      <c r="C25" s="27" t="str">
        <f aca="false">'1.6 AL ON WEBSITE'!B20</f>
        <v>832221 892LSM Restricted Area Auth Personnel Only Metal 450x300</v>
      </c>
      <c r="D25" s="28" t="n">
        <f aca="false">'1.6 AL ON WEBSITE'!C20</f>
        <v>49.99</v>
      </c>
      <c r="E25" s="28" t="n">
        <f aca="false">D25/1.1</f>
        <v>45.4454545454545</v>
      </c>
      <c r="F25" s="28" t="n">
        <f aca="false">'1.6 AL ON WEBSITE'!D20</f>
        <v>11.81</v>
      </c>
      <c r="G25" s="28" t="n">
        <f aca="false">F25*1.1</f>
        <v>12.991</v>
      </c>
      <c r="H25" s="11" t="n">
        <f aca="false">IF('1.6 AL ON WEBSITE'!E20="","",'1.6 AL ON WEBSITE'!E20)</f>
        <v>12.03275</v>
      </c>
      <c r="I25" s="11" t="n">
        <f aca="false">IF(H25="","",H25*1.1)</f>
        <v>13.236025</v>
      </c>
      <c r="J25" s="28" t="n">
        <f aca="false">E25-F25</f>
        <v>33.6354545454545</v>
      </c>
      <c r="K25" s="29" t="n">
        <f aca="false">IFERROR(E25/F25-1,"")</f>
        <v>2.84804864906474</v>
      </c>
      <c r="L25" s="27" t="str">
        <f aca="false">IF('1.6 AL ON WEBSITE'!F20="","",'1.6 AL ON WEBSITE'!F20)</f>
        <v>Site/warehouse/office space signage </v>
      </c>
      <c r="M25" s="11"/>
      <c r="N25" s="11"/>
    </row>
    <row r="26" customFormat="false" ht="31.5" hidden="false" customHeight="true" outlineLevel="0" collapsed="false">
      <c r="A26" s="26" t="s">
        <v>222</v>
      </c>
      <c r="B26" s="26" t="str">
        <f aca="false">'1.6 AL ON WEBSITE'!A21</f>
        <v>869327</v>
      </c>
      <c r="C26" s="27" t="str">
        <f aca="false">'1.6 AL ON WEBSITE'!B21</f>
        <v>Security Sign Elec Surveillance Protects Property SW022LSM Metal450x300</v>
      </c>
      <c r="D26" s="28" t="n">
        <f aca="false">'1.6 AL ON WEBSITE'!C21</f>
        <v>44.99</v>
      </c>
      <c r="E26" s="28" t="n">
        <f aca="false">D26/1.1</f>
        <v>40.9</v>
      </c>
      <c r="F26" s="28" t="n">
        <f aca="false">'1.6 AL ON WEBSITE'!D21</f>
        <v>11.81</v>
      </c>
      <c r="G26" s="28" t="n">
        <f aca="false">F26*1.1</f>
        <v>12.991</v>
      </c>
      <c r="H26" s="11" t="n">
        <f aca="false">IF('1.6 AL ON WEBSITE'!E21="","",'1.6 AL ON WEBSITE'!E21)</f>
        <v>12.03275</v>
      </c>
      <c r="I26" s="11" t="n">
        <f aca="false">IF(H26="","",H26*1.1)</f>
        <v>13.236025</v>
      </c>
      <c r="J26" s="28" t="n">
        <f aca="false">E26-F26</f>
        <v>29.09</v>
      </c>
      <c r="K26" s="29" t="n">
        <f aca="false">IFERROR(E26/F26-1,"")</f>
        <v>2.46316680779001</v>
      </c>
      <c r="L26" s="27" t="str">
        <f aca="false">IF('1.6 AL ON WEBSITE'!F21="","",'1.6 AL ON WEBSITE'!F21)</f>
        <v>Site/warehouse/office space signage </v>
      </c>
      <c r="M26" s="11"/>
      <c r="N26" s="11"/>
    </row>
    <row r="27" customFormat="false" ht="31.5" hidden="false" customHeight="true" outlineLevel="0" collapsed="false">
      <c r="A27" s="26" t="s">
        <v>222</v>
      </c>
      <c r="B27" s="26" t="n">
        <f aca="false">'1.6 AL ON WEBSITE'!A22</f>
        <v>869339</v>
      </c>
      <c r="C27" s="27" t="str">
        <f aca="false">'1.6 AL ON WEBSITE'!B22</f>
        <v>Reverse Parking Only 450x300mm Metal Traffic Sign TC454LSM</v>
      </c>
      <c r="D27" s="28" t="n">
        <f aca="false">'1.6 AL ON WEBSITE'!C22</f>
        <v>44.99</v>
      </c>
      <c r="E27" s="28" t="n">
        <f aca="false">D27/1.1</f>
        <v>40.9</v>
      </c>
      <c r="F27" s="28" t="n">
        <f aca="false">'1.6 AL ON WEBSITE'!D22</f>
        <v>11.81</v>
      </c>
      <c r="G27" s="28" t="n">
        <f aca="false">F27*1.1</f>
        <v>12.991</v>
      </c>
      <c r="H27" s="11" t="n">
        <f aca="false">IF('1.6 AL ON WEBSITE'!E22="","",'1.6 AL ON WEBSITE'!E22)</f>
        <v>12.03275</v>
      </c>
      <c r="I27" s="11" t="n">
        <f aca="false">IF(H27="","",H27*1.1)</f>
        <v>13.236025</v>
      </c>
      <c r="J27" s="28" t="n">
        <f aca="false">E27-F27</f>
        <v>29.09</v>
      </c>
      <c r="K27" s="29" t="n">
        <f aca="false">IFERROR(E27/F27-1,"")</f>
        <v>2.46316680779001</v>
      </c>
      <c r="L27" s="27" t="str">
        <f aca="false">IF('1.6 AL ON WEBSITE'!F22="","",'1.6 AL ON WEBSITE'!F22)</f>
        <v>Private car park signage</v>
      </c>
      <c r="M27" s="11"/>
      <c r="N27" s="11"/>
    </row>
    <row r="28" customFormat="false" ht="31.5" hidden="false" customHeight="true" outlineLevel="0" collapsed="false">
      <c r="A28" s="26" t="s">
        <v>222</v>
      </c>
      <c r="B28" s="26" t="str">
        <f aca="false">'1.6 AL ON WEBSITE'!A23</f>
        <v>869206</v>
      </c>
      <c r="C28" s="27" t="str">
        <f aca="false">'1.6 AL ON WEBSITE'!B23</f>
        <v>Regulatory Sign Speed 5km CL1 Aluminium 600x450 TC409C1</v>
      </c>
      <c r="D28" s="28" t="n">
        <f aca="false">'1.6 AL ON WEBSITE'!C23</f>
        <v>142.99</v>
      </c>
      <c r="E28" s="28" t="n">
        <f aca="false">D28/1.1</f>
        <v>129.990909090909</v>
      </c>
      <c r="F28" s="28" t="n">
        <f aca="false">'1.6 AL ON WEBSITE'!D23</f>
        <v>33.41</v>
      </c>
      <c r="G28" s="28" t="n">
        <f aca="false">F28*1.1</f>
        <v>36.751</v>
      </c>
      <c r="H28" s="11" t="n">
        <f aca="false">IF('1.6 AL ON WEBSITE'!E23="","",'1.6 AL ON WEBSITE'!E23)</f>
        <v>33.8555</v>
      </c>
      <c r="I28" s="11" t="n">
        <f aca="false">IF(H28="","",H28*1.1)</f>
        <v>37.24105</v>
      </c>
      <c r="J28" s="28" t="n">
        <f aca="false">E28-F28</f>
        <v>96.5809090909091</v>
      </c>
      <c r="K28" s="29" t="n">
        <f aca="false">IFERROR(E28/F28-1,"")</f>
        <v>2.89077848221817</v>
      </c>
      <c r="L28" s="27" t="str">
        <f aca="false">IF('1.6 AL ON WEBSITE'!F23="","",'1.6 AL ON WEBSITE'!F23)</f>
        <v>Traffic signage, 5KM SPEED sign, RSEA stock one size comes in 4 standard sizes</v>
      </c>
      <c r="M28" s="11"/>
      <c r="N28" s="11"/>
    </row>
    <row r="29" customFormat="false" ht="31.5" hidden="false" customHeight="true" outlineLevel="0" collapsed="false">
      <c r="A29" s="26" t="s">
        <v>222</v>
      </c>
      <c r="B29" s="26" t="str">
        <f aca="false">'1.6 AL ON WEBSITE'!A24</f>
        <v>869668</v>
      </c>
      <c r="C29" s="27" t="str">
        <f aca="false">'1.6 AL ON WEBSITE'!B24</f>
        <v>Traffic Sign 20kmh Speed Limit CL1 Aluminium 600x450mm TC462C1</v>
      </c>
      <c r="D29" s="28" t="n">
        <f aca="false">'1.6 AL ON WEBSITE'!C24</f>
        <v>142.99</v>
      </c>
      <c r="E29" s="28" t="n">
        <f aca="false">D29/1.1</f>
        <v>129.990909090909</v>
      </c>
      <c r="F29" s="28" t="n">
        <f aca="false">'1.6 AL ON WEBSITE'!D24</f>
        <v>33.41</v>
      </c>
      <c r="G29" s="28" t="n">
        <f aca="false">F29*1.1</f>
        <v>36.751</v>
      </c>
      <c r="H29" s="11" t="n">
        <f aca="false">IF('1.6 AL ON WEBSITE'!E24="","",'1.6 AL ON WEBSITE'!E24)</f>
        <v>33.8555</v>
      </c>
      <c r="I29" s="11" t="n">
        <f aca="false">IF(H29="","",H29*1.1)</f>
        <v>37.24105</v>
      </c>
      <c r="J29" s="28" t="n">
        <f aca="false">E29-F29</f>
        <v>96.5809090909091</v>
      </c>
      <c r="K29" s="29" t="n">
        <f aca="false">IFERROR(E29/F29-1,"")</f>
        <v>2.89077848221817</v>
      </c>
      <c r="L29" s="27" t="str">
        <f aca="false">IF('1.6 AL ON WEBSITE'!F24="","",'1.6 AL ON WEBSITE'!F24)</f>
        <v>Traffic signage, 20KM SPEED sign, RSEA stock one size comes in 4 standard sizes</v>
      </c>
      <c r="M29" s="11"/>
      <c r="N29" s="11"/>
    </row>
    <row r="30" customFormat="false" ht="31.5" hidden="false" customHeight="true" outlineLevel="0" collapsed="false">
      <c r="A30" s="26" t="s">
        <v>223</v>
      </c>
      <c r="B30" s="26" t="str">
        <f aca="false">'CORFLUTE 6MM ON WEBSITE'!A1</f>
        <v>60837</v>
      </c>
      <c r="C30" s="27" t="str">
        <f aca="false">'CORFLUTE 6MM ON WEBSITE'!B1</f>
        <v>6mm Corflute- 1200x300mm Class 1 Reflective On Side Road (B/Y)</v>
      </c>
      <c r="D30" s="28" t="n">
        <f aca="false">'CORFLUTE 6MM ON WEBSITE'!C1</f>
        <v>57.99</v>
      </c>
      <c r="E30" s="28" t="n">
        <f aca="false">D30/1.1</f>
        <v>52.7181818181818</v>
      </c>
      <c r="F30" s="28" t="n">
        <f aca="false">'CORFLUTE 6MM ON WEBSITE'!D1</f>
        <v>13.07</v>
      </c>
      <c r="G30" s="28" t="n">
        <f aca="false">F30*1.1</f>
        <v>14.377</v>
      </c>
      <c r="J30" s="28" t="n">
        <f aca="false">E30-F30</f>
        <v>39.6481818181818</v>
      </c>
      <c r="K30" s="29" t="n">
        <f aca="false">IFERROR(E30/F30-1,"")</f>
        <v>3.03352577032761</v>
      </c>
      <c r="L30" s="27"/>
    </row>
    <row r="31" customFormat="false" ht="63.75" hidden="false" customHeight="true" outlineLevel="0" collapsed="false">
      <c r="A31" s="30" t="s">
        <v>223</v>
      </c>
      <c r="B31" s="30" t="str">
        <f aca="false">'CORFLUTE 6MM ON WEBSITE'!A2</f>
        <v>60846</v>
      </c>
      <c r="C31" s="31" t="str">
        <f aca="false">'CORFLUTE 6MM ON WEBSITE'!B2</f>
        <v>UNISAF Corflute Multi Message Sign Blank Yellow T9-91</v>
      </c>
      <c r="D31" s="32" t="n">
        <f aca="false">'CORFLUTE 6MM ON WEBSITE'!C2</f>
        <v>44.99</v>
      </c>
      <c r="E31" s="32" t="n">
        <f aca="false">D31/1.1</f>
        <v>40.9</v>
      </c>
      <c r="F31" s="32" t="n">
        <v>13.07</v>
      </c>
      <c r="G31" s="32" t="n">
        <f aca="false">F31*1.1</f>
        <v>14.377</v>
      </c>
      <c r="J31" s="32" t="n">
        <f aca="false">E31-F31</f>
        <v>27.83</v>
      </c>
      <c r="K31" s="33" t="n">
        <f aca="false">IFERROR(E31/F31-1,"")</f>
        <v>2.12930374904361</v>
      </c>
      <c r="L31" s="31" t="s">
        <v>224</v>
      </c>
    </row>
    <row r="32" customFormat="false" ht="31.5" hidden="false" customHeight="true" outlineLevel="0" collapsed="false">
      <c r="A32" s="26" t="s">
        <v>223</v>
      </c>
      <c r="B32" s="26" t="str">
        <f aca="false">'CORFLUTE 6MM ON WEBSITE'!A3</f>
        <v>60877</v>
      </c>
      <c r="C32" s="27" t="str">
        <f aca="false">'CORFLUTE 6MM ON WEBSITE'!B3</f>
        <v>Symbolic Worker 600x600mm Multi-Message Sign CT284-40FR</v>
      </c>
      <c r="D32" s="28" t="n">
        <f aca="false">'CORFLUTE 6MM ON WEBSITE'!C3</f>
        <v>52.99</v>
      </c>
      <c r="E32" s="28" t="n">
        <f aca="false">D32/1.1</f>
        <v>48.1727272727273</v>
      </c>
      <c r="F32" s="28" t="n">
        <f aca="false">'CORFLUTE 6MM ON WEBSITE'!D3</f>
        <v>16.04</v>
      </c>
      <c r="G32" s="28" t="n">
        <f aca="false">F32*1.1</f>
        <v>17.644</v>
      </c>
      <c r="J32" s="28" t="n">
        <f aca="false">E32-F32</f>
        <v>32.1327272727273</v>
      </c>
      <c r="K32" s="29" t="n">
        <f aca="false">IFERROR(E32/F32-1,"")</f>
        <v>2.00328723645432</v>
      </c>
      <c r="L32" s="27"/>
    </row>
    <row r="33" customFormat="false" ht="15.75" hidden="false" customHeight="true" outlineLevel="0" collapsed="false">
      <c r="A33" s="26" t="s">
        <v>223</v>
      </c>
      <c r="B33" s="26" t="str">
        <f aca="false">'CORFLUTE 6MM ON WEBSITE'!A4</f>
        <v>60885</v>
      </c>
      <c r="C33" s="27" t="str">
        <f aca="false">'CORFLUTE 6MM ON WEBSITE'!B4</f>
        <v>Speed 60km 600x600mm Multi-Message Sign TC210</v>
      </c>
      <c r="D33" s="28" t="n">
        <f aca="false">'CORFLUTE 6MM ON WEBSITE'!C4</f>
        <v>57.99</v>
      </c>
      <c r="E33" s="28" t="n">
        <f aca="false">D33/1.1</f>
        <v>52.7181818181818</v>
      </c>
      <c r="F33" s="28" t="n">
        <f aca="false">'CORFLUTE 6MM ON WEBSITE'!D4</f>
        <v>16.04</v>
      </c>
      <c r="G33" s="28" t="n">
        <f aca="false">F33*1.1</f>
        <v>17.644</v>
      </c>
      <c r="J33" s="28" t="n">
        <f aca="false">E33-F33</f>
        <v>36.6781818181818</v>
      </c>
      <c r="K33" s="29" t="n">
        <f aca="false">IFERROR(E33/F33-1,"")</f>
        <v>2.28666968941283</v>
      </c>
      <c r="L33" s="27"/>
    </row>
    <row r="34" customFormat="false" ht="15.75" hidden="false" customHeight="true" outlineLevel="0" collapsed="false">
      <c r="A34" s="26" t="s">
        <v>223</v>
      </c>
      <c r="B34" s="26" t="str">
        <f aca="false">'CORFLUTE 6MM ON WEBSITE'!A5</f>
        <v>60886</v>
      </c>
      <c r="C34" s="27" t="str">
        <f aca="false">'CORFLUTE 6MM ON WEBSITE'!B5</f>
        <v>Speed 40km 600x600mm Multi-Message Sign CT284-24H</v>
      </c>
      <c r="D34" s="28" t="n">
        <f aca="false">'CORFLUTE 6MM ON WEBSITE'!C5</f>
        <v>57.99</v>
      </c>
      <c r="E34" s="28" t="n">
        <f aca="false">D34/1.1</f>
        <v>52.7181818181818</v>
      </c>
      <c r="F34" s="28" t="n">
        <f aca="false">'CORFLUTE 6MM ON WEBSITE'!D5</f>
        <v>16.04</v>
      </c>
      <c r="G34" s="28" t="n">
        <f aca="false">F34*1.1</f>
        <v>17.644</v>
      </c>
      <c r="J34" s="28" t="n">
        <f aca="false">E34-F34</f>
        <v>36.6781818181818</v>
      </c>
      <c r="K34" s="29" t="n">
        <f aca="false">IFERROR(E34/F34-1,"")</f>
        <v>2.28666968941283</v>
      </c>
      <c r="L34" s="27"/>
    </row>
    <row r="35" customFormat="false" ht="31.5" hidden="false" customHeight="true" outlineLevel="0" collapsed="false">
      <c r="A35" s="26" t="s">
        <v>223</v>
      </c>
      <c r="B35" s="26" t="str">
        <f aca="false">'CORFLUTE 6MM ON WEBSITE'!A6</f>
        <v>60887</v>
      </c>
      <c r="C35" s="27" t="str">
        <f aca="false">'CORFLUTE 6MM ON WEBSITE'!B6</f>
        <v>Prepare To Stop 1200x300mm Multi-Message Sign CT284-15H</v>
      </c>
      <c r="D35" s="28" t="n">
        <f aca="false">'CORFLUTE 6MM ON WEBSITE'!C6</f>
        <v>57.99</v>
      </c>
      <c r="E35" s="28" t="n">
        <f aca="false">D35/1.1</f>
        <v>52.7181818181818</v>
      </c>
      <c r="F35" s="28" t="n">
        <f aca="false">'CORFLUTE 6MM ON WEBSITE'!D6</f>
        <v>16.04</v>
      </c>
      <c r="G35" s="28" t="n">
        <f aca="false">F35*1.1</f>
        <v>17.644</v>
      </c>
      <c r="J35" s="28" t="n">
        <f aca="false">E35-F35</f>
        <v>36.6781818181818</v>
      </c>
      <c r="K35" s="29" t="n">
        <f aca="false">IFERROR(E35/F35-1,"")</f>
        <v>2.28666968941283</v>
      </c>
      <c r="L35" s="27"/>
    </row>
    <row r="36" customFormat="false" ht="15.75" hidden="false" customHeight="true" outlineLevel="0" collapsed="false">
      <c r="A36" s="26" t="s">
        <v>223</v>
      </c>
      <c r="B36" s="26" t="str">
        <f aca="false">'CORFLUTE 6MM ON WEBSITE'!A7</f>
        <v>60895</v>
      </c>
      <c r="C36" s="27" t="str">
        <f aca="false">'CORFLUTE 6MM ON WEBSITE'!B7</f>
        <v>Roadwork Ahead 1200x300mm Multi-Message Sign TC221</v>
      </c>
      <c r="D36" s="28" t="n">
        <f aca="false">'CORFLUTE 6MM ON WEBSITE'!C7</f>
        <v>57.99</v>
      </c>
      <c r="E36" s="28" t="n">
        <f aca="false">D36/1.1</f>
        <v>52.7181818181818</v>
      </c>
      <c r="F36" s="28" t="n">
        <f aca="false">'CORFLUTE 6MM ON WEBSITE'!D7</f>
        <v>13.07</v>
      </c>
      <c r="G36" s="28" t="n">
        <f aca="false">F36*1.1</f>
        <v>14.377</v>
      </c>
      <c r="J36" s="28" t="n">
        <f aca="false">E36-F36</f>
        <v>39.6481818181818</v>
      </c>
      <c r="K36" s="29" t="n">
        <f aca="false">IFERROR(E36/F36-1,"")</f>
        <v>3.03352577032761</v>
      </c>
      <c r="L36" s="27"/>
    </row>
    <row r="37" customFormat="false" ht="15.75" hidden="false" customHeight="true" outlineLevel="0" collapsed="false">
      <c r="A37" s="26" t="s">
        <v>223</v>
      </c>
      <c r="B37" s="26" t="str">
        <f aca="false">'CORFLUTE 6MM ON WEBSITE'!A8</f>
        <v>60896</v>
      </c>
      <c r="C37" s="27" t="str">
        <f aca="false">'CORFLUTE 6MM ON WEBSITE'!B8</f>
        <v>Drive Safety 1200x300mm Multi-Message Sign CT284-18H</v>
      </c>
      <c r="D37" s="28" t="n">
        <f aca="false">'CORFLUTE 6MM ON WEBSITE'!C8</f>
        <v>59.99</v>
      </c>
      <c r="E37" s="28" t="n">
        <f aca="false">D37/1.1</f>
        <v>54.5363636363636</v>
      </c>
      <c r="F37" s="28" t="n">
        <f aca="false">'CORFLUTE 6MM ON WEBSITE'!D8</f>
        <v>16.04</v>
      </c>
      <c r="G37" s="28" t="n">
        <f aca="false">F37*1.1</f>
        <v>17.644</v>
      </c>
      <c r="J37" s="28" t="n">
        <f aca="false">E37-F37</f>
        <v>38.4963636363636</v>
      </c>
      <c r="K37" s="29" t="n">
        <f aca="false">IFERROR(E37/F37-1,"")</f>
        <v>2.40002267059624</v>
      </c>
      <c r="L37" s="27"/>
    </row>
    <row r="38" customFormat="false" ht="15.75" hidden="false" customHeight="true" outlineLevel="0" collapsed="false">
      <c r="A38" s="26" t="s">
        <v>223</v>
      </c>
      <c r="B38" s="26" t="str">
        <f aca="false">'CORFLUTE 6MM ON WEBSITE'!A9</f>
        <v>60898</v>
      </c>
      <c r="C38" s="27" t="str">
        <f aca="false">'CORFLUTE 6MM ON WEBSITE'!B9</f>
        <v>Road Closed 1200x300mm Multi-Message Sign CT284-49H</v>
      </c>
      <c r="D38" s="28" t="n">
        <f aca="false">'CORFLUTE 6MM ON WEBSITE'!C9</f>
        <v>57.99</v>
      </c>
      <c r="E38" s="28" t="n">
        <f aca="false">D38/1.1</f>
        <v>52.7181818181818</v>
      </c>
      <c r="F38" s="28" t="n">
        <f aca="false">'CORFLUTE 6MM ON WEBSITE'!D9</f>
        <v>13.07</v>
      </c>
      <c r="G38" s="28" t="n">
        <f aca="false">F38*1.1</f>
        <v>14.377</v>
      </c>
      <c r="J38" s="28" t="n">
        <f aca="false">E38-F38</f>
        <v>39.6481818181818</v>
      </c>
      <c r="K38" s="29" t="n">
        <f aca="false">IFERROR(E38/F38-1,"")</f>
        <v>3.03352577032761</v>
      </c>
      <c r="L38" s="27"/>
    </row>
    <row r="39" customFormat="false" ht="15.75" hidden="false" customHeight="true" outlineLevel="0" collapsed="false">
      <c r="A39" s="26" t="s">
        <v>223</v>
      </c>
      <c r="B39" s="26" t="str">
        <f aca="false">'CORFLUTE 6MM ON WEBSITE'!A10</f>
        <v>60991</v>
      </c>
      <c r="C39" s="27" t="str">
        <f aca="false">'CORFLUTE 6MM ON WEBSITE'!B10</f>
        <v>Detour Left Arrow 1200x300mm Multi-Message Sign TC230</v>
      </c>
      <c r="D39" s="28" t="n">
        <f aca="false">'CORFLUTE 6MM ON WEBSITE'!C10</f>
        <v>57.99</v>
      </c>
      <c r="E39" s="28" t="n">
        <f aca="false">D39/1.1</f>
        <v>52.7181818181818</v>
      </c>
      <c r="F39" s="28" t="n">
        <f aca="false">'CORFLUTE 6MM ON WEBSITE'!D10</f>
        <v>13.07</v>
      </c>
      <c r="G39" s="28" t="n">
        <f aca="false">F39*1.1</f>
        <v>14.377</v>
      </c>
      <c r="J39" s="28" t="n">
        <f aca="false">E39-F39</f>
        <v>39.6481818181818</v>
      </c>
      <c r="K39" s="29" t="n">
        <f aca="false">IFERROR(E39/F39-1,"")</f>
        <v>3.03352577032761</v>
      </c>
      <c r="L39" s="27"/>
    </row>
    <row r="40" customFormat="false" ht="15.75" hidden="false" customHeight="true" outlineLevel="0" collapsed="false">
      <c r="A40" s="26" t="s">
        <v>223</v>
      </c>
      <c r="B40" s="26" t="str">
        <f aca="false">'CORFLUTE 6MM ON WEBSITE'!A11</f>
        <v>60992</v>
      </c>
      <c r="C40" s="27" t="str">
        <f aca="false">'CORFLUTE 6MM ON WEBSITE'!B11</f>
        <v>Detour Right Arrow 1200x300mm Multi-Message Sign TC231</v>
      </c>
      <c r="D40" s="28" t="n">
        <f aca="false">'CORFLUTE 6MM ON WEBSITE'!C11</f>
        <v>57.99</v>
      </c>
      <c r="E40" s="28" t="n">
        <f aca="false">D40/1.1</f>
        <v>52.7181818181818</v>
      </c>
      <c r="F40" s="28" t="n">
        <f aca="false">'CORFLUTE 6MM ON WEBSITE'!D11</f>
        <v>13.07</v>
      </c>
      <c r="G40" s="28" t="n">
        <f aca="false">F40*1.1</f>
        <v>14.377</v>
      </c>
      <c r="J40" s="28" t="n">
        <f aca="false">E40-F40</f>
        <v>39.6481818181818</v>
      </c>
      <c r="K40" s="29" t="n">
        <f aca="false">IFERROR(E40/F40-1,"")</f>
        <v>3.03352577032761</v>
      </c>
      <c r="L40" s="27"/>
    </row>
    <row r="41" customFormat="false" ht="31.5" hidden="false" customHeight="true" outlineLevel="0" collapsed="false">
      <c r="A41" s="26" t="s">
        <v>223</v>
      </c>
      <c r="B41" s="26" t="str">
        <f aca="false">'CORFLUTE 6MM ON WEBSITE'!A12</f>
        <v>61021</v>
      </c>
      <c r="C41" s="27" t="str">
        <f aca="false">'CORFLUTE 6MM ON WEBSITE'!B12</f>
        <v>Pedestrians Right Arrow 1200x300mm Multi-Message Sign CT284-T8-2R38</v>
      </c>
      <c r="D41" s="28" t="n">
        <f aca="false">'CORFLUTE 6MM ON WEBSITE'!C12</f>
        <v>57.99</v>
      </c>
      <c r="E41" s="28" t="n">
        <f aca="false">D41/1.1</f>
        <v>52.7181818181818</v>
      </c>
      <c r="F41" s="28" t="n">
        <f aca="false">'CORFLUTE 6MM ON WEBSITE'!D12</f>
        <v>13.07</v>
      </c>
      <c r="G41" s="28" t="n">
        <f aca="false">F41*1.1</f>
        <v>14.377</v>
      </c>
      <c r="J41" s="28" t="n">
        <f aca="false">E41-F41</f>
        <v>39.6481818181818</v>
      </c>
      <c r="K41" s="29" t="n">
        <f aca="false">IFERROR(E41/F41-1,"")</f>
        <v>3.03352577032761</v>
      </c>
      <c r="L41" s="27"/>
    </row>
    <row r="42" customFormat="false" ht="31.5" hidden="false" customHeight="true" outlineLevel="0" collapsed="false">
      <c r="A42" s="26" t="s">
        <v>223</v>
      </c>
      <c r="B42" s="26" t="str">
        <f aca="false">'CORFLUTE 6MM ON WEBSITE'!A13</f>
        <v>61022</v>
      </c>
      <c r="C42" s="27" t="str">
        <f aca="false">'CORFLUTE 6MM ON WEBSITE'!B13</f>
        <v>Pedestrians Left Arrow 1200x300mm Multi-Message Sign CT284-T8-2L38</v>
      </c>
      <c r="D42" s="28" t="n">
        <f aca="false">'CORFLUTE 6MM ON WEBSITE'!C13</f>
        <v>57.99</v>
      </c>
      <c r="E42" s="28" t="n">
        <f aca="false">D42/1.1</f>
        <v>52.7181818181818</v>
      </c>
      <c r="F42" s="28" t="n">
        <f aca="false">'CORFLUTE 6MM ON WEBSITE'!D13</f>
        <v>13.07</v>
      </c>
      <c r="G42" s="28" t="n">
        <f aca="false">F42*1.1</f>
        <v>14.377</v>
      </c>
      <c r="J42" s="28" t="n">
        <f aca="false">E42-F42</f>
        <v>39.6481818181818</v>
      </c>
      <c r="K42" s="29" t="n">
        <f aca="false">IFERROR(E42/F42-1,"")</f>
        <v>3.03352577032761</v>
      </c>
      <c r="L42" s="27"/>
    </row>
    <row r="43" customFormat="false" ht="31.5" hidden="false" customHeight="true" outlineLevel="0" collapsed="false">
      <c r="A43" s="26" t="s">
        <v>225</v>
      </c>
      <c r="B43" s="26" t="str">
        <f aca="false">'POLY ON WEBSITE'!A1</f>
        <v>1046218</v>
      </c>
      <c r="C43" s="27" t="str">
        <f aca="false">'POLY ON WEBSITE'!B1</f>
        <v>Security Notice This Area Is Under 24 Hours W'Picto Poly 450x300 SW023LSP</v>
      </c>
      <c r="D43" s="28" t="n">
        <f aca="false">'POLY ON WEBSITE'!C1</f>
        <v>37.99</v>
      </c>
      <c r="E43" s="28" t="n">
        <f aca="false">D43/1.1</f>
        <v>34.5363636363636</v>
      </c>
      <c r="F43" s="28" t="n">
        <f aca="false">'POLY ON WEBSITE'!D1</f>
        <v>5.35</v>
      </c>
      <c r="G43" s="28" t="n">
        <f aca="false">F43*1.1</f>
        <v>5.885</v>
      </c>
      <c r="J43" s="28" t="n">
        <f aca="false">E43-F43</f>
        <v>29.1863636363636</v>
      </c>
      <c r="K43" s="29" t="n">
        <f aca="false">IFERROR(E43/F43-1,"")</f>
        <v>5.4553950722175</v>
      </c>
      <c r="L43" s="27" t="str">
        <f aca="false">IF('POLY ON WEBSITE'!F1="","",'POLY ON WEBSITE'!F1)</f>
        <v>QOUTED ALL ON NON REFLECTIVE 2105, NO INFO ONLINE REGARDING REFLECTIVITY. </v>
      </c>
    </row>
    <row r="44" customFormat="false" ht="31.5" hidden="false" customHeight="true" outlineLevel="0" collapsed="false">
      <c r="A44" s="26" t="s">
        <v>225</v>
      </c>
      <c r="B44" s="26" t="str">
        <f aca="false">'POLY ON WEBSITE'!A2</f>
        <v>685029</v>
      </c>
      <c r="C44" s="27" t="str">
        <f aca="false">'POLY ON WEBSITE'!B2</f>
        <v>103MP 14M-LP Sign Eye Protection Must Be Worn Poly 300x225</v>
      </c>
      <c r="D44" s="28" t="n">
        <f aca="false">'POLY ON WEBSITE'!C2</f>
        <v>24.99</v>
      </c>
      <c r="E44" s="28" t="n">
        <f aca="false">D44/1.1</f>
        <v>22.7181818181818</v>
      </c>
      <c r="F44" s="28" t="n">
        <f aca="false">'POLY ON WEBSITE'!D2</f>
        <v>2.67</v>
      </c>
      <c r="G44" s="28" t="n">
        <f aca="false">F44*1.1</f>
        <v>2.937</v>
      </c>
      <c r="J44" s="28" t="n">
        <f aca="false">E44-F44</f>
        <v>20.0481818181818</v>
      </c>
      <c r="K44" s="29" t="n">
        <f aca="false">IFERROR(E44/F44-1,"")</f>
        <v>7.50868232890705</v>
      </c>
      <c r="L44" s="27" t="str">
        <f aca="false">IF('POLY ON WEBSITE'!F2="","",'POLY ON WEBSITE'!F2)</f>
        <v/>
      </c>
    </row>
    <row r="45" customFormat="false" ht="31.5" hidden="false" customHeight="true" outlineLevel="0" collapsed="false">
      <c r="A45" s="26" t="s">
        <v>225</v>
      </c>
      <c r="B45" s="26" t="str">
        <f aca="false">'POLY ON WEBSITE'!A3</f>
        <v>685151</v>
      </c>
      <c r="C45" s="27" t="str">
        <f aca="false">'POLY ON WEBSITE'!B3</f>
        <v>Building Site Sign All Visitors Must Report To Site Office Poly 600x450 116LP</v>
      </c>
      <c r="D45" s="28" t="n">
        <f aca="false">'POLY ON WEBSITE'!C3</f>
        <v>44.99</v>
      </c>
      <c r="E45" s="28" t="n">
        <f aca="false">D45/1.1</f>
        <v>40.9</v>
      </c>
      <c r="F45" s="28" t="n">
        <f aca="false">'POLY ON WEBSITE'!D3</f>
        <v>10.69</v>
      </c>
      <c r="G45" s="28" t="n">
        <f aca="false">F45*1.1</f>
        <v>11.759</v>
      </c>
      <c r="J45" s="28" t="n">
        <f aca="false">E45-F45</f>
        <v>30.21</v>
      </c>
      <c r="K45" s="29" t="n">
        <f aca="false">IFERROR(E45/F45-1,"")</f>
        <v>2.82600561272217</v>
      </c>
      <c r="L45" s="27" t="str">
        <f aca="false">IF('POLY ON WEBSITE'!F3="","",'POLY ON WEBSITE'!F3)</f>
        <v/>
      </c>
    </row>
    <row r="46" customFormat="false" ht="31.5" hidden="false" customHeight="true" outlineLevel="0" collapsed="false">
      <c r="A46" s="26" t="s">
        <v>225</v>
      </c>
      <c r="B46" s="26" t="str">
        <f aca="false">'POLY ON WEBSITE'!A4</f>
        <v>685177</v>
      </c>
      <c r="C46" s="27" t="str">
        <f aca="false">'POLY ON WEBSITE'!B4</f>
        <v>204MP 55D-LP Sign Danger No Smoking No Naked Flame Poly 300x225</v>
      </c>
      <c r="D46" s="28" t="n">
        <f aca="false">'POLY ON WEBSITE'!C4</f>
        <v>24.99</v>
      </c>
      <c r="E46" s="28" t="n">
        <f aca="false">D46/1.1</f>
        <v>22.7181818181818</v>
      </c>
      <c r="F46" s="28" t="n">
        <f aca="false">'POLY ON WEBSITE'!D4</f>
        <v>2.67</v>
      </c>
      <c r="G46" s="28" t="n">
        <f aca="false">F46*1.1</f>
        <v>2.937</v>
      </c>
      <c r="J46" s="28" t="n">
        <f aca="false">E46-F46</f>
        <v>20.0481818181818</v>
      </c>
      <c r="K46" s="29" t="n">
        <f aca="false">IFERROR(E46/F46-1,"")</f>
        <v>7.50868232890705</v>
      </c>
      <c r="L46" s="27" t="str">
        <f aca="false">IF('POLY ON WEBSITE'!F4="","",'POLY ON WEBSITE'!F4)</f>
        <v/>
      </c>
    </row>
    <row r="47" customFormat="false" ht="31.5" hidden="false" customHeight="true" outlineLevel="0" collapsed="false">
      <c r="A47" s="26" t="s">
        <v>225</v>
      </c>
      <c r="B47" s="26" t="str">
        <f aca="false">'POLY ON WEBSITE'!A5</f>
        <v>685231</v>
      </c>
      <c r="C47" s="27" t="str">
        <f aca="false">'POLY ON WEBSITE'!B5</f>
        <v>217LP 127D-NP Sign Danger Construction Site Do Not Enter Poly 600x400</v>
      </c>
      <c r="D47" s="28" t="n">
        <f aca="false">'POLY ON WEBSITE'!C5</f>
        <v>44.99</v>
      </c>
      <c r="E47" s="28" t="n">
        <f aca="false">D47/1.1</f>
        <v>40.9</v>
      </c>
      <c r="F47" s="28" t="n">
        <f aca="false">'POLY ON WEBSITE'!D5</f>
        <v>9.5</v>
      </c>
      <c r="G47" s="28" t="n">
        <f aca="false">F47*1.1</f>
        <v>10.45</v>
      </c>
      <c r="J47" s="28" t="n">
        <f aca="false">E47-F47</f>
        <v>31.4</v>
      </c>
      <c r="K47" s="29" t="n">
        <f aca="false">IFERROR(E47/F47-1,"")</f>
        <v>3.30526315789474</v>
      </c>
      <c r="L47" s="27" t="str">
        <f aca="false">IF('POLY ON WEBSITE'!F5="","",'POLY ON WEBSITE'!F5)</f>
        <v/>
      </c>
    </row>
    <row r="48" customFormat="false" ht="31.5" hidden="false" customHeight="true" outlineLevel="0" collapsed="false">
      <c r="A48" s="26" t="s">
        <v>225</v>
      </c>
      <c r="B48" s="26" t="str">
        <f aca="false">'POLY ON WEBSITE'!A6</f>
        <v>685255</v>
      </c>
      <c r="C48" s="27" t="str">
        <f aca="false">'POLY ON WEBSITE'!B6</f>
        <v>Danger Sign Demolition Work In Progress Poly 600x450 223LP</v>
      </c>
      <c r="D48" s="28" t="n">
        <f aca="false">'POLY ON WEBSITE'!C6</f>
        <v>44.99</v>
      </c>
      <c r="E48" s="28" t="n">
        <f aca="false">D48/1.1</f>
        <v>40.9</v>
      </c>
      <c r="F48" s="28" t="n">
        <f aca="false">'POLY ON WEBSITE'!D6</f>
        <v>10.69</v>
      </c>
      <c r="G48" s="28" t="n">
        <f aca="false">F48*1.1</f>
        <v>11.759</v>
      </c>
      <c r="J48" s="28" t="n">
        <f aca="false">E48-F48</f>
        <v>30.21</v>
      </c>
      <c r="K48" s="29" t="n">
        <f aca="false">IFERROR(E48/F48-1,"")</f>
        <v>2.82600561272217</v>
      </c>
      <c r="L48" s="27" t="str">
        <f aca="false">IF('POLY ON WEBSITE'!F6="","",'POLY ON WEBSITE'!F6)</f>
        <v/>
      </c>
    </row>
    <row r="49" customFormat="false" ht="31.5" hidden="false" customHeight="true" outlineLevel="0" collapsed="false">
      <c r="A49" s="26" t="s">
        <v>225</v>
      </c>
      <c r="B49" s="26" t="str">
        <f aca="false">'POLY ON WEBSITE'!A7</f>
        <v>685265</v>
      </c>
      <c r="C49" s="27" t="str">
        <f aca="false">'POLY ON WEBSITE'!B7</f>
        <v>225LSP 96D-MP Sign Danger Confined Space Entry By Permit Poly 450x300</v>
      </c>
      <c r="D49" s="28" t="n">
        <f aca="false">'POLY ON WEBSITE'!C7</f>
        <v>32.99</v>
      </c>
      <c r="E49" s="28" t="n">
        <f aca="false">D49/1.1</f>
        <v>29.9909090909091</v>
      </c>
      <c r="F49" s="28" t="n">
        <f aca="false">'POLY ON WEBSITE'!D7</f>
        <v>5.35</v>
      </c>
      <c r="G49" s="28" t="n">
        <f aca="false">F49*1.1</f>
        <v>5.885</v>
      </c>
      <c r="J49" s="28" t="n">
        <f aca="false">E49-F49</f>
        <v>24.6409090909091</v>
      </c>
      <c r="K49" s="29" t="n">
        <f aca="false">IFERROR(E49/F49-1,"")</f>
        <v>4.60577740016992</v>
      </c>
      <c r="L49" s="27" t="str">
        <f aca="false">IF('POLY ON WEBSITE'!F7="","",'POLY ON WEBSITE'!F7)</f>
        <v/>
      </c>
    </row>
    <row r="50" customFormat="false" ht="15.75" hidden="false" customHeight="true" outlineLevel="0" collapsed="false">
      <c r="A50" s="26" t="s">
        <v>225</v>
      </c>
      <c r="B50" s="26" t="str">
        <f aca="false">'POLY ON WEBSITE'!A8</f>
        <v>685612</v>
      </c>
      <c r="C50" s="27" t="str">
        <f aca="false">'POLY ON WEBSITE'!B8</f>
        <v>501LSP 20E-MP 835331 Sign First Aid Poly 450x300</v>
      </c>
      <c r="D50" s="28" t="n">
        <f aca="false">'POLY ON WEBSITE'!C8</f>
        <v>49.99</v>
      </c>
      <c r="E50" s="28" t="n">
        <f aca="false">D50/1.1</f>
        <v>45.4454545454545</v>
      </c>
      <c r="F50" s="28" t="n">
        <f aca="false">'POLY ON WEBSITE'!D8</f>
        <v>5.35</v>
      </c>
      <c r="G50" s="28" t="n">
        <f aca="false">F50*1.1</f>
        <v>5.885</v>
      </c>
      <c r="J50" s="28" t="n">
        <f aca="false">E50-F50</f>
        <v>40.0954545454545</v>
      </c>
      <c r="K50" s="29" t="n">
        <f aca="false">IFERROR(E50/F50-1,"")</f>
        <v>7.49447748513169</v>
      </c>
      <c r="L50" s="27" t="str">
        <f aca="false">IF('POLY ON WEBSITE'!F8="","",'POLY ON WEBSITE'!F8)</f>
        <v/>
      </c>
    </row>
    <row r="51" customFormat="false" ht="15.75" hidden="false" customHeight="true" outlineLevel="0" collapsed="false">
      <c r="A51" s="26" t="s">
        <v>225</v>
      </c>
      <c r="B51" s="26" t="str">
        <f aca="false">'POLY ON WEBSITE'!A9</f>
        <v>685622</v>
      </c>
      <c r="C51" s="27" t="str">
        <f aca="false">'POLY ON WEBSITE'!B9</f>
        <v>502MP 75E-LP Sign First Aid Station Poly 300x225</v>
      </c>
      <c r="D51" s="28" t="n">
        <f aca="false">'POLY ON WEBSITE'!C9</f>
        <v>27.99</v>
      </c>
      <c r="E51" s="28" t="n">
        <f aca="false">D51/1.1</f>
        <v>25.4454545454545</v>
      </c>
      <c r="F51" s="28" t="n">
        <f aca="false">'POLY ON WEBSITE'!D9</f>
        <v>2.67</v>
      </c>
      <c r="G51" s="28" t="n">
        <f aca="false">F51*1.1</f>
        <v>2.937</v>
      </c>
      <c r="J51" s="28" t="n">
        <f aca="false">E51-F51</f>
        <v>22.7754545454545</v>
      </c>
      <c r="K51" s="29" t="n">
        <f aca="false">IFERROR(E51/F51-1,"")</f>
        <v>8.53013278855975</v>
      </c>
      <c r="L51" s="27" t="str">
        <f aca="false">IF('POLY ON WEBSITE'!F9="","",'POLY ON WEBSITE'!F9)</f>
        <v/>
      </c>
    </row>
    <row r="52" customFormat="false" ht="15.75" hidden="false" customHeight="true" outlineLevel="0" collapsed="false">
      <c r="A52" s="26" t="s">
        <v>225</v>
      </c>
      <c r="B52" s="26" t="str">
        <f aca="false">'POLY ON WEBSITE'!A10</f>
        <v>685659</v>
      </c>
      <c r="C52" s="27" t="str">
        <f aca="false">'POLY ON WEBSITE'!B10</f>
        <v>509LP 88E-NP Sign Emergency Assembly AREA Poly 600x400</v>
      </c>
      <c r="D52" s="28" t="n">
        <f aca="false">'POLY ON WEBSITE'!C10</f>
        <v>44.99</v>
      </c>
      <c r="E52" s="28" t="n">
        <f aca="false">D52/1.1</f>
        <v>40.9</v>
      </c>
      <c r="F52" s="28" t="n">
        <f aca="false">'POLY ON WEBSITE'!D10</f>
        <v>9.5</v>
      </c>
      <c r="G52" s="28" t="n">
        <f aca="false">F52*1.1</f>
        <v>10.45</v>
      </c>
      <c r="J52" s="28" t="n">
        <f aca="false">E52-F52</f>
        <v>31.4</v>
      </c>
      <c r="K52" s="29" t="n">
        <f aca="false">IFERROR(E52/F52-1,"")</f>
        <v>3.30526315789474</v>
      </c>
      <c r="L52" s="27" t="str">
        <f aca="false">IF('POLY ON WEBSITE'!F10="","",'POLY ON WEBSITE'!F10)</f>
        <v/>
      </c>
    </row>
    <row r="53" customFormat="false" ht="31.5" hidden="false" customHeight="true" outlineLevel="0" collapsed="false">
      <c r="A53" s="26" t="s">
        <v>225</v>
      </c>
      <c r="B53" s="26" t="str">
        <f aca="false">'POLY ON WEBSITE'!A11</f>
        <v>685727</v>
      </c>
      <c r="C53" s="27" t="str">
        <f aca="false">'POLY ON WEBSITE'!B11</f>
        <v>Fire Equipment Sign Fire Extinguisher Off The Wall Poly 225x225 705OWP</v>
      </c>
      <c r="D53" s="28" t="n">
        <f aca="false">'POLY ON WEBSITE'!C11</f>
        <v>49.99</v>
      </c>
      <c r="E53" s="28" t="n">
        <f aca="false">D53/1.1</f>
        <v>45.4454545454545</v>
      </c>
      <c r="F53" s="28" t="n">
        <f aca="false">'POLY ON WEBSITE'!D11</f>
        <v>2</v>
      </c>
      <c r="G53" s="28" t="n">
        <f aca="false">F53*1.1</f>
        <v>2.2</v>
      </c>
      <c r="J53" s="28" t="n">
        <f aca="false">E53-F53</f>
        <v>43.4454545454545</v>
      </c>
      <c r="K53" s="29" t="n">
        <f aca="false">IFERROR(E53/F53-1,"")</f>
        <v>21.7227272727273</v>
      </c>
      <c r="L53" s="27" t="str">
        <f aca="false">IF('POLY ON WEBSITE'!F11="","",'POLY ON WEBSITE'!F11)</f>
        <v/>
      </c>
    </row>
    <row r="54" customFormat="false" ht="15.75" hidden="false" customHeight="true" outlineLevel="0" collapsed="false">
      <c r="A54" s="26" t="s">
        <v>225</v>
      </c>
      <c r="B54" s="26" t="str">
        <f aca="false">'POLY ON WEBSITE'!A12</f>
        <v>685735</v>
      </c>
      <c r="C54" s="27" t="str">
        <f aca="false">'POLY ON WEBSITE'!B12</f>
        <v>707MP 57E-LP Sign Fire Hose Reel &amp; Picto Poly 300x225</v>
      </c>
      <c r="D54" s="28" t="n">
        <f aca="false">'POLY ON WEBSITE'!C12</f>
        <v>32.99</v>
      </c>
      <c r="E54" s="28" t="n">
        <f aca="false">D54/1.1</f>
        <v>29.9909090909091</v>
      </c>
      <c r="F54" s="28" t="n">
        <f aca="false">'POLY ON WEBSITE'!D12</f>
        <v>2.67</v>
      </c>
      <c r="G54" s="28" t="n">
        <f aca="false">F54*1.1</f>
        <v>2.937</v>
      </c>
      <c r="J54" s="28" t="n">
        <f aca="false">E54-F54</f>
        <v>27.3209090909091</v>
      </c>
      <c r="K54" s="29" t="n">
        <f aca="false">IFERROR(E54/F54-1,"")</f>
        <v>10.2325502213143</v>
      </c>
      <c r="L54" s="27" t="str">
        <f aca="false">IF('POLY ON WEBSITE'!F12="","",'POLY ON WEBSITE'!F12)</f>
        <v/>
      </c>
    </row>
    <row r="55" customFormat="false" ht="15.75" hidden="false" customHeight="true" outlineLevel="0" collapsed="false">
      <c r="A55" s="26" t="s">
        <v>225</v>
      </c>
      <c r="B55" s="26" t="str">
        <f aca="false">'POLY ON WEBSITE'!A13</f>
        <v>685925</v>
      </c>
      <c r="C55" s="27" t="str">
        <f aca="false">'POLY ON WEBSITE'!B13</f>
        <v>952OLP 293-KP Sign Arrow Poly 450x200</v>
      </c>
      <c r="D55" s="28" t="n">
        <f aca="false">'POLY ON WEBSITE'!C13</f>
        <v>37.99</v>
      </c>
      <c r="E55" s="28" t="n">
        <f aca="false">D55/1.1</f>
        <v>34.5363636363636</v>
      </c>
      <c r="F55" s="28" t="n">
        <f aca="false">'POLY ON WEBSITE'!D13</f>
        <v>4.01</v>
      </c>
      <c r="G55" s="28" t="n">
        <f aca="false">F55*1.1</f>
        <v>4.411</v>
      </c>
      <c r="J55" s="28" t="n">
        <f aca="false">E55-F55</f>
        <v>30.5263636363636</v>
      </c>
      <c r="K55" s="29" t="n">
        <f aca="false">IFERROR(E55/F55-1,"")</f>
        <v>7.61255951031512</v>
      </c>
      <c r="L55" s="27" t="str">
        <f aca="false">IF('POLY ON WEBSITE'!F13="","",'POLY ON WEBSITE'!F13)</f>
        <v/>
      </c>
    </row>
    <row r="56" customFormat="false" ht="15.75" hidden="false" customHeight="true" outlineLevel="0" collapsed="false">
      <c r="A56" s="26" t="s">
        <v>225</v>
      </c>
      <c r="B56" s="26" t="str">
        <f aca="false">'POLY ON WEBSITE'!A14</f>
        <v>685977</v>
      </c>
      <c r="C56" s="27" t="str">
        <f aca="false">'POLY ON WEBSITE'!B14</f>
        <v>Traffic Sign 5kph Speed Limit Poly 600x450 TC409LP</v>
      </c>
      <c r="D56" s="28" t="n">
        <f aca="false">'POLY ON WEBSITE'!C14</f>
        <v>37.99</v>
      </c>
      <c r="E56" s="28" t="n">
        <f aca="false">D56/1.1</f>
        <v>34.5363636363636</v>
      </c>
      <c r="F56" s="28" t="n">
        <f aca="false">'POLY ON WEBSITE'!D14</f>
        <v>10.69</v>
      </c>
      <c r="G56" s="28" t="n">
        <f aca="false">F56*1.1</f>
        <v>11.759</v>
      </c>
      <c r="J56" s="28" t="n">
        <f aca="false">E56-F56</f>
        <v>23.8463636363636</v>
      </c>
      <c r="K56" s="29" t="n">
        <f aca="false">IFERROR(E56/F56-1,"")</f>
        <v>2.23071689769538</v>
      </c>
      <c r="L56" s="27" t="str">
        <f aca="false">IF('POLY ON WEBSITE'!F14="","",'POLY ON WEBSITE'!F14)</f>
        <v/>
      </c>
    </row>
    <row r="57" customFormat="false" ht="15.75" hidden="false" customHeight="true" outlineLevel="0" collapsed="false">
      <c r="A57" s="26" t="s">
        <v>225</v>
      </c>
      <c r="B57" s="26" t="str">
        <f aca="false">'POLY ON WEBSITE'!A15</f>
        <v>686007</v>
      </c>
      <c r="C57" s="27" t="str">
        <f aca="false">'POLY ON WEBSITE'!B15</f>
        <v>Traffic Sign Beware Pedestrians Poly 600x450 TC418LP</v>
      </c>
      <c r="D57" s="28" t="n">
        <f aca="false">'POLY ON WEBSITE'!C15</f>
        <v>37.99</v>
      </c>
      <c r="E57" s="28" t="n">
        <f aca="false">D57/1.1</f>
        <v>34.5363636363636</v>
      </c>
      <c r="F57" s="28" t="n">
        <f aca="false">'POLY ON WEBSITE'!D15</f>
        <v>10.69</v>
      </c>
      <c r="G57" s="28" t="n">
        <f aca="false">F57*1.1</f>
        <v>11.759</v>
      </c>
      <c r="J57" s="28" t="n">
        <f aca="false">E57-F57</f>
        <v>23.8463636363636</v>
      </c>
      <c r="K57" s="29" t="n">
        <f aca="false">IFERROR(E57/F57-1,"")</f>
        <v>2.23071689769538</v>
      </c>
      <c r="L57" s="27" t="str">
        <f aca="false">IF('POLY ON WEBSITE'!F15="","",'POLY ON WEBSITE'!F15)</f>
        <v/>
      </c>
    </row>
    <row r="58" customFormat="false" ht="31.5" hidden="false" customHeight="true" outlineLevel="0" collapsed="false">
      <c r="A58" s="26" t="s">
        <v>225</v>
      </c>
      <c r="B58" s="26" t="str">
        <f aca="false">'POLY ON WEBSITE'!A16</f>
        <v>686173</v>
      </c>
      <c r="C58" s="27" t="str">
        <f aca="false">'POLY ON WEBSITE'!B16</f>
        <v>425LP 67P-NP Sign Warning Authorised Personnel Poly 600x450</v>
      </c>
      <c r="D58" s="28" t="n">
        <f aca="false">'POLY ON WEBSITE'!C16</f>
        <v>44.99</v>
      </c>
      <c r="E58" s="28" t="n">
        <f aca="false">D58/1.1</f>
        <v>40.9</v>
      </c>
      <c r="F58" s="28" t="n">
        <f aca="false">'POLY ON WEBSITE'!D16</f>
        <v>10.69</v>
      </c>
      <c r="G58" s="28" t="n">
        <f aca="false">F58*1.1</f>
        <v>11.759</v>
      </c>
      <c r="J58" s="28" t="n">
        <f aca="false">E58-F58</f>
        <v>30.21</v>
      </c>
      <c r="K58" s="29" t="n">
        <f aca="false">IFERROR(E58/F58-1,"")</f>
        <v>2.82600561272217</v>
      </c>
      <c r="L58" s="27" t="str">
        <f aca="false">IF('POLY ON WEBSITE'!F16="","",'POLY ON WEBSITE'!F16)</f>
        <v/>
      </c>
    </row>
    <row r="59" customFormat="false" ht="31.5" hidden="false" customHeight="true" outlineLevel="0" collapsed="false">
      <c r="A59" s="26" t="s">
        <v>225</v>
      </c>
      <c r="B59" s="26" t="str">
        <f aca="false">'POLY ON WEBSITE'!A17</f>
        <v>686245</v>
      </c>
      <c r="C59" s="27" t="str">
        <f aca="false">'POLY ON WEBSITE'!B17</f>
        <v>HLTM108P H8-XP 835630 Hazchem Corrosive 8 Poly 270x270</v>
      </c>
      <c r="D59" s="28" t="n">
        <f aca="false">'POLY ON WEBSITE'!C17</f>
        <v>32.99</v>
      </c>
      <c r="E59" s="28" t="n">
        <f aca="false">D59/1.1</f>
        <v>29.9909090909091</v>
      </c>
      <c r="F59" s="28" t="n">
        <f aca="false">'POLY ON WEBSITE'!D17</f>
        <v>2.89</v>
      </c>
      <c r="G59" s="28" t="n">
        <f aca="false">F59*1.1</f>
        <v>3.179</v>
      </c>
      <c r="J59" s="28" t="n">
        <f aca="false">E59-F59</f>
        <v>27.1009090909091</v>
      </c>
      <c r="K59" s="29" t="n">
        <f aca="false">IFERROR(E59/F59-1,"")</f>
        <v>9.37747719408619</v>
      </c>
      <c r="L59" s="27" t="str">
        <f aca="false">IF('POLY ON WEBSITE'!F17="","",'POLY ON WEBSITE'!F17)</f>
        <v/>
      </c>
    </row>
    <row r="60" customFormat="false" ht="31.5" hidden="false" customHeight="true" outlineLevel="0" collapsed="false">
      <c r="A60" s="26" t="s">
        <v>225</v>
      </c>
      <c r="B60" s="26" t="str">
        <f aca="false">'POLY ON WEBSITE'!A18</f>
        <v>686553</v>
      </c>
      <c r="C60" s="27" t="str">
        <f aca="false">'POLY ON WEBSITE'!B18</f>
        <v>Exit &amp; Evacuation Sign Exit Luminous Poly Lum 350x140 601OLUP</v>
      </c>
      <c r="D60" s="28" t="n">
        <f aca="false">'POLY ON WEBSITE'!C18</f>
        <v>49.99</v>
      </c>
      <c r="E60" s="28" t="n">
        <f aca="false">D60/1.1</f>
        <v>45.4454545454545</v>
      </c>
      <c r="F60" s="28" t="n">
        <f aca="false">'POLY ON WEBSITE'!D18</f>
        <v>1.94</v>
      </c>
      <c r="G60" s="28" t="n">
        <f aca="false">F60*1.1</f>
        <v>2.134</v>
      </c>
      <c r="J60" s="28" t="n">
        <f aca="false">E60-F60</f>
        <v>43.5054545454546</v>
      </c>
      <c r="K60" s="29" t="n">
        <f aca="false">IFERROR(E60/F60-1,"")</f>
        <v>22.4254920337395</v>
      </c>
      <c r="L60" s="27" t="str">
        <f aca="false">IF('POLY ON WEBSITE'!F18="","",'POLY ON WEBSITE'!F18)</f>
        <v/>
      </c>
    </row>
    <row r="61" customFormat="false" ht="15.75" hidden="false" customHeight="true" outlineLevel="0" collapsed="false">
      <c r="A61" s="26" t="s">
        <v>225</v>
      </c>
      <c r="B61" s="26" t="str">
        <f aca="false">'POLY ON WEBSITE'!A19</f>
        <v>712169</v>
      </c>
      <c r="C61" s="27" t="str">
        <f aca="false">'POLY ON WEBSITE'!B19</f>
        <v>Danger Workers Above Poly Sign 600x450mm</v>
      </c>
      <c r="D61" s="28" t="n">
        <f aca="false">'POLY ON WEBSITE'!C19</f>
        <v>49.99</v>
      </c>
      <c r="E61" s="28" t="n">
        <f aca="false">D61/1.1</f>
        <v>45.4454545454545</v>
      </c>
      <c r="F61" s="28" t="n">
        <f aca="false">'POLY ON WEBSITE'!D19</f>
        <v>10.69</v>
      </c>
      <c r="G61" s="28" t="n">
        <f aca="false">F61*1.1</f>
        <v>11.759</v>
      </c>
      <c r="J61" s="28" t="n">
        <f aca="false">E61-F61</f>
        <v>34.7554545454546</v>
      </c>
      <c r="K61" s="29" t="n">
        <f aca="false">IFERROR(E61/F61-1,"")</f>
        <v>3.2512118377413</v>
      </c>
      <c r="L61" s="27" t="str">
        <f aca="false">IF('POLY ON WEBSITE'!F19="","",'POLY ON WEBSITE'!F19)</f>
        <v/>
      </c>
    </row>
    <row r="62" customFormat="false" ht="31.5" hidden="false" customHeight="true" outlineLevel="0" collapsed="false">
      <c r="A62" s="26" t="s">
        <v>225</v>
      </c>
      <c r="B62" s="26" t="str">
        <f aca="false">'POLY ON WEBSITE'!A20</f>
        <v>715740</v>
      </c>
      <c r="C62" s="27" t="str">
        <f aca="false">'POLY ON WEBSITE'!B20</f>
        <v>432MP 840223 153P-LP Sign Prohibition No Pedestrian Access Poly 300x225</v>
      </c>
      <c r="D62" s="28" t="n">
        <f aca="false">'POLY ON WEBSITE'!C20</f>
        <v>32.99</v>
      </c>
      <c r="E62" s="28" t="n">
        <f aca="false">D62/1.1</f>
        <v>29.9909090909091</v>
      </c>
      <c r="F62" s="28" t="n">
        <f aca="false">'POLY ON WEBSITE'!D20</f>
        <v>3.201</v>
      </c>
      <c r="G62" s="28" t="n">
        <f aca="false">F62*1.1</f>
        <v>3.5211</v>
      </c>
      <c r="J62" s="28" t="n">
        <f aca="false">E62-F62</f>
        <v>26.7899090909091</v>
      </c>
      <c r="K62" s="29" t="n">
        <f aca="false">IFERROR(E62/F62-1,"")</f>
        <v>8.36923120615717</v>
      </c>
      <c r="L62" s="27" t="str">
        <f aca="false">IF('POLY ON WEBSITE'!F20="","",'POLY ON WEBSITE'!F20)</f>
        <v/>
      </c>
    </row>
    <row r="63" customFormat="false" ht="15.75" hidden="false" customHeight="true" outlineLevel="0" collapsed="false">
      <c r="A63" s="26" t="s">
        <v>225</v>
      </c>
      <c r="B63" s="26" t="str">
        <f aca="false">'POLY ON WEBSITE'!A21</f>
        <v>715804</v>
      </c>
      <c r="C63" s="27" t="str">
        <f aca="false">'POLY ON WEBSITE'!B21</f>
        <v>General Sign Lunch Room Poly 450x300 944LSP</v>
      </c>
      <c r="D63" s="28" t="n">
        <f aca="false">'POLY ON WEBSITE'!C21</f>
        <v>32.99</v>
      </c>
      <c r="E63" s="28" t="n">
        <f aca="false">D63/1.1</f>
        <v>29.9909090909091</v>
      </c>
      <c r="F63" s="28" t="n">
        <f aca="false">'POLY ON WEBSITE'!D21</f>
        <v>5.35</v>
      </c>
      <c r="G63" s="28" t="n">
        <f aca="false">F63*1.1</f>
        <v>5.885</v>
      </c>
      <c r="J63" s="28" t="n">
        <f aca="false">E63-F63</f>
        <v>24.6409090909091</v>
      </c>
      <c r="K63" s="29" t="n">
        <f aca="false">IFERROR(E63/F63-1,"")</f>
        <v>4.60577740016992</v>
      </c>
      <c r="L63" s="27" t="str">
        <f aca="false">IF('POLY ON WEBSITE'!F21="","",'POLY ON WEBSITE'!F21)</f>
        <v/>
      </c>
    </row>
    <row r="64" customFormat="false" ht="31.5" hidden="false" customHeight="true" outlineLevel="0" collapsed="false">
      <c r="A64" s="26" t="s">
        <v>225</v>
      </c>
      <c r="B64" s="26" t="str">
        <f aca="false">'POLY ON WEBSITE'!A22</f>
        <v>717991</v>
      </c>
      <c r="C64" s="27" t="str">
        <f aca="false">'POLY ON WEBSITE'!B22</f>
        <v>Danger Sign Flammable Material Storage Area Poly 300x225 256MP</v>
      </c>
      <c r="D64" s="28" t="n">
        <f aca="false">'POLY ON WEBSITE'!C22</f>
        <v>32.99</v>
      </c>
      <c r="E64" s="28" t="n">
        <f aca="false">D64/1.1</f>
        <v>29.9909090909091</v>
      </c>
      <c r="F64" s="28" t="n">
        <f aca="false">'POLY ON WEBSITE'!D22</f>
        <v>2.67</v>
      </c>
      <c r="G64" s="28" t="n">
        <f aca="false">F64*1.1</f>
        <v>2.937</v>
      </c>
      <c r="J64" s="28" t="n">
        <f aca="false">E64-F64</f>
        <v>27.3209090909091</v>
      </c>
      <c r="K64" s="29" t="n">
        <f aca="false">IFERROR(E64/F64-1,"")</f>
        <v>10.2325502213143</v>
      </c>
      <c r="L64" s="27" t="str">
        <f aca="false">IF('POLY ON WEBSITE'!F22="","",'POLY ON WEBSITE'!F22)</f>
        <v/>
      </c>
    </row>
    <row r="65" customFormat="false" ht="15.75" hidden="false" customHeight="true" outlineLevel="0" collapsed="false">
      <c r="A65" s="26" t="s">
        <v>225</v>
      </c>
      <c r="B65" s="26" t="str">
        <f aca="false">'POLY ON WEBSITE'!A23</f>
        <v>869094</v>
      </c>
      <c r="C65" s="27" t="str">
        <f aca="false">'POLY ON WEBSITE'!B23</f>
        <v>Danger Sign Overhead Power Lines Corflute 600x450 265LC</v>
      </c>
      <c r="D65" s="28" t="n">
        <f aca="false">'POLY ON WEBSITE'!C23</f>
        <v>32.99</v>
      </c>
      <c r="E65" s="28" t="n">
        <f aca="false">D65/1.1</f>
        <v>29.9909090909091</v>
      </c>
      <c r="F65" s="28" t="n">
        <f aca="false">'POLY ON WEBSITE'!D23</f>
        <v>10.69</v>
      </c>
      <c r="G65" s="28" t="n">
        <f aca="false">F65*1.1</f>
        <v>11.759</v>
      </c>
      <c r="J65" s="28" t="n">
        <f aca="false">E65-F65</f>
        <v>19.3009090909091</v>
      </c>
      <c r="K65" s="29" t="n">
        <f aca="false">IFERROR(E65/F65-1,"")</f>
        <v>1.80551067267625</v>
      </c>
      <c r="L65" s="27" t="str">
        <f aca="false">IF('POLY ON WEBSITE'!F23="","",'POLY ON WEBSITE'!F23)</f>
        <v/>
      </c>
    </row>
    <row r="67" customFormat="false" ht="15.75" hidden="false" customHeight="true" outlineLevel="0" collapsed="false">
      <c r="A67" s="34" t="s">
        <v>226</v>
      </c>
    </row>
    <row r="68" customFormat="false" ht="15" hidden="false" customHeight="true" outlineLevel="0" collapsed="false">
      <c r="A68" s="35" t="s">
        <v>227</v>
      </c>
      <c r="B68" s="35"/>
      <c r="C68" s="35"/>
      <c r="D68" s="36" t="n">
        <f aca="false">COUNTA(B6:B65)</f>
        <v>60</v>
      </c>
    </row>
    <row r="69" customFormat="false" ht="15" hidden="false" customHeight="true" outlineLevel="0" collapsed="false">
      <c r="A69" s="35" t="s">
        <v>228</v>
      </c>
      <c r="B69" s="35"/>
      <c r="C69" s="35"/>
      <c r="D69" s="36" t="n">
        <f aca="false">COUNTIF(H6:H65,"&gt;0")</f>
        <v>22</v>
      </c>
    </row>
    <row r="70" customFormat="false" ht="15" hidden="false" customHeight="true" outlineLevel="0" collapsed="false">
      <c r="A70" s="35" t="s">
        <v>229</v>
      </c>
      <c r="B70" s="35"/>
      <c r="C70" s="35"/>
      <c r="D70" s="36" t="n">
        <f aca="false">COUNTIF(H6:H65,"&lt;0")</f>
        <v>0</v>
      </c>
    </row>
    <row r="71" customFormat="false" ht="15" hidden="false" customHeight="true" outlineLevel="0" collapsed="false">
      <c r="A71" s="35" t="s">
        <v>230</v>
      </c>
      <c r="B71" s="35"/>
      <c r="C71" s="35"/>
      <c r="D71" s="37" t="n">
        <f aca="false">AVERAGE(I6:I65)</f>
        <v>27.42824375</v>
      </c>
    </row>
    <row r="72" customFormat="false" ht="15" hidden="false" customHeight="true" outlineLevel="0" collapsed="false">
      <c r="A72" s="35" t="s">
        <v>231</v>
      </c>
      <c r="B72" s="35"/>
      <c r="C72" s="35"/>
      <c r="D72" s="37" t="n">
        <f aca="false">MEDIAN(I6:I65)</f>
        <v>23.27978125</v>
      </c>
    </row>
    <row r="74" customFormat="false" ht="15" hidden="false" customHeight="true" outlineLevel="0" collapsed="false">
      <c r="A74" s="38"/>
      <c r="B74" s="38"/>
      <c r="C74" s="38"/>
      <c r="D74" s="38"/>
      <c r="E74" s="38"/>
      <c r="F74" s="38"/>
      <c r="G74" s="38"/>
      <c r="H74" s="38"/>
      <c r="I74" s="38"/>
      <c r="J74" s="38"/>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17" min="4" style="1" width="13"/>
    <col collapsed="false" customWidth="true" hidden="false" outlineLevel="0" max="18" min="18" style="1" width="14"/>
    <col collapsed="false" customWidth="true" hidden="false" outlineLevel="0" max="19" min="19" style="1" width="13"/>
    <col collapsed="false" customWidth="true" hidden="false" outlineLevel="0" max="20" min="20" style="1" width="14"/>
  </cols>
  <sheetData>
    <row r="1" customFormat="false" ht="19.5" hidden="false" customHeight="true" outlineLevel="0" collapsed="false">
      <c r="A1" s="39" t="s">
        <v>232</v>
      </c>
      <c r="B1" s="39"/>
      <c r="C1" s="39"/>
      <c r="D1" s="39"/>
      <c r="E1" s="39"/>
      <c r="F1" s="39"/>
      <c r="G1" s="39"/>
      <c r="H1" s="39"/>
      <c r="I1" s="39"/>
      <c r="J1" s="39"/>
      <c r="K1" s="39"/>
      <c r="L1" s="39"/>
      <c r="M1" s="39"/>
      <c r="N1" s="39"/>
      <c r="O1" s="39"/>
      <c r="P1" s="39"/>
      <c r="Q1" s="39"/>
      <c r="R1" s="39"/>
      <c r="S1" s="39"/>
      <c r="T1" s="39"/>
    </row>
    <row r="2" customFormat="false" ht="57.75" hidden="false" customHeight="true" outlineLevel="0" collapsed="false">
      <c r="A2" s="40" t="s">
        <v>233</v>
      </c>
      <c r="B2" s="40"/>
      <c r="C2" s="40"/>
      <c r="D2" s="40"/>
      <c r="E2" s="40"/>
      <c r="F2" s="40"/>
      <c r="G2" s="40"/>
      <c r="H2" s="40"/>
      <c r="I2" s="40"/>
      <c r="J2" s="40"/>
      <c r="K2" s="40"/>
      <c r="L2" s="40"/>
      <c r="M2" s="40"/>
      <c r="N2" s="40"/>
      <c r="O2" s="40"/>
      <c r="P2" s="40"/>
      <c r="Q2" s="40"/>
      <c r="R2" s="40"/>
      <c r="S2" s="40"/>
      <c r="T2" s="40"/>
    </row>
    <row r="3" customFormat="false" ht="57.75" hidden="false" customHeight="true" outlineLevel="0" collapsed="false">
      <c r="A3" s="40" t="s">
        <v>234</v>
      </c>
      <c r="B3" s="40"/>
      <c r="C3" s="40"/>
      <c r="D3" s="40"/>
      <c r="E3" s="40"/>
      <c r="F3" s="40"/>
      <c r="G3" s="40"/>
      <c r="H3" s="40"/>
      <c r="I3" s="40"/>
      <c r="J3" s="40"/>
      <c r="K3" s="40"/>
      <c r="L3" s="40"/>
      <c r="M3" s="40"/>
      <c r="N3" s="40"/>
      <c r="O3" s="40"/>
      <c r="P3" s="40"/>
      <c r="Q3" s="40"/>
      <c r="R3" s="40"/>
      <c r="S3" s="40"/>
      <c r="T3" s="40"/>
    </row>
    <row r="4" customFormat="false" ht="48.75" hidden="false" customHeight="true" outlineLevel="0" collapsed="false">
      <c r="A4" s="25" t="s">
        <v>212</v>
      </c>
      <c r="B4" s="25" t="s">
        <v>0</v>
      </c>
      <c r="C4" s="25" t="s">
        <v>1</v>
      </c>
      <c r="D4" s="25" t="s">
        <v>215</v>
      </c>
      <c r="E4" s="25" t="s">
        <v>216</v>
      </c>
      <c r="F4" s="25" t="s">
        <v>217</v>
      </c>
      <c r="G4" s="25" t="s">
        <v>218</v>
      </c>
      <c r="H4" s="25" t="s">
        <v>213</v>
      </c>
      <c r="I4" s="25" t="s">
        <v>214</v>
      </c>
      <c r="J4" s="25" t="s">
        <v>235</v>
      </c>
      <c r="K4" s="25" t="s">
        <v>236</v>
      </c>
      <c r="L4" s="25" t="s">
        <v>237</v>
      </c>
      <c r="M4" s="25" t="s">
        <v>238</v>
      </c>
      <c r="N4" s="25" t="s">
        <v>239</v>
      </c>
      <c r="O4" s="25" t="s">
        <v>240</v>
      </c>
      <c r="P4" s="25" t="s">
        <v>241</v>
      </c>
      <c r="Q4" s="25" t="s">
        <v>242</v>
      </c>
      <c r="R4" s="25" t="s">
        <v>243</v>
      </c>
      <c r="S4" s="25" t="s">
        <v>244</v>
      </c>
      <c r="T4" s="25" t="s">
        <v>245</v>
      </c>
      <c r="U4" s="25" t="s">
        <v>246</v>
      </c>
    </row>
    <row r="5" customFormat="false" ht="27.75" hidden="false" customHeight="true" outlineLevel="0" collapsed="false">
      <c r="A5" s="1" t="s">
        <v>222</v>
      </c>
      <c r="B5" s="1" t="s">
        <v>7</v>
      </c>
      <c r="C5" s="41" t="s">
        <v>8</v>
      </c>
      <c r="D5" s="11" t="n">
        <f aca="false">'RSEA vs Quoted Comparison'!F6</f>
        <v>16.71</v>
      </c>
      <c r="E5" s="11" t="n">
        <f aca="false">'RSEA vs Quoted Comparison'!G6</f>
        <v>18.381</v>
      </c>
      <c r="F5" s="11" t="n">
        <f aca="false">IF('RSEA vs Quoted Comparison'!H6="","",'RSEA vs Quoted Comparison'!H6)</f>
        <v>16.93275</v>
      </c>
      <c r="G5" s="11" t="n">
        <f aca="false">IF('RSEA vs Quoted Comparison'!I6="","",'RSEA vs Quoted Comparison'!I6)</f>
        <v>18.626025</v>
      </c>
      <c r="H5" s="11" t="n">
        <f aca="false">'RSEA vs Quoted Comparison'!D6</f>
        <v>42.99</v>
      </c>
      <c r="I5" s="11" t="n">
        <f aca="false">'RSEA vs Quoted Comparison'!E6</f>
        <v>39.0818181818182</v>
      </c>
      <c r="N5" s="11" t="n">
        <v>42.5</v>
      </c>
      <c r="O5" s="11" t="n">
        <f aca="false">N5/1.1</f>
        <v>38.6363636363636</v>
      </c>
      <c r="P5" s="11" t="n">
        <v>22.05</v>
      </c>
      <c r="Q5" s="11" t="n">
        <v>20.05</v>
      </c>
      <c r="R5" s="11" t="n">
        <f aca="false">IF(COUNT(I5,K5,M5,O5,Q5)=0,"",MIN(I5,K5,M5,O5,Q5))</f>
        <v>20.05</v>
      </c>
      <c r="S5" s="42" t="n">
        <f aca="false">IF(OR(D5="",R5=""),"",D5/R5-1)</f>
        <v>-0.166583541147132</v>
      </c>
      <c r="T5" s="43" t="n">
        <f aca="false">IF(OR(F5="",R5=""),"",F5/R5-1)</f>
        <v>-0.155473815461347</v>
      </c>
      <c r="U5" s="41" t="s">
        <v>247</v>
      </c>
    </row>
    <row r="6" customFormat="false" ht="41.25" hidden="false" customHeight="true" outlineLevel="0" collapsed="false">
      <c r="A6" s="1" t="s">
        <v>222</v>
      </c>
      <c r="B6" s="1" t="s">
        <v>9</v>
      </c>
      <c r="C6" s="41" t="s">
        <v>10</v>
      </c>
      <c r="D6" s="11" t="n">
        <f aca="false">'RSEA vs Quoted Comparison'!F7</f>
        <v>66.83</v>
      </c>
      <c r="E6" s="11" t="n">
        <f aca="false">'RSEA vs Quoted Comparison'!G7</f>
        <v>73.513</v>
      </c>
      <c r="F6" s="11" t="str">
        <f aca="false">IF('RSEA vs Quoted Comparison'!H7="","",'RSEA vs Quoted Comparison'!H7)</f>
        <v/>
      </c>
      <c r="G6" s="11" t="str">
        <f aca="false">IF('RSEA vs Quoted Comparison'!I7="","",'RSEA vs Quoted Comparison'!I7)</f>
        <v/>
      </c>
      <c r="H6" s="11" t="n">
        <f aca="false">'RSEA vs Quoted Comparison'!D7</f>
        <v>134.99</v>
      </c>
      <c r="I6" s="11" t="n">
        <f aca="false">'RSEA vs Quoted Comparison'!E7</f>
        <v>122.718181818182</v>
      </c>
      <c r="R6" s="11" t="n">
        <f aca="false">IF(COUNT(I6,K6,M6,O6,Q6)=0,"",MIN(I6,K6,M6,O6,Q6))</f>
        <v>122.718181818182</v>
      </c>
      <c r="S6" s="42" t="n">
        <f aca="false">IF(OR(D6="",R6=""),"",D6/R6-1)</f>
        <v>-0.455418919919994</v>
      </c>
      <c r="T6" s="43" t="str">
        <f aca="false">IF(OR(F6="",R6=""),"",F6/R6-1)</f>
        <v/>
      </c>
      <c r="U6" s="41" t="s">
        <v>248</v>
      </c>
    </row>
    <row r="7" customFormat="false" ht="41.25" hidden="false" customHeight="true" outlineLevel="0" collapsed="false">
      <c r="A7" s="1" t="s">
        <v>222</v>
      </c>
      <c r="B7" s="1" t="s">
        <v>11</v>
      </c>
      <c r="C7" s="41" t="s">
        <v>12</v>
      </c>
      <c r="D7" s="11" t="n">
        <f aca="false">'RSEA vs Quoted Comparison'!F8</f>
        <v>44.55</v>
      </c>
      <c r="E7" s="11" t="n">
        <f aca="false">'RSEA vs Quoted Comparison'!G8</f>
        <v>49.005</v>
      </c>
      <c r="F7" s="11" t="str">
        <f aca="false">IF('RSEA vs Quoted Comparison'!H8="","",'RSEA vs Quoted Comparison'!H8)</f>
        <v/>
      </c>
      <c r="G7" s="11" t="str">
        <f aca="false">IF('RSEA vs Quoted Comparison'!I8="","",'RSEA vs Quoted Comparison'!I8)</f>
        <v/>
      </c>
      <c r="H7" s="11" t="n">
        <f aca="false">'RSEA vs Quoted Comparison'!D8</f>
        <v>167.99</v>
      </c>
      <c r="I7" s="11" t="n">
        <f aca="false">'RSEA vs Quoted Comparison'!E8</f>
        <v>152.718181818182</v>
      </c>
      <c r="R7" s="11" t="n">
        <f aca="false">IF(COUNT(I7,K7,M7,O7,Q7)=0,"",MIN(I7,K7,M7,O7,Q7))</f>
        <v>152.718181818182</v>
      </c>
      <c r="S7" s="42" t="n">
        <f aca="false">IF(OR(D7="",R7=""),"",D7/R7-1)</f>
        <v>-0.708286207512352</v>
      </c>
      <c r="T7" s="43" t="str">
        <f aca="false">IF(OR(F7="",R7=""),"",F7/R7-1)</f>
        <v/>
      </c>
      <c r="U7" s="41" t="s">
        <v>248</v>
      </c>
    </row>
    <row r="8" customFormat="false" ht="54.75" hidden="false" customHeight="true" outlineLevel="0" collapsed="false">
      <c r="A8" s="1" t="s">
        <v>222</v>
      </c>
      <c r="B8" s="1" t="s">
        <v>13</v>
      </c>
      <c r="C8" s="41" t="s">
        <v>14</v>
      </c>
      <c r="D8" s="11" t="n">
        <f aca="false">'RSEA vs Quoted Comparison'!F9</f>
        <v>44.55</v>
      </c>
      <c r="E8" s="11" t="n">
        <f aca="false">'RSEA vs Quoted Comparison'!G9</f>
        <v>49.005</v>
      </c>
      <c r="F8" s="11" t="n">
        <f aca="false">IF('RSEA vs Quoted Comparison'!H9="","",'RSEA vs Quoted Comparison'!H9)</f>
        <v>45.144</v>
      </c>
      <c r="G8" s="11" t="n">
        <f aca="false">IF('RSEA vs Quoted Comparison'!I9="","",'RSEA vs Quoted Comparison'!I9)</f>
        <v>49.6584</v>
      </c>
      <c r="H8" s="11" t="n">
        <f aca="false">'RSEA vs Quoted Comparison'!D9</f>
        <v>147.99</v>
      </c>
      <c r="I8" s="11" t="n">
        <f aca="false">'RSEA vs Quoted Comparison'!E9</f>
        <v>134.536363636364</v>
      </c>
      <c r="J8" s="11" t="n">
        <f aca="false">K8*1.1</f>
        <v>71.038</v>
      </c>
      <c r="K8" s="11" t="n">
        <v>64.58</v>
      </c>
      <c r="L8" s="11" t="n">
        <v>93.25</v>
      </c>
      <c r="M8" s="11" t="n">
        <v>84.77</v>
      </c>
      <c r="N8" s="11" t="n">
        <v>99</v>
      </c>
      <c r="O8" s="11" t="n">
        <f aca="false">N8/1.1</f>
        <v>90</v>
      </c>
      <c r="P8" s="11" t="n">
        <v>77.4</v>
      </c>
      <c r="Q8" s="11" t="n">
        <v>70.36</v>
      </c>
      <c r="R8" s="11" t="n">
        <f aca="false">IF(COUNT(I8,K8,M8,O8,Q8)=0,"",MIN(I8,K8,M8,O8,Q8))</f>
        <v>64.58</v>
      </c>
      <c r="S8" s="42" t="n">
        <f aca="false">IF(OR(D8="",R8=""),"",D8/R8-1)</f>
        <v>-0.310157943635801</v>
      </c>
      <c r="T8" s="43" t="n">
        <f aca="false">IF(OR(F8="",R8=""),"",F8/R8-1)</f>
        <v>-0.300960049550945</v>
      </c>
      <c r="U8" s="41" t="s">
        <v>249</v>
      </c>
    </row>
    <row r="9" customFormat="false" ht="41.25" hidden="false" customHeight="true" outlineLevel="0" collapsed="false">
      <c r="A9" s="1" t="s">
        <v>222</v>
      </c>
      <c r="B9" s="1" t="s">
        <v>15</v>
      </c>
      <c r="C9" s="41" t="s">
        <v>16</v>
      </c>
      <c r="D9" s="11" t="n">
        <f aca="false">'RSEA vs Quoted Comparison'!F10</f>
        <v>69.61</v>
      </c>
      <c r="E9" s="11" t="n">
        <f aca="false">'RSEA vs Quoted Comparison'!G10</f>
        <v>76.571</v>
      </c>
      <c r="F9" s="11" t="n">
        <f aca="false">IF('RSEA vs Quoted Comparison'!H10="","",'RSEA vs Quoted Comparison'!H10)</f>
        <v>70.538125</v>
      </c>
      <c r="G9" s="11" t="n">
        <f aca="false">IF('RSEA vs Quoted Comparison'!I10="","",'RSEA vs Quoted Comparison'!I10)</f>
        <v>77.5919375</v>
      </c>
      <c r="H9" s="11" t="n">
        <f aca="false">'RSEA vs Quoted Comparison'!D10</f>
        <v>167.99</v>
      </c>
      <c r="I9" s="11" t="n">
        <f aca="false">'RSEA vs Quoted Comparison'!E10</f>
        <v>152.718181818182</v>
      </c>
      <c r="J9" s="11" t="n">
        <f aca="false">K9*1.1</f>
        <v>84.15</v>
      </c>
      <c r="K9" s="11" t="n">
        <v>76.5</v>
      </c>
      <c r="L9" s="11" t="n">
        <v>117.3</v>
      </c>
      <c r="M9" s="11" t="n">
        <v>106.64</v>
      </c>
      <c r="N9" s="11" t="n">
        <v>124.95</v>
      </c>
      <c r="O9" s="11" t="n">
        <f aca="false">N9/1.1</f>
        <v>113.590909090909</v>
      </c>
      <c r="P9" s="11" t="n">
        <v>95.4</v>
      </c>
      <c r="Q9" s="11" t="n">
        <v>86.73</v>
      </c>
      <c r="R9" s="11" t="n">
        <f aca="false">IF(COUNT(I9,K9,M9,O9,Q9)=0,"",MIN(I9,K9,M9,O9,Q9))</f>
        <v>76.5</v>
      </c>
      <c r="S9" s="42" t="n">
        <f aca="false">IF(OR(D9="",R9=""),"",D9/R9-1)</f>
        <v>-0.0900653594771242</v>
      </c>
      <c r="T9" s="43" t="n">
        <f aca="false">IF(OR(F9="",R9=""),"",F9/R9-1)</f>
        <v>-0.0779330065359478</v>
      </c>
      <c r="U9" s="41" t="s">
        <v>250</v>
      </c>
    </row>
    <row r="10" customFormat="false" ht="41.25" hidden="false" customHeight="true" outlineLevel="0" collapsed="false">
      <c r="A10" s="1" t="s">
        <v>222</v>
      </c>
      <c r="B10" s="1" t="s">
        <v>17</v>
      </c>
      <c r="C10" s="41" t="s">
        <v>18</v>
      </c>
      <c r="D10" s="11" t="n">
        <f aca="false">'RSEA vs Quoted Comparison'!F11</f>
        <v>33.41</v>
      </c>
      <c r="E10" s="11" t="n">
        <f aca="false">'RSEA vs Quoted Comparison'!G11</f>
        <v>36.751</v>
      </c>
      <c r="F10" s="11" t="n">
        <f aca="false">IF('RSEA vs Quoted Comparison'!H11="","",'RSEA vs Quoted Comparison'!H11)</f>
        <v>33.8555</v>
      </c>
      <c r="G10" s="11" t="n">
        <f aca="false">IF('RSEA vs Quoted Comparison'!I11="","",'RSEA vs Quoted Comparison'!I11)</f>
        <v>37.24105</v>
      </c>
      <c r="H10" s="11" t="n">
        <f aca="false">'RSEA vs Quoted Comparison'!D11</f>
        <v>142.99</v>
      </c>
      <c r="I10" s="11" t="n">
        <f aca="false">'RSEA vs Quoted Comparison'!E11</f>
        <v>129.990909090909</v>
      </c>
      <c r="J10" s="11" t="n">
        <f aca="false">K10*1.1</f>
        <v>44.209</v>
      </c>
      <c r="K10" s="11" t="n">
        <v>40.19</v>
      </c>
      <c r="L10" s="11" t="n">
        <v>63.11</v>
      </c>
      <c r="M10" s="11" t="n">
        <v>57.37</v>
      </c>
      <c r="N10" s="11" t="n">
        <v>90.3</v>
      </c>
      <c r="O10" s="11" t="n">
        <f aca="false">N10/1.1</f>
        <v>82.0909090909091</v>
      </c>
      <c r="P10" s="11" t="n">
        <v>57</v>
      </c>
      <c r="Q10" s="11" t="n">
        <v>51.82</v>
      </c>
      <c r="R10" s="11" t="n">
        <f aca="false">IF(COUNT(I10,K10,M10,O10,Q10)=0,"",MIN(I10,K10,M10,O10,Q10))</f>
        <v>40.19</v>
      </c>
      <c r="S10" s="42" t="n">
        <f aca="false">IF(OR(D10="",R10=""),"",D10/R10-1)</f>
        <v>-0.168698681263996</v>
      </c>
      <c r="T10" s="43" t="n">
        <f aca="false">IF(OR(F10="",R10=""),"",F10/R10-1)</f>
        <v>-0.157613834287136</v>
      </c>
      <c r="U10" s="41" t="s">
        <v>251</v>
      </c>
    </row>
    <row r="11" customFormat="false" ht="54.75" hidden="false" customHeight="true" outlineLevel="0" collapsed="false">
      <c r="A11" s="1" t="s">
        <v>222</v>
      </c>
      <c r="B11" s="1" t="s">
        <v>19</v>
      </c>
      <c r="C11" s="41" t="s">
        <v>20</v>
      </c>
      <c r="D11" s="11" t="n">
        <f aca="false">'RSEA vs Quoted Comparison'!F12</f>
        <v>44.55</v>
      </c>
      <c r="E11" s="11" t="n">
        <f aca="false">'RSEA vs Quoted Comparison'!G12</f>
        <v>49.005</v>
      </c>
      <c r="F11" s="11" t="n">
        <f aca="false">IF('RSEA vs Quoted Comparison'!H12="","",'RSEA vs Quoted Comparison'!H12)</f>
        <v>45.144</v>
      </c>
      <c r="G11" s="11" t="n">
        <f aca="false">IF('RSEA vs Quoted Comparison'!I12="","",'RSEA vs Quoted Comparison'!I12)</f>
        <v>49.6584</v>
      </c>
      <c r="H11" s="11" t="n">
        <f aca="false">'RSEA vs Quoted Comparison'!D12</f>
        <v>157.99</v>
      </c>
      <c r="I11" s="11" t="n">
        <f aca="false">'RSEA vs Quoted Comparison'!E12</f>
        <v>143.627272727273</v>
      </c>
      <c r="J11" s="11" t="n">
        <f aca="false">K11*1.1</f>
        <v>88.781</v>
      </c>
      <c r="K11" s="11" t="n">
        <v>80.71</v>
      </c>
      <c r="L11" s="11" t="n">
        <v>95.35</v>
      </c>
      <c r="M11" s="11" t="n">
        <v>86.68</v>
      </c>
      <c r="N11" s="11" t="n">
        <v>105.6</v>
      </c>
      <c r="O11" s="11" t="n">
        <f aca="false">N11/1.1</f>
        <v>96</v>
      </c>
      <c r="P11" s="11" t="n">
        <v>77.4</v>
      </c>
      <c r="Q11" s="11" t="n">
        <v>70.36</v>
      </c>
      <c r="R11" s="11" t="n">
        <f aca="false">IF(COUNT(I11,K11,M11,O11,Q11)=0,"",MIN(I11,K11,M11,O11,Q11))</f>
        <v>70.36</v>
      </c>
      <c r="S11" s="42" t="n">
        <f aca="false">IF(OR(D11="",R11=""),"",D11/R11-1)</f>
        <v>-0.366827743035816</v>
      </c>
      <c r="T11" s="43" t="n">
        <f aca="false">IF(OR(F11="",R11=""),"",F11/R11-1)</f>
        <v>-0.358385446276293</v>
      </c>
      <c r="U11" s="41" t="s">
        <v>252</v>
      </c>
    </row>
    <row r="12" customFormat="false" ht="54.75" hidden="false" customHeight="true" outlineLevel="0" collapsed="false">
      <c r="A12" s="1" t="s">
        <v>222</v>
      </c>
      <c r="B12" s="1" t="s">
        <v>79</v>
      </c>
      <c r="C12" s="41" t="s">
        <v>80</v>
      </c>
      <c r="D12" s="11" t="n">
        <f aca="false">'RSEA vs Quoted Comparison'!F13</f>
        <v>33.41</v>
      </c>
      <c r="E12" s="11" t="n">
        <f aca="false">'RSEA vs Quoted Comparison'!G13</f>
        <v>36.751</v>
      </c>
      <c r="F12" s="11" t="n">
        <f aca="false">IF('RSEA vs Quoted Comparison'!H13="","",'RSEA vs Quoted Comparison'!H13)</f>
        <v>33.8555</v>
      </c>
      <c r="G12" s="11" t="n">
        <f aca="false">IF('RSEA vs Quoted Comparison'!I13="","",'RSEA vs Quoted Comparison'!I13)</f>
        <v>37.24105</v>
      </c>
      <c r="H12" s="11" t="n">
        <f aca="false">'RSEA vs Quoted Comparison'!D13</f>
        <v>142.99</v>
      </c>
      <c r="I12" s="11" t="n">
        <f aca="false">'RSEA vs Quoted Comparison'!E13</f>
        <v>129.990909090909</v>
      </c>
      <c r="J12" s="11" t="n">
        <f aca="false">K12*1.1</f>
        <v>109.153</v>
      </c>
      <c r="K12" s="11" t="n">
        <v>99.23</v>
      </c>
      <c r="L12" s="11" t="n">
        <v>61.59</v>
      </c>
      <c r="M12" s="11" t="n">
        <v>55.99</v>
      </c>
      <c r="N12" s="11" t="n">
        <v>36.5</v>
      </c>
      <c r="O12" s="11" t="n">
        <f aca="false">N12/1.1</f>
        <v>33.1818181818182</v>
      </c>
      <c r="P12" s="11" t="n">
        <v>57</v>
      </c>
      <c r="Q12" s="11" t="n">
        <v>51.82</v>
      </c>
      <c r="R12" s="11" t="n">
        <f aca="false">IF(COUNT(I12,K12,M12,O12,Q12)=0,"",MIN(I12,K12,M12,O12,Q12))</f>
        <v>33.1818181818182</v>
      </c>
      <c r="S12" s="42" t="n">
        <f aca="false">IF(OR(D12="",R12=""),"",D12/R12-1)</f>
        <v>0.00687671232876719</v>
      </c>
      <c r="T12" s="43" t="n">
        <f aca="false">IF(OR(F12="",R12=""),"",F12/R12-1)</f>
        <v>0.0203027397260274</v>
      </c>
      <c r="U12" s="41" t="s">
        <v>253</v>
      </c>
    </row>
    <row r="13" customFormat="false" ht="41.25" hidden="false" customHeight="true" outlineLevel="0" collapsed="false">
      <c r="A13" s="1" t="s">
        <v>222</v>
      </c>
      <c r="B13" s="1" t="s">
        <v>81</v>
      </c>
      <c r="C13" s="41" t="s">
        <v>82</v>
      </c>
      <c r="D13" s="11" t="n">
        <f aca="false">'RSEA vs Quoted Comparison'!F14</f>
        <v>25.06</v>
      </c>
      <c r="E13" s="11" t="n">
        <f aca="false">'RSEA vs Quoted Comparison'!G14</f>
        <v>27.566</v>
      </c>
      <c r="F13" s="11" t="n">
        <f aca="false">IF('RSEA vs Quoted Comparison'!H14="","",'RSEA vs Quoted Comparison'!H14)</f>
        <v>25.394125</v>
      </c>
      <c r="G13" s="11" t="n">
        <f aca="false">IF('RSEA vs Quoted Comparison'!I14="","",'RSEA vs Quoted Comparison'!I14)</f>
        <v>27.9335375</v>
      </c>
      <c r="H13" s="11" t="n">
        <f aca="false">'RSEA vs Quoted Comparison'!D14</f>
        <v>112.99</v>
      </c>
      <c r="I13" s="11" t="n">
        <f aca="false">'RSEA vs Quoted Comparison'!E14</f>
        <v>102.718181818182</v>
      </c>
      <c r="J13" s="11" t="n">
        <f aca="false">K13*1.1</f>
        <v>77.968</v>
      </c>
      <c r="K13" s="11" t="n">
        <v>70.88</v>
      </c>
      <c r="L13" s="11" t="n">
        <v>61.29</v>
      </c>
      <c r="M13" s="11" t="n">
        <v>55.72</v>
      </c>
      <c r="N13" s="11" t="n">
        <v>49.5</v>
      </c>
      <c r="O13" s="11" t="n">
        <f aca="false">N13/1.1</f>
        <v>45</v>
      </c>
      <c r="P13" s="11" t="n">
        <v>47.4</v>
      </c>
      <c r="Q13" s="11" t="n">
        <v>43.09</v>
      </c>
      <c r="R13" s="11" t="n">
        <f aca="false">IF(COUNT(I13,K13,M13,O13,Q13)=0,"",MIN(I13,K13,M13,O13,Q13))</f>
        <v>43.09</v>
      </c>
      <c r="S13" s="42" t="n">
        <f aca="false">IF(OR(D13="",R13=""),"",D13/R13-1)</f>
        <v>-0.418426549083314</v>
      </c>
      <c r="T13" s="43" t="n">
        <f aca="false">IF(OR(F13="",R13=""),"",F13/R13-1)</f>
        <v>-0.410672429798097</v>
      </c>
      <c r="U13" s="41" t="s">
        <v>254</v>
      </c>
    </row>
    <row r="14" customFormat="false" ht="54.75" hidden="false" customHeight="true" outlineLevel="0" collapsed="false">
      <c r="A14" s="1" t="s">
        <v>222</v>
      </c>
      <c r="B14" s="1" t="s">
        <v>101</v>
      </c>
      <c r="C14" s="41" t="s">
        <v>102</v>
      </c>
      <c r="D14" s="11" t="n">
        <f aca="false">'RSEA vs Quoted Comparison'!F15</f>
        <v>8.35</v>
      </c>
      <c r="E14" s="11" t="n">
        <f aca="false">'RSEA vs Quoted Comparison'!G15</f>
        <v>9.185</v>
      </c>
      <c r="F14" s="11" t="n">
        <f aca="false">IF('RSEA vs Quoted Comparison'!H15="","",'RSEA vs Quoted Comparison'!H15)</f>
        <v>8.461375</v>
      </c>
      <c r="G14" s="11" t="n">
        <f aca="false">IF('RSEA vs Quoted Comparison'!I15="","",'RSEA vs Quoted Comparison'!I15)</f>
        <v>9.3075125</v>
      </c>
      <c r="H14" s="11" t="n">
        <f aca="false">'RSEA vs Quoted Comparison'!D15</f>
        <v>32.99</v>
      </c>
      <c r="I14" s="11" t="n">
        <f aca="false">'RSEA vs Quoted Comparison'!E15</f>
        <v>29.9909090909091</v>
      </c>
      <c r="R14" s="11" t="n">
        <f aca="false">IF(COUNT(I14,K14,M14,O14,Q14)=0,"",MIN(I14,K14,M14,O14,Q14))</f>
        <v>29.9909090909091</v>
      </c>
      <c r="S14" s="42" t="n">
        <f aca="false">IF(OR(D14="",R14=""),"",D14/R14-1)</f>
        <v>-0.721582297665959</v>
      </c>
      <c r="T14" s="43" t="n">
        <f aca="false">IF(OR(F14="",R14=""),"",F14/R14-1)</f>
        <v>-0.717868672324947</v>
      </c>
      <c r="U14" s="41" t="s">
        <v>255</v>
      </c>
    </row>
    <row r="15" customFormat="false" ht="54.75" hidden="false" customHeight="true" outlineLevel="0" collapsed="false">
      <c r="A15" s="1" t="s">
        <v>222</v>
      </c>
      <c r="B15" s="1" t="s">
        <v>107</v>
      </c>
      <c r="C15" s="41" t="s">
        <v>108</v>
      </c>
      <c r="D15" s="11" t="n">
        <f aca="false">'RSEA vs Quoted Comparison'!F16</f>
        <v>15.59</v>
      </c>
      <c r="E15" s="11" t="n">
        <f aca="false">'RSEA vs Quoted Comparison'!G16</f>
        <v>17.149</v>
      </c>
      <c r="F15" s="11" t="n">
        <f aca="false">IF('RSEA vs Quoted Comparison'!H16="","",'RSEA vs Quoted Comparison'!H16)</f>
        <v>15.81275</v>
      </c>
      <c r="G15" s="11" t="n">
        <f aca="false">IF('RSEA vs Quoted Comparison'!I16="","",'RSEA vs Quoted Comparison'!I16)</f>
        <v>17.394025</v>
      </c>
      <c r="H15" s="11" t="n">
        <f aca="false">'RSEA vs Quoted Comparison'!D16</f>
        <v>44.99</v>
      </c>
      <c r="I15" s="11" t="n">
        <f aca="false">'RSEA vs Quoted Comparison'!E16</f>
        <v>40.9</v>
      </c>
      <c r="R15" s="11" t="n">
        <f aca="false">IF(COUNT(I15,K15,M15,O15,Q15)=0,"",MIN(I15,K15,M15,O15,Q15))</f>
        <v>40.9</v>
      </c>
      <c r="S15" s="42" t="n">
        <f aca="false">IF(OR(D15="",R15=""),"",D15/R15-1)</f>
        <v>-0.618826405867971</v>
      </c>
      <c r="T15" s="43" t="n">
        <f aca="false">IF(OR(F15="",R15=""),"",F15/R15-1)</f>
        <v>-0.613380195599022</v>
      </c>
      <c r="U15" s="41" t="s">
        <v>256</v>
      </c>
    </row>
    <row r="16" customFormat="false" ht="27.75" hidden="false" customHeight="true" outlineLevel="0" collapsed="false">
      <c r="A16" s="1" t="s">
        <v>222</v>
      </c>
      <c r="B16" s="1" t="s">
        <v>117</v>
      </c>
      <c r="C16" s="41" t="s">
        <v>118</v>
      </c>
      <c r="D16" s="11" t="n">
        <f aca="false">'RSEA vs Quoted Comparison'!F17</f>
        <v>8.35</v>
      </c>
      <c r="E16" s="11" t="n">
        <f aca="false">'RSEA vs Quoted Comparison'!G17</f>
        <v>9.185</v>
      </c>
      <c r="F16" s="11" t="n">
        <f aca="false">IF('RSEA vs Quoted Comparison'!H17="","",'RSEA vs Quoted Comparison'!H17)</f>
        <v>8.461375</v>
      </c>
      <c r="G16" s="11" t="n">
        <f aca="false">IF('RSEA vs Quoted Comparison'!I17="","",'RSEA vs Quoted Comparison'!I17)</f>
        <v>9.3075125</v>
      </c>
      <c r="H16" s="11" t="n">
        <f aca="false">'RSEA vs Quoted Comparison'!D17</f>
        <v>32.99</v>
      </c>
      <c r="I16" s="11" t="n">
        <f aca="false">'RSEA vs Quoted Comparison'!E17</f>
        <v>29.9909090909091</v>
      </c>
      <c r="R16" s="11" t="n">
        <f aca="false">IF(COUNT(I16,K16,M16,O16,Q16)=0,"",MIN(I16,K16,M16,O16,Q16))</f>
        <v>29.9909090909091</v>
      </c>
      <c r="S16" s="42" t="n">
        <f aca="false">IF(OR(D16="",R16=""),"",D16/R16-1)</f>
        <v>-0.721582297665959</v>
      </c>
      <c r="T16" s="43" t="n">
        <f aca="false">IF(OR(F16="",R16=""),"",F16/R16-1)</f>
        <v>-0.717868672324947</v>
      </c>
      <c r="U16" s="41" t="s">
        <v>257</v>
      </c>
    </row>
    <row r="17" customFormat="false" ht="27.75" hidden="false" customHeight="true" outlineLevel="0" collapsed="false">
      <c r="A17" s="1" t="s">
        <v>222</v>
      </c>
      <c r="B17" s="1" t="s">
        <v>127</v>
      </c>
      <c r="C17" s="41" t="s">
        <v>128</v>
      </c>
      <c r="D17" s="11" t="n">
        <f aca="false">'RSEA vs Quoted Comparison'!F18</f>
        <v>29.7</v>
      </c>
      <c r="E17" s="11" t="n">
        <f aca="false">'RSEA vs Quoted Comparison'!G18</f>
        <v>32.67</v>
      </c>
      <c r="F17" s="11" t="n">
        <f aca="false">IF('RSEA vs Quoted Comparison'!H18="","",'RSEA vs Quoted Comparison'!H18)</f>
        <v>30.1455</v>
      </c>
      <c r="G17" s="11" t="n">
        <f aca="false">IF('RSEA vs Quoted Comparison'!I18="","",'RSEA vs Quoted Comparison'!I18)</f>
        <v>33.16005</v>
      </c>
      <c r="H17" s="11" t="n">
        <f aca="false">'RSEA vs Quoted Comparison'!D18</f>
        <v>69.99</v>
      </c>
      <c r="I17" s="11" t="n">
        <f aca="false">'RSEA vs Quoted Comparison'!E18</f>
        <v>63.6272727272727</v>
      </c>
      <c r="P17" s="11" t="n">
        <v>57</v>
      </c>
      <c r="Q17" s="11" t="n">
        <v>51.82</v>
      </c>
      <c r="R17" s="11" t="n">
        <f aca="false">IF(COUNT(I17,K17,M17,O17,Q17)=0,"",MIN(I17,K17,M17,O17,Q17))</f>
        <v>51.82</v>
      </c>
      <c r="S17" s="42" t="n">
        <f aca="false">IF(OR(D17="",R17=""),"",D17/R17-1)</f>
        <v>-0.426862215360865</v>
      </c>
      <c r="T17" s="43" t="n">
        <f aca="false">IF(OR(F17="",R17=""),"",F17/R17-1)</f>
        <v>-0.418265148591278</v>
      </c>
      <c r="U17" s="41" t="s">
        <v>258</v>
      </c>
    </row>
    <row r="18" customFormat="false" ht="54.75" hidden="false" customHeight="true" outlineLevel="0" collapsed="false">
      <c r="A18" s="1" t="s">
        <v>222</v>
      </c>
      <c r="B18" s="1" t="s">
        <v>131</v>
      </c>
      <c r="C18" s="41" t="s">
        <v>132</v>
      </c>
      <c r="D18" s="11" t="n">
        <f aca="false">'RSEA vs Quoted Comparison'!F19</f>
        <v>29.7</v>
      </c>
      <c r="E18" s="11" t="n">
        <f aca="false">'RSEA vs Quoted Comparison'!G19</f>
        <v>32.67</v>
      </c>
      <c r="F18" s="11" t="n">
        <f aca="false">IF('RSEA vs Quoted Comparison'!H19="","",'RSEA vs Quoted Comparison'!H19)</f>
        <v>30.1455</v>
      </c>
      <c r="G18" s="11" t="n">
        <f aca="false">IF('RSEA vs Quoted Comparison'!I19="","",'RSEA vs Quoted Comparison'!I19)</f>
        <v>33.16005</v>
      </c>
      <c r="H18" s="11" t="n">
        <f aca="false">'RSEA vs Quoted Comparison'!D19</f>
        <v>84.99</v>
      </c>
      <c r="I18" s="11" t="n">
        <f aca="false">'RSEA vs Quoted Comparison'!E19</f>
        <v>77.2636363636364</v>
      </c>
      <c r="J18" s="11" t="n">
        <f aca="false">K18*1.1</f>
        <v>109.153</v>
      </c>
      <c r="K18" s="11" t="n">
        <v>99.23</v>
      </c>
      <c r="N18" s="11" t="n">
        <v>36.5</v>
      </c>
      <c r="O18" s="11" t="n">
        <f aca="false">N18/1.1</f>
        <v>33.1818181818182</v>
      </c>
      <c r="P18" s="11" t="n">
        <v>57</v>
      </c>
      <c r="Q18" s="11" t="n">
        <v>51.82</v>
      </c>
      <c r="R18" s="11" t="n">
        <f aca="false">IF(COUNT(I18,K18,M18,O18,Q18)=0,"",MIN(I18,K18,M18,O18,Q18))</f>
        <v>33.1818181818182</v>
      </c>
      <c r="S18" s="42" t="n">
        <f aca="false">IF(OR(D18="",R18=""),"",D18/R18-1)</f>
        <v>-0.104931506849315</v>
      </c>
      <c r="T18" s="43" t="n">
        <f aca="false">IF(OR(F18="",R18=""),"",F18/R18-1)</f>
        <v>-0.0915054794520548</v>
      </c>
      <c r="U18" s="41" t="s">
        <v>259</v>
      </c>
    </row>
    <row r="19" customFormat="false" ht="41.25" hidden="false" customHeight="true" outlineLevel="0" collapsed="false">
      <c r="A19" s="1" t="s">
        <v>222</v>
      </c>
      <c r="B19" s="1" t="s">
        <v>137</v>
      </c>
      <c r="C19" s="41" t="s">
        <v>138</v>
      </c>
      <c r="D19" s="11" t="n">
        <f aca="false">'RSEA vs Quoted Comparison'!F20</f>
        <v>16.71</v>
      </c>
      <c r="E19" s="11" t="n">
        <f aca="false">'RSEA vs Quoted Comparison'!G20</f>
        <v>18.381</v>
      </c>
      <c r="F19" s="11" t="n">
        <f aca="false">IF('RSEA vs Quoted Comparison'!H20="","",'RSEA vs Quoted Comparison'!H20)</f>
        <v>16.93275</v>
      </c>
      <c r="G19" s="11" t="n">
        <f aca="false">IF('RSEA vs Quoted Comparison'!I20="","",'RSEA vs Quoted Comparison'!I20)</f>
        <v>18.626025</v>
      </c>
      <c r="H19" s="11" t="n">
        <f aca="false">'RSEA vs Quoted Comparison'!D20</f>
        <v>44.99</v>
      </c>
      <c r="I19" s="11" t="n">
        <f aca="false">'RSEA vs Quoted Comparison'!E20</f>
        <v>40.9</v>
      </c>
      <c r="J19" s="11" t="n">
        <f aca="false">K19*1.1</f>
        <v>26.653</v>
      </c>
      <c r="K19" s="11" t="n">
        <v>24.23</v>
      </c>
      <c r="L19" s="11" t="n">
        <v>29.61</v>
      </c>
      <c r="M19" s="11" t="n">
        <v>26.92</v>
      </c>
      <c r="N19" s="11" t="n">
        <v>35.7</v>
      </c>
      <c r="O19" s="11" t="n">
        <f aca="false">N19/1.1</f>
        <v>32.4545454545455</v>
      </c>
      <c r="P19" s="11" t="n">
        <v>33</v>
      </c>
      <c r="Q19" s="11" t="n">
        <v>30</v>
      </c>
      <c r="R19" s="11" t="n">
        <f aca="false">IF(COUNT(I19,K19,M19,O19,Q19)=0,"",MIN(I19,K19,M19,O19,Q19))</f>
        <v>24.23</v>
      </c>
      <c r="S19" s="42" t="n">
        <f aca="false">IF(OR(D19="",R19=""),"",D19/R19-1)</f>
        <v>-0.310359059017747</v>
      </c>
      <c r="T19" s="43" t="n">
        <f aca="false">IF(OR(F19="",R19=""),"",F19/R19-1)</f>
        <v>-0.30116591002889</v>
      </c>
      <c r="U19" s="41" t="s">
        <v>260</v>
      </c>
    </row>
    <row r="20" customFormat="false" ht="54.75" hidden="false" customHeight="true" outlineLevel="0" collapsed="false">
      <c r="A20" s="1" t="s">
        <v>222</v>
      </c>
      <c r="B20" s="1" t="s">
        <v>141</v>
      </c>
      <c r="C20" s="41" t="s">
        <v>142</v>
      </c>
      <c r="D20" s="11" t="n">
        <f aca="false">'RSEA vs Quoted Comparison'!F21</f>
        <v>33.41</v>
      </c>
      <c r="E20" s="11" t="n">
        <f aca="false">'RSEA vs Quoted Comparison'!G21</f>
        <v>36.751</v>
      </c>
      <c r="F20" s="11" t="n">
        <f aca="false">IF('RSEA vs Quoted Comparison'!H21="","",'RSEA vs Quoted Comparison'!H21)</f>
        <v>33.8555</v>
      </c>
      <c r="G20" s="11" t="n">
        <f aca="false">IF('RSEA vs Quoted Comparison'!I21="","",'RSEA vs Quoted Comparison'!I21)</f>
        <v>37.24105</v>
      </c>
      <c r="H20" s="11" t="n">
        <f aca="false">'RSEA vs Quoted Comparison'!D21</f>
        <v>64.99</v>
      </c>
      <c r="I20" s="11" t="n">
        <f aca="false">'RSEA vs Quoted Comparison'!E21</f>
        <v>59.0818181818182</v>
      </c>
      <c r="J20" s="11" t="n">
        <f aca="false">K20*1.1</f>
        <v>26.653</v>
      </c>
      <c r="K20" s="11" t="n">
        <v>24.23</v>
      </c>
      <c r="L20" s="11" t="n">
        <v>31.89</v>
      </c>
      <c r="M20" s="11" t="n">
        <v>28.99</v>
      </c>
      <c r="N20" s="11" t="n">
        <v>53.4</v>
      </c>
      <c r="O20" s="11" t="n">
        <f aca="false">N20/1.1</f>
        <v>48.5454545454545</v>
      </c>
      <c r="P20" s="11" t="n">
        <v>45</v>
      </c>
      <c r="Q20" s="11" t="n">
        <v>40.91</v>
      </c>
      <c r="R20" s="11" t="n">
        <f aca="false">IF(COUNT(I20,K20,M20,O20,Q20)=0,"",MIN(I20,K20,M20,O20,Q20))</f>
        <v>24.23</v>
      </c>
      <c r="S20" s="42" t="n">
        <f aca="false">IF(OR(D20="",R20=""),"",D20/R20-1)</f>
        <v>0.378869170449855</v>
      </c>
      <c r="T20" s="43" t="n">
        <f aca="false">IF(OR(F20="",R20=""),"",F20/R20-1)</f>
        <v>0.397255468427569</v>
      </c>
      <c r="U20" s="41" t="s">
        <v>261</v>
      </c>
    </row>
    <row r="21" customFormat="false" ht="41.25" hidden="false" customHeight="true" outlineLevel="0" collapsed="false">
      <c r="A21" s="1" t="s">
        <v>222</v>
      </c>
      <c r="B21" s="1" t="s">
        <v>147</v>
      </c>
      <c r="C21" s="41" t="s">
        <v>148</v>
      </c>
      <c r="D21" s="11" t="n">
        <f aca="false">'RSEA vs Quoted Comparison'!F22</f>
        <v>11.81</v>
      </c>
      <c r="E21" s="11" t="n">
        <f aca="false">'RSEA vs Quoted Comparison'!G22</f>
        <v>12.991</v>
      </c>
      <c r="F21" s="11" t="n">
        <f aca="false">IF('RSEA vs Quoted Comparison'!H22="","",'RSEA vs Quoted Comparison'!H22)</f>
        <v>12.03275</v>
      </c>
      <c r="G21" s="11" t="n">
        <f aca="false">IF('RSEA vs Quoted Comparison'!I22="","",'RSEA vs Quoted Comparison'!I22)</f>
        <v>13.236025</v>
      </c>
      <c r="H21" s="11" t="n">
        <f aca="false">'RSEA vs Quoted Comparison'!D22</f>
        <v>44.99</v>
      </c>
      <c r="I21" s="11" t="n">
        <f aca="false">'RSEA vs Quoted Comparison'!E22</f>
        <v>40.9</v>
      </c>
      <c r="L21" s="11" t="n">
        <v>29.61</v>
      </c>
      <c r="M21" s="11" t="n">
        <v>26.92</v>
      </c>
      <c r="N21" s="11" t="n">
        <v>42.5</v>
      </c>
      <c r="O21" s="11" t="n">
        <f aca="false">N21/1.1</f>
        <v>38.6363636363636</v>
      </c>
      <c r="P21" s="11" t="n">
        <v>24.2</v>
      </c>
      <c r="Q21" s="11" t="n">
        <v>22</v>
      </c>
      <c r="R21" s="11" t="n">
        <f aca="false">IF(COUNT(I21,K21,M21,O21,Q21)=0,"",MIN(I21,K21,M21,O21,Q21))</f>
        <v>22</v>
      </c>
      <c r="S21" s="42" t="n">
        <f aca="false">IF(OR(D21="",R21=""),"",D21/R21-1)</f>
        <v>-0.463181818181818</v>
      </c>
      <c r="T21" s="43" t="n">
        <f aca="false">IF(OR(F21="",R21=""),"",F21/R21-1)</f>
        <v>-0.453056818181818</v>
      </c>
      <c r="U21" s="41" t="s">
        <v>262</v>
      </c>
    </row>
    <row r="22" customFormat="false" ht="41.25" hidden="false" customHeight="true" outlineLevel="0" collapsed="false">
      <c r="A22" s="1" t="s">
        <v>222</v>
      </c>
      <c r="B22" s="1" t="s">
        <v>151</v>
      </c>
      <c r="C22" s="41" t="s">
        <v>152</v>
      </c>
      <c r="D22" s="11" t="n">
        <f aca="false">'RSEA vs Quoted Comparison'!F23</f>
        <v>11.81</v>
      </c>
      <c r="E22" s="11" t="n">
        <f aca="false">'RSEA vs Quoted Comparison'!G23</f>
        <v>12.991</v>
      </c>
      <c r="F22" s="11" t="n">
        <f aca="false">IF('RSEA vs Quoted Comparison'!H23="","",'RSEA vs Quoted Comparison'!H23)</f>
        <v>12.03275</v>
      </c>
      <c r="G22" s="11" t="n">
        <f aca="false">IF('RSEA vs Quoted Comparison'!I23="","",'RSEA vs Quoted Comparison'!I23)</f>
        <v>13.236025</v>
      </c>
      <c r="H22" s="11" t="n">
        <f aca="false">'RSEA vs Quoted Comparison'!D23</f>
        <v>49.99</v>
      </c>
      <c r="I22" s="11" t="n">
        <f aca="false">'RSEA vs Quoted Comparison'!E23</f>
        <v>45.4454545454545</v>
      </c>
      <c r="J22" s="11" t="n">
        <f aca="false">K22*1.1</f>
        <v>26.653</v>
      </c>
      <c r="K22" s="11" t="n">
        <v>24.23</v>
      </c>
      <c r="L22" s="11" t="n">
        <v>31.21</v>
      </c>
      <c r="M22" s="11" t="n">
        <v>28.37</v>
      </c>
      <c r="N22" s="11" t="n">
        <v>53.4</v>
      </c>
      <c r="O22" s="11" t="n">
        <f aca="false">N22/1.1</f>
        <v>48.5454545454545</v>
      </c>
      <c r="P22" s="11" t="n">
        <v>24.2</v>
      </c>
      <c r="Q22" s="11" t="n">
        <v>22</v>
      </c>
      <c r="R22" s="11" t="n">
        <f aca="false">IF(COUNT(I22,K22,M22,O22,Q22)=0,"",MIN(I22,K22,M22,O22,Q22))</f>
        <v>22</v>
      </c>
      <c r="S22" s="42" t="n">
        <f aca="false">IF(OR(D22="",R22=""),"",D22/R22-1)</f>
        <v>-0.463181818181818</v>
      </c>
      <c r="T22" s="43" t="n">
        <f aca="false">IF(OR(F22="",R22=""),"",F22/R22-1)</f>
        <v>-0.453056818181818</v>
      </c>
      <c r="U22" s="41" t="s">
        <v>263</v>
      </c>
    </row>
    <row r="23" customFormat="false" ht="27.75" hidden="false" customHeight="true" outlineLevel="0" collapsed="false">
      <c r="A23" s="1" t="s">
        <v>222</v>
      </c>
      <c r="B23" s="1" t="s">
        <v>153</v>
      </c>
      <c r="C23" s="41" t="s">
        <v>154</v>
      </c>
      <c r="D23" s="11" t="n">
        <f aca="false">'RSEA vs Quoted Comparison'!F24</f>
        <v>5.9</v>
      </c>
      <c r="E23" s="11" t="n">
        <f aca="false">'RSEA vs Quoted Comparison'!G24</f>
        <v>6.49</v>
      </c>
      <c r="F23" s="11" t="n">
        <f aca="false">IF('RSEA vs Quoted Comparison'!H24="","",'RSEA vs Quoted Comparison'!H24)</f>
        <v>6.011375</v>
      </c>
      <c r="G23" s="11" t="n">
        <f aca="false">IF('RSEA vs Quoted Comparison'!I24="","",'RSEA vs Quoted Comparison'!I24)</f>
        <v>6.6125125</v>
      </c>
      <c r="H23" s="11" t="n">
        <f aca="false">'RSEA vs Quoted Comparison'!D24</f>
        <v>37.99</v>
      </c>
      <c r="I23" s="11" t="n">
        <f aca="false">'RSEA vs Quoted Comparison'!E24</f>
        <v>34.5363636363636</v>
      </c>
      <c r="R23" s="11" t="n">
        <f aca="false">IF(COUNT(I23,K23,M23,O23,Q23)=0,"",MIN(I23,K23,M23,O23,Q23))</f>
        <v>34.5363636363636</v>
      </c>
      <c r="S23" s="42" t="n">
        <f aca="false">IF(OR(D23="",R23=""),"",D23/R23-1)</f>
        <v>-0.829165569886812</v>
      </c>
      <c r="T23" s="43" t="n">
        <f aca="false">IF(OR(F23="",R23=""),"",F23/R23-1)</f>
        <v>-0.825940708081074</v>
      </c>
      <c r="U23" s="41" t="s">
        <v>257</v>
      </c>
    </row>
    <row r="24" customFormat="false" ht="68.25" hidden="false" customHeight="true" outlineLevel="0" collapsed="false">
      <c r="A24" s="1" t="s">
        <v>222</v>
      </c>
      <c r="B24" s="1" t="s">
        <v>159</v>
      </c>
      <c r="C24" s="41" t="s">
        <v>160</v>
      </c>
      <c r="D24" s="11" t="n">
        <f aca="false">'RSEA vs Quoted Comparison'!F25</f>
        <v>11.81</v>
      </c>
      <c r="E24" s="11" t="n">
        <f aca="false">'RSEA vs Quoted Comparison'!G25</f>
        <v>12.991</v>
      </c>
      <c r="F24" s="11" t="n">
        <f aca="false">IF('RSEA vs Quoted Comparison'!H25="","",'RSEA vs Quoted Comparison'!H25)</f>
        <v>12.03275</v>
      </c>
      <c r="G24" s="11" t="n">
        <f aca="false">IF('RSEA vs Quoted Comparison'!I25="","",'RSEA vs Quoted Comparison'!I25)</f>
        <v>13.236025</v>
      </c>
      <c r="H24" s="11" t="n">
        <f aca="false">'RSEA vs Quoted Comparison'!D25</f>
        <v>49.99</v>
      </c>
      <c r="I24" s="11" t="n">
        <f aca="false">'RSEA vs Quoted Comparison'!E25</f>
        <v>45.4454545454545</v>
      </c>
      <c r="N24" s="11" t="n">
        <v>42.5</v>
      </c>
      <c r="O24" s="11" t="n">
        <f aca="false">N24/1.1</f>
        <v>38.6363636363636</v>
      </c>
      <c r="P24" s="11" t="n">
        <v>24.2</v>
      </c>
      <c r="Q24" s="11" t="n">
        <v>22</v>
      </c>
      <c r="R24" s="11" t="n">
        <f aca="false">IF(COUNT(I24,K24,M24,O24,Q24)=0,"",MIN(I24,K24,M24,O24,Q24))</f>
        <v>22</v>
      </c>
      <c r="S24" s="42" t="n">
        <f aca="false">IF(OR(D24="",R24=""),"",D24/R24-1)</f>
        <v>-0.463181818181818</v>
      </c>
      <c r="T24" s="43" t="n">
        <f aca="false">IF(OR(F24="",R24=""),"",F24/R24-1)</f>
        <v>-0.453056818181818</v>
      </c>
      <c r="U24" s="41" t="s">
        <v>264</v>
      </c>
    </row>
    <row r="25" customFormat="false" ht="27.75" hidden="false" customHeight="true" outlineLevel="0" collapsed="false">
      <c r="A25" s="1" t="s">
        <v>222</v>
      </c>
      <c r="B25" s="1" t="s">
        <v>171</v>
      </c>
      <c r="C25" s="41" t="s">
        <v>172</v>
      </c>
      <c r="D25" s="11" t="n">
        <f aca="false">'RSEA vs Quoted Comparison'!F26</f>
        <v>11.81</v>
      </c>
      <c r="E25" s="11" t="n">
        <f aca="false">'RSEA vs Quoted Comparison'!G26</f>
        <v>12.991</v>
      </c>
      <c r="F25" s="11" t="n">
        <f aca="false">IF('RSEA vs Quoted Comparison'!H26="","",'RSEA vs Quoted Comparison'!H26)</f>
        <v>12.03275</v>
      </c>
      <c r="G25" s="11" t="n">
        <f aca="false">IF('RSEA vs Quoted Comparison'!I26="","",'RSEA vs Quoted Comparison'!I26)</f>
        <v>13.236025</v>
      </c>
      <c r="H25" s="11" t="n">
        <f aca="false">'RSEA vs Quoted Comparison'!D26</f>
        <v>44.99</v>
      </c>
      <c r="I25" s="11" t="n">
        <f aca="false">'RSEA vs Quoted Comparison'!E26</f>
        <v>40.9</v>
      </c>
      <c r="N25" s="11" t="n">
        <v>42.5</v>
      </c>
      <c r="O25" s="11" t="n">
        <f aca="false">N25/1.1</f>
        <v>38.6363636363636</v>
      </c>
      <c r="P25" s="11" t="n">
        <v>22.05</v>
      </c>
      <c r="Q25" s="11" t="n">
        <v>20.05</v>
      </c>
      <c r="R25" s="11" t="n">
        <f aca="false">IF(COUNT(I25,K25,M25,O25,Q25)=0,"",MIN(I25,K25,M25,O25,Q25))</f>
        <v>20.05</v>
      </c>
      <c r="S25" s="42" t="n">
        <f aca="false">IF(OR(D25="",R25=""),"",D25/R25-1)</f>
        <v>-0.410972568578554</v>
      </c>
      <c r="T25" s="43" t="n">
        <f aca="false">IF(OR(F25="",R25=""),"",F25/R25-1)</f>
        <v>-0.399862842892768</v>
      </c>
      <c r="U25" s="41" t="s">
        <v>247</v>
      </c>
    </row>
    <row r="26" customFormat="false" ht="27.75" hidden="false" customHeight="true" outlineLevel="0" collapsed="false">
      <c r="A26" s="1" t="s">
        <v>222</v>
      </c>
      <c r="B26" s="1" t="s">
        <v>265</v>
      </c>
      <c r="C26" s="41" t="s">
        <v>173</v>
      </c>
      <c r="D26" s="11" t="n">
        <f aca="false">'RSEA vs Quoted Comparison'!F27</f>
        <v>11.81</v>
      </c>
      <c r="E26" s="11" t="n">
        <f aca="false">'RSEA vs Quoted Comparison'!G27</f>
        <v>12.991</v>
      </c>
      <c r="F26" s="11" t="n">
        <f aca="false">IF('RSEA vs Quoted Comparison'!H27="","",'RSEA vs Quoted Comparison'!H27)</f>
        <v>12.03275</v>
      </c>
      <c r="G26" s="11" t="n">
        <f aca="false">IF('RSEA vs Quoted Comparison'!I27="","",'RSEA vs Quoted Comparison'!I27)</f>
        <v>13.236025</v>
      </c>
      <c r="H26" s="11" t="n">
        <f aca="false">'RSEA vs Quoted Comparison'!D27</f>
        <v>44.99</v>
      </c>
      <c r="I26" s="11" t="n">
        <f aca="false">'RSEA vs Quoted Comparison'!E27</f>
        <v>40.9</v>
      </c>
      <c r="N26" s="11" t="n">
        <v>35.75</v>
      </c>
      <c r="O26" s="11" t="n">
        <f aca="false">N26/1.1</f>
        <v>32.5</v>
      </c>
      <c r="P26" s="11" t="n">
        <v>42.5</v>
      </c>
      <c r="Q26" s="11" t="n">
        <v>38.64</v>
      </c>
      <c r="R26" s="11" t="n">
        <f aca="false">IF(COUNT(I26,K26,M26,O26,Q26)=0,"",MIN(I26,K26,M26,O26,Q26))</f>
        <v>32.5</v>
      </c>
      <c r="S26" s="42" t="n">
        <f aca="false">IF(OR(D26="",R26=""),"",D26/R26-1)</f>
        <v>-0.636615384615385</v>
      </c>
      <c r="T26" s="43" t="n">
        <f aca="false">IF(OR(F26="",R26=""),"",F26/R26-1)</f>
        <v>-0.629761538461539</v>
      </c>
      <c r="U26" s="41" t="s">
        <v>266</v>
      </c>
    </row>
    <row r="27" customFormat="false" ht="68.25" hidden="false" customHeight="true" outlineLevel="0" collapsed="false">
      <c r="A27" s="1" t="s">
        <v>222</v>
      </c>
      <c r="B27" s="1" t="s">
        <v>167</v>
      </c>
      <c r="C27" s="41" t="s">
        <v>168</v>
      </c>
      <c r="D27" s="11" t="n">
        <f aca="false">'RSEA vs Quoted Comparison'!F28</f>
        <v>33.41</v>
      </c>
      <c r="E27" s="11" t="n">
        <f aca="false">'RSEA vs Quoted Comparison'!G28</f>
        <v>36.751</v>
      </c>
      <c r="F27" s="11" t="n">
        <f aca="false">IF('RSEA vs Quoted Comparison'!H28="","",'RSEA vs Quoted Comparison'!H28)</f>
        <v>33.8555</v>
      </c>
      <c r="G27" s="11" t="n">
        <f aca="false">IF('RSEA vs Quoted Comparison'!I28="","",'RSEA vs Quoted Comparison'!I28)</f>
        <v>37.24105</v>
      </c>
      <c r="H27" s="11" t="n">
        <f aca="false">'RSEA vs Quoted Comparison'!D28</f>
        <v>142.99</v>
      </c>
      <c r="I27" s="11" t="n">
        <f aca="false">'RSEA vs Quoted Comparison'!E28</f>
        <v>129.990909090909</v>
      </c>
      <c r="N27" s="11" t="n">
        <v>35.75</v>
      </c>
      <c r="O27" s="11" t="n">
        <f aca="false">N27/1.1</f>
        <v>32.5</v>
      </c>
      <c r="P27" s="11" t="n">
        <v>57</v>
      </c>
      <c r="Q27" s="11" t="n">
        <v>51.82</v>
      </c>
      <c r="R27" s="11" t="n">
        <f aca="false">IF(COUNT(I27,K27,M27,O27,Q27)=0,"",MIN(I27,K27,M27,O27,Q27))</f>
        <v>32.5</v>
      </c>
      <c r="S27" s="42" t="n">
        <f aca="false">IF(OR(D27="",R27=""),"",D27/R27-1)</f>
        <v>0.0279999999999998</v>
      </c>
      <c r="T27" s="43" t="n">
        <f aca="false">IF(OR(F27="",R27=""),"",F27/R27-1)</f>
        <v>0.0417076923076922</v>
      </c>
      <c r="U27" s="41" t="s">
        <v>267</v>
      </c>
    </row>
    <row r="28" customFormat="false" ht="54.75" hidden="false" customHeight="true" outlineLevel="0" collapsed="false">
      <c r="A28" s="1" t="s">
        <v>222</v>
      </c>
      <c r="B28" s="1" t="s">
        <v>174</v>
      </c>
      <c r="C28" s="41" t="s">
        <v>175</v>
      </c>
      <c r="D28" s="11" t="n">
        <f aca="false">'RSEA vs Quoted Comparison'!F29</f>
        <v>33.41</v>
      </c>
      <c r="E28" s="11" t="n">
        <f aca="false">'RSEA vs Quoted Comparison'!G29</f>
        <v>36.751</v>
      </c>
      <c r="F28" s="11" t="n">
        <f aca="false">IF('RSEA vs Quoted Comparison'!H29="","",'RSEA vs Quoted Comparison'!H29)</f>
        <v>33.8555</v>
      </c>
      <c r="G28" s="11" t="n">
        <f aca="false">IF('RSEA vs Quoted Comparison'!I29="","",'RSEA vs Quoted Comparison'!I29)</f>
        <v>37.24105</v>
      </c>
      <c r="H28" s="11" t="n">
        <f aca="false">'RSEA vs Quoted Comparison'!D29</f>
        <v>142.99</v>
      </c>
      <c r="I28" s="11" t="n">
        <f aca="false">'RSEA vs Quoted Comparison'!E29</f>
        <v>129.990909090909</v>
      </c>
      <c r="J28" s="11" t="n">
        <f aca="false">K28*1.1</f>
        <v>109.153</v>
      </c>
      <c r="K28" s="11" t="n">
        <v>99.23</v>
      </c>
      <c r="L28" s="11" t="n">
        <v>61.59</v>
      </c>
      <c r="M28" s="11" t="n">
        <v>55.99</v>
      </c>
      <c r="N28" s="11" t="n">
        <v>49.5</v>
      </c>
      <c r="O28" s="11" t="n">
        <f aca="false">N28/1.1</f>
        <v>45</v>
      </c>
      <c r="P28" s="11" t="n">
        <v>57</v>
      </c>
      <c r="Q28" s="11" t="n">
        <v>51.82</v>
      </c>
      <c r="R28" s="11" t="n">
        <f aca="false">IF(COUNT(I28,K28,M28,O28,Q28)=0,"",MIN(I28,K28,M28,O28,Q28))</f>
        <v>45</v>
      </c>
      <c r="S28" s="42" t="n">
        <f aca="false">IF(OR(D28="",R28=""),"",D28/R28-1)</f>
        <v>-0.257555555555556</v>
      </c>
      <c r="T28" s="43" t="n">
        <f aca="false">IF(OR(F28="",R28=""),"",F28/R28-1)</f>
        <v>-0.247655555555555</v>
      </c>
      <c r="U28" s="41" t="s">
        <v>268</v>
      </c>
    </row>
    <row r="29" customFormat="false" ht="68.25" hidden="false" customHeight="true" outlineLevel="0" collapsed="false">
      <c r="A29" s="1" t="s">
        <v>223</v>
      </c>
      <c r="B29" s="1" t="s">
        <v>49</v>
      </c>
      <c r="C29" s="41" t="s">
        <v>50</v>
      </c>
      <c r="D29" s="11" t="n">
        <f aca="false">'RSEA vs Quoted Comparison'!F30</f>
        <v>13.07</v>
      </c>
      <c r="E29" s="11" t="n">
        <f aca="false">'RSEA vs Quoted Comparison'!G30</f>
        <v>14.377</v>
      </c>
      <c r="F29" s="11" t="str">
        <f aca="false">IF('RSEA vs Quoted Comparison'!H30="","",'RSEA vs Quoted Comparison'!H30)</f>
        <v/>
      </c>
      <c r="G29" s="11" t="str">
        <f aca="false">IF('RSEA vs Quoted Comparison'!I30="","",'RSEA vs Quoted Comparison'!I30)</f>
        <v/>
      </c>
      <c r="H29" s="11" t="n">
        <f aca="false">'RSEA vs Quoted Comparison'!D30</f>
        <v>57.99</v>
      </c>
      <c r="I29" s="11" t="n">
        <f aca="false">'RSEA vs Quoted Comparison'!E30</f>
        <v>52.7181818181818</v>
      </c>
      <c r="J29" s="11" t="n">
        <f aca="false">K29*1.1</f>
        <v>164.098</v>
      </c>
      <c r="K29" s="11" t="n">
        <v>149.18</v>
      </c>
      <c r="R29" s="11" t="n">
        <f aca="false">IF(COUNT(I29,K29,M29,O29,Q29)=0,"",MIN(I29,K29,M29,O29,Q29))</f>
        <v>52.7181818181818</v>
      </c>
      <c r="S29" s="42" t="n">
        <f aca="false">IF(OR(D29="",R29=""),"",D29/R29-1)</f>
        <v>-0.752077944473185</v>
      </c>
      <c r="T29" s="43" t="str">
        <f aca="false">IF(OR(F29="",R29=""),"",F29/R29-1)</f>
        <v/>
      </c>
      <c r="U29" s="41" t="s">
        <v>269</v>
      </c>
    </row>
    <row r="30" customFormat="false" ht="27.75" hidden="false" customHeight="true" outlineLevel="0" collapsed="false">
      <c r="A30" s="1" t="s">
        <v>223</v>
      </c>
      <c r="B30" s="1" t="s">
        <v>51</v>
      </c>
      <c r="C30" s="41" t="s">
        <v>52</v>
      </c>
      <c r="D30" s="11" t="n">
        <f aca="false">'RSEA vs Quoted Comparison'!F31</f>
        <v>13.07</v>
      </c>
      <c r="E30" s="11" t="n">
        <f aca="false">'RSEA vs Quoted Comparison'!G31</f>
        <v>14.377</v>
      </c>
      <c r="F30" s="11" t="str">
        <f aca="false">IF('RSEA vs Quoted Comparison'!H31="","",'RSEA vs Quoted Comparison'!H31)</f>
        <v/>
      </c>
      <c r="G30" s="11" t="str">
        <f aca="false">IF('RSEA vs Quoted Comparison'!I31="","",'RSEA vs Quoted Comparison'!I31)</f>
        <v/>
      </c>
      <c r="H30" s="11" t="n">
        <f aca="false">'RSEA vs Quoted Comparison'!D31</f>
        <v>44.99</v>
      </c>
      <c r="I30" s="11" t="n">
        <f aca="false">'RSEA vs Quoted Comparison'!E31</f>
        <v>40.9</v>
      </c>
      <c r="R30" s="11" t="n">
        <f aca="false">IF(COUNT(I30,K30,M30,O30,Q30)=0,"",MIN(I30,K30,M30,O30,Q30))</f>
        <v>40.9</v>
      </c>
      <c r="S30" s="42" t="n">
        <f aca="false">IF(OR(D30="",R30=""),"",D30/R30-1)</f>
        <v>-0.680440097799511</v>
      </c>
      <c r="T30" s="43" t="str">
        <f aca="false">IF(OR(F30="",R30=""),"",F30/R30-1)</f>
        <v/>
      </c>
      <c r="U30" s="41" t="s">
        <v>270</v>
      </c>
    </row>
    <row r="31" customFormat="false" ht="41.25" hidden="false" customHeight="true" outlineLevel="0" collapsed="false">
      <c r="A31" s="1" t="s">
        <v>223</v>
      </c>
      <c r="B31" s="1" t="s">
        <v>53</v>
      </c>
      <c r="C31" s="41" t="s">
        <v>54</v>
      </c>
      <c r="D31" s="11" t="n">
        <f aca="false">'RSEA vs Quoted Comparison'!F32</f>
        <v>16.04</v>
      </c>
      <c r="E31" s="11" t="n">
        <f aca="false">'RSEA vs Quoted Comparison'!G32</f>
        <v>17.644</v>
      </c>
      <c r="F31" s="11" t="str">
        <f aca="false">IF('RSEA vs Quoted Comparison'!H32="","",'RSEA vs Quoted Comparison'!H32)</f>
        <v/>
      </c>
      <c r="G31" s="11" t="str">
        <f aca="false">IF('RSEA vs Quoted Comparison'!I32="","",'RSEA vs Quoted Comparison'!I32)</f>
        <v/>
      </c>
      <c r="H31" s="11" t="n">
        <f aca="false">'RSEA vs Quoted Comparison'!D32</f>
        <v>52.99</v>
      </c>
      <c r="I31" s="11" t="n">
        <f aca="false">'RSEA vs Quoted Comparison'!E32</f>
        <v>48.1727272727273</v>
      </c>
      <c r="J31" s="11" t="n">
        <f aca="false">K31*1.1</f>
        <v>159.885</v>
      </c>
      <c r="K31" s="11" t="n">
        <v>145.35</v>
      </c>
      <c r="R31" s="11" t="n">
        <f aca="false">IF(COUNT(I31,K31,M31,O31,Q31)=0,"",MIN(I31,K31,M31,O31,Q31))</f>
        <v>48.1727272727273</v>
      </c>
      <c r="S31" s="42" t="n">
        <f aca="false">IF(OR(D31="",R31=""),"",D31/R31-1)</f>
        <v>-0.66703151538026</v>
      </c>
      <c r="T31" s="43" t="str">
        <f aca="false">IF(OR(F31="",R31=""),"",F31/R31-1)</f>
        <v/>
      </c>
      <c r="U31" s="41" t="s">
        <v>271</v>
      </c>
    </row>
    <row r="32" customFormat="false" ht="27.75" hidden="false" customHeight="true" outlineLevel="0" collapsed="false">
      <c r="A32" s="1" t="s">
        <v>223</v>
      </c>
      <c r="B32" s="1" t="s">
        <v>55</v>
      </c>
      <c r="C32" s="41" t="s">
        <v>56</v>
      </c>
      <c r="D32" s="11" t="n">
        <f aca="false">'RSEA vs Quoted Comparison'!F33</f>
        <v>16.04</v>
      </c>
      <c r="E32" s="11" t="n">
        <f aca="false">'RSEA vs Quoted Comparison'!G33</f>
        <v>17.644</v>
      </c>
      <c r="F32" s="11" t="str">
        <f aca="false">IF('RSEA vs Quoted Comparison'!H33="","",'RSEA vs Quoted Comparison'!H33)</f>
        <v/>
      </c>
      <c r="G32" s="11" t="str">
        <f aca="false">IF('RSEA vs Quoted Comparison'!I33="","",'RSEA vs Quoted Comparison'!I33)</f>
        <v/>
      </c>
      <c r="H32" s="11" t="n">
        <f aca="false">'RSEA vs Quoted Comparison'!D33</f>
        <v>57.99</v>
      </c>
      <c r="I32" s="11" t="n">
        <f aca="false">'RSEA vs Quoted Comparison'!E33</f>
        <v>52.7181818181818</v>
      </c>
      <c r="J32" s="11" t="n">
        <f aca="false">K32*1.1</f>
        <v>200.354</v>
      </c>
      <c r="K32" s="11" t="n">
        <v>182.14</v>
      </c>
      <c r="R32" s="11" t="n">
        <f aca="false">IF(COUNT(I32,K32,M32,O32,Q32)=0,"",MIN(I32,K32,M32,O32,Q32))</f>
        <v>52.7181818181818</v>
      </c>
      <c r="S32" s="42" t="n">
        <f aca="false">IF(OR(D32="",R32=""),"",D32/R32-1)</f>
        <v>-0.695740644938783</v>
      </c>
      <c r="T32" s="43" t="str">
        <f aca="false">IF(OR(F32="",R32=""),"",F32/R32-1)</f>
        <v/>
      </c>
      <c r="U32" s="41" t="s">
        <v>272</v>
      </c>
    </row>
    <row r="33" customFormat="false" ht="27.75" hidden="false" customHeight="true" outlineLevel="0" collapsed="false">
      <c r="A33" s="1" t="s">
        <v>223</v>
      </c>
      <c r="B33" s="1" t="s">
        <v>57</v>
      </c>
      <c r="C33" s="41" t="s">
        <v>58</v>
      </c>
      <c r="D33" s="11" t="n">
        <f aca="false">'RSEA vs Quoted Comparison'!F34</f>
        <v>16.04</v>
      </c>
      <c r="E33" s="11" t="n">
        <f aca="false">'RSEA vs Quoted Comparison'!G34</f>
        <v>17.644</v>
      </c>
      <c r="F33" s="11" t="str">
        <f aca="false">IF('RSEA vs Quoted Comparison'!H34="","",'RSEA vs Quoted Comparison'!H34)</f>
        <v/>
      </c>
      <c r="G33" s="11" t="str">
        <f aca="false">IF('RSEA vs Quoted Comparison'!I34="","",'RSEA vs Quoted Comparison'!I34)</f>
        <v/>
      </c>
      <c r="H33" s="11" t="n">
        <f aca="false">'RSEA vs Quoted Comparison'!D34</f>
        <v>57.99</v>
      </c>
      <c r="I33" s="11" t="n">
        <f aca="false">'RSEA vs Quoted Comparison'!E34</f>
        <v>52.7181818181818</v>
      </c>
      <c r="J33" s="11" t="n">
        <f aca="false">K33*1.1</f>
        <v>200.354</v>
      </c>
      <c r="K33" s="11" t="n">
        <v>182.14</v>
      </c>
      <c r="R33" s="11" t="n">
        <f aca="false">IF(COUNT(I33,K33,M33,O33,Q33)=0,"",MIN(I33,K33,M33,O33,Q33))</f>
        <v>52.7181818181818</v>
      </c>
      <c r="S33" s="42" t="n">
        <f aca="false">IF(OR(D33="",R33=""),"",D33/R33-1)</f>
        <v>-0.695740644938783</v>
      </c>
      <c r="T33" s="43" t="str">
        <f aca="false">IF(OR(F33="",R33=""),"",F33/R33-1)</f>
        <v/>
      </c>
      <c r="U33" s="41" t="s">
        <v>273</v>
      </c>
    </row>
    <row r="34" customFormat="false" ht="27.75" hidden="false" customHeight="true" outlineLevel="0" collapsed="false">
      <c r="A34" s="1" t="s">
        <v>223</v>
      </c>
      <c r="B34" s="1" t="s">
        <v>59</v>
      </c>
      <c r="C34" s="41" t="s">
        <v>60</v>
      </c>
      <c r="D34" s="11" t="n">
        <f aca="false">'RSEA vs Quoted Comparison'!F35</f>
        <v>16.04</v>
      </c>
      <c r="E34" s="11" t="n">
        <f aca="false">'RSEA vs Quoted Comparison'!G35</f>
        <v>17.644</v>
      </c>
      <c r="F34" s="11" t="str">
        <f aca="false">IF('RSEA vs Quoted Comparison'!H35="","",'RSEA vs Quoted Comparison'!H35)</f>
        <v/>
      </c>
      <c r="G34" s="11" t="str">
        <f aca="false">IF('RSEA vs Quoted Comparison'!I35="","",'RSEA vs Quoted Comparison'!I35)</f>
        <v/>
      </c>
      <c r="H34" s="11" t="n">
        <f aca="false">'RSEA vs Quoted Comparison'!D35</f>
        <v>57.99</v>
      </c>
      <c r="I34" s="11" t="n">
        <f aca="false">'RSEA vs Quoted Comparison'!E35</f>
        <v>52.7181818181818</v>
      </c>
      <c r="J34" s="11" t="n">
        <f aca="false">K34*1.1</f>
        <v>130.24</v>
      </c>
      <c r="K34" s="11" t="n">
        <v>118.4</v>
      </c>
      <c r="R34" s="11" t="n">
        <f aca="false">IF(COUNT(I34,K34,M34,O34,Q34)=0,"",MIN(I34,K34,M34,O34,Q34))</f>
        <v>52.7181818181818</v>
      </c>
      <c r="S34" s="42" t="n">
        <f aca="false">IF(OR(D34="",R34=""),"",D34/R34-1)</f>
        <v>-0.695740644938783</v>
      </c>
      <c r="T34" s="43" t="str">
        <f aca="false">IF(OR(F34="",R34=""),"",F34/R34-1)</f>
        <v/>
      </c>
      <c r="U34" s="41" t="s">
        <v>274</v>
      </c>
    </row>
    <row r="35" customFormat="false" ht="41.25" hidden="false" customHeight="true" outlineLevel="0" collapsed="false">
      <c r="A35" s="1" t="s">
        <v>223</v>
      </c>
      <c r="B35" s="1" t="s">
        <v>61</v>
      </c>
      <c r="C35" s="41" t="s">
        <v>62</v>
      </c>
      <c r="D35" s="11" t="n">
        <f aca="false">'RSEA vs Quoted Comparison'!F36</f>
        <v>13.07</v>
      </c>
      <c r="E35" s="11" t="n">
        <f aca="false">'RSEA vs Quoted Comparison'!G36</f>
        <v>14.377</v>
      </c>
      <c r="F35" s="11" t="str">
        <f aca="false">IF('RSEA vs Quoted Comparison'!H36="","",'RSEA vs Quoted Comparison'!H36)</f>
        <v/>
      </c>
      <c r="G35" s="11" t="str">
        <f aca="false">IF('RSEA vs Quoted Comparison'!I36="","",'RSEA vs Quoted Comparison'!I36)</f>
        <v/>
      </c>
      <c r="H35" s="11" t="n">
        <f aca="false">'RSEA vs Quoted Comparison'!D36</f>
        <v>57.99</v>
      </c>
      <c r="I35" s="11" t="n">
        <f aca="false">'RSEA vs Quoted Comparison'!E36</f>
        <v>52.7181818181818</v>
      </c>
      <c r="J35" s="11" t="n">
        <f aca="false">K35*1.1</f>
        <v>164.098</v>
      </c>
      <c r="K35" s="11" t="n">
        <v>149.18</v>
      </c>
      <c r="N35" s="11" t="n">
        <v>46.6</v>
      </c>
      <c r="O35" s="11" t="n">
        <f aca="false">N35/1.1</f>
        <v>42.3636363636364</v>
      </c>
      <c r="R35" s="11" t="n">
        <f aca="false">IF(COUNT(I35,K35,M35,O35,Q35)=0,"",MIN(I35,K35,M35,O35,Q35))</f>
        <v>42.3636363636364</v>
      </c>
      <c r="S35" s="42" t="n">
        <f aca="false">IF(OR(D35="",R35=""),"",D35/R35-1)</f>
        <v>-0.691480686695279</v>
      </c>
      <c r="T35" s="43" t="str">
        <f aca="false">IF(OR(F35="",R35=""),"",F35/R35-1)</f>
        <v/>
      </c>
      <c r="U35" s="41" t="s">
        <v>275</v>
      </c>
    </row>
    <row r="36" customFormat="false" ht="41.25" hidden="false" customHeight="true" outlineLevel="0" collapsed="false">
      <c r="A36" s="1" t="s">
        <v>223</v>
      </c>
      <c r="B36" s="1" t="s">
        <v>63</v>
      </c>
      <c r="C36" s="41" t="s">
        <v>64</v>
      </c>
      <c r="D36" s="11" t="n">
        <f aca="false">'RSEA vs Quoted Comparison'!F37</f>
        <v>16.04</v>
      </c>
      <c r="E36" s="11" t="n">
        <f aca="false">'RSEA vs Quoted Comparison'!G37</f>
        <v>17.644</v>
      </c>
      <c r="F36" s="11" t="str">
        <f aca="false">IF('RSEA vs Quoted Comparison'!H37="","",'RSEA vs Quoted Comparison'!H37)</f>
        <v/>
      </c>
      <c r="G36" s="11" t="str">
        <f aca="false">IF('RSEA vs Quoted Comparison'!I37="","",'RSEA vs Quoted Comparison'!I37)</f>
        <v/>
      </c>
      <c r="H36" s="11" t="n">
        <f aca="false">'RSEA vs Quoted Comparison'!D37</f>
        <v>59.99</v>
      </c>
      <c r="I36" s="11" t="n">
        <f aca="false">'RSEA vs Quoted Comparison'!E37</f>
        <v>54.5363636363636</v>
      </c>
      <c r="R36" s="11" t="n">
        <f aca="false">IF(COUNT(I36,K36,M36,O36,Q36)=0,"",MIN(I36,K36,M36,O36,Q36))</f>
        <v>54.5363636363636</v>
      </c>
      <c r="S36" s="42" t="n">
        <f aca="false">IF(OR(D36="",R36=""),"",D36/R36-1)</f>
        <v>-0.705884314052342</v>
      </c>
      <c r="T36" s="43" t="str">
        <f aca="false">IF(OR(F36="",R36=""),"",F36/R36-1)</f>
        <v/>
      </c>
      <c r="U36" s="41" t="s">
        <v>276</v>
      </c>
    </row>
    <row r="37" customFormat="false" ht="27.75" hidden="false" customHeight="true" outlineLevel="0" collapsed="false">
      <c r="A37" s="1" t="s">
        <v>223</v>
      </c>
      <c r="B37" s="1" t="s">
        <v>65</v>
      </c>
      <c r="C37" s="41" t="s">
        <v>66</v>
      </c>
      <c r="D37" s="11" t="n">
        <f aca="false">'RSEA vs Quoted Comparison'!F38</f>
        <v>13.07</v>
      </c>
      <c r="E37" s="11" t="n">
        <f aca="false">'RSEA vs Quoted Comparison'!G38</f>
        <v>14.377</v>
      </c>
      <c r="F37" s="11" t="str">
        <f aca="false">IF('RSEA vs Quoted Comparison'!H38="","",'RSEA vs Quoted Comparison'!H38)</f>
        <v/>
      </c>
      <c r="G37" s="11" t="str">
        <f aca="false">IF('RSEA vs Quoted Comparison'!I38="","",'RSEA vs Quoted Comparison'!I38)</f>
        <v/>
      </c>
      <c r="H37" s="11" t="n">
        <f aca="false">'RSEA vs Quoted Comparison'!D38</f>
        <v>57.99</v>
      </c>
      <c r="I37" s="11" t="n">
        <f aca="false">'RSEA vs Quoted Comparison'!E38</f>
        <v>52.7181818181818</v>
      </c>
      <c r="J37" s="11" t="n">
        <f aca="false">K37*1.1</f>
        <v>102.047</v>
      </c>
      <c r="K37" s="11" t="n">
        <v>92.77</v>
      </c>
      <c r="R37" s="11" t="n">
        <f aca="false">IF(COUNT(I37,K37,M37,O37,Q37)=0,"",MIN(I37,K37,M37,O37,Q37))</f>
        <v>52.7181818181818</v>
      </c>
      <c r="S37" s="42" t="n">
        <f aca="false">IF(OR(D37="",R37=""),"",D37/R37-1)</f>
        <v>-0.752077944473185</v>
      </c>
      <c r="T37" s="43" t="str">
        <f aca="false">IF(OR(F37="",R37=""),"",F37/R37-1)</f>
        <v/>
      </c>
      <c r="U37" s="41" t="s">
        <v>277</v>
      </c>
    </row>
    <row r="38" customFormat="false" ht="54.75" hidden="false" customHeight="true" outlineLevel="0" collapsed="false">
      <c r="A38" s="1" t="s">
        <v>223</v>
      </c>
      <c r="B38" s="1" t="s">
        <v>67</v>
      </c>
      <c r="C38" s="41" t="s">
        <v>68</v>
      </c>
      <c r="D38" s="11" t="n">
        <f aca="false">'RSEA vs Quoted Comparison'!F39</f>
        <v>13.07</v>
      </c>
      <c r="E38" s="11" t="n">
        <f aca="false">'RSEA vs Quoted Comparison'!G39</f>
        <v>14.377</v>
      </c>
      <c r="F38" s="11" t="str">
        <f aca="false">IF('RSEA vs Quoted Comparison'!H39="","",'RSEA vs Quoted Comparison'!H39)</f>
        <v/>
      </c>
      <c r="G38" s="11" t="str">
        <f aca="false">IF('RSEA vs Quoted Comparison'!I39="","",'RSEA vs Quoted Comparison'!I39)</f>
        <v/>
      </c>
      <c r="H38" s="11" t="n">
        <f aca="false">'RSEA vs Quoted Comparison'!D39</f>
        <v>57.99</v>
      </c>
      <c r="I38" s="11" t="n">
        <f aca="false">'RSEA vs Quoted Comparison'!E39</f>
        <v>52.7181818181818</v>
      </c>
      <c r="J38" s="11" t="n">
        <f aca="false">K38*1.1</f>
        <v>72.391</v>
      </c>
      <c r="K38" s="11" t="n">
        <v>65.81</v>
      </c>
      <c r="N38" s="11" t="n">
        <v>115.9</v>
      </c>
      <c r="O38" s="11" t="n">
        <f aca="false">N38/1.1</f>
        <v>105.363636363636</v>
      </c>
      <c r="R38" s="11" t="n">
        <f aca="false">IF(COUNT(I38,K38,M38,O38,Q38)=0,"",MIN(I38,K38,M38,O38,Q38))</f>
        <v>52.7181818181818</v>
      </c>
      <c r="S38" s="42" t="n">
        <f aca="false">IF(OR(D38="",R38=""),"",D38/R38-1)</f>
        <v>-0.752077944473185</v>
      </c>
      <c r="T38" s="43" t="str">
        <f aca="false">IF(OR(F38="",R38=""),"",F38/R38-1)</f>
        <v/>
      </c>
      <c r="U38" s="41" t="s">
        <v>278</v>
      </c>
    </row>
    <row r="39" customFormat="false" ht="27.75" hidden="false" customHeight="true" outlineLevel="0" collapsed="false">
      <c r="A39" s="1" t="s">
        <v>223</v>
      </c>
      <c r="B39" s="1" t="s">
        <v>69</v>
      </c>
      <c r="C39" s="41" t="s">
        <v>70</v>
      </c>
      <c r="D39" s="11" t="n">
        <f aca="false">'RSEA vs Quoted Comparison'!F40</f>
        <v>13.07</v>
      </c>
      <c r="E39" s="11" t="n">
        <f aca="false">'RSEA vs Quoted Comparison'!G40</f>
        <v>14.377</v>
      </c>
      <c r="F39" s="11" t="str">
        <f aca="false">IF('RSEA vs Quoted Comparison'!H40="","",'RSEA vs Quoted Comparison'!H40)</f>
        <v/>
      </c>
      <c r="G39" s="11" t="str">
        <f aca="false">IF('RSEA vs Quoted Comparison'!I40="","",'RSEA vs Quoted Comparison'!I40)</f>
        <v/>
      </c>
      <c r="H39" s="11" t="n">
        <f aca="false">'RSEA vs Quoted Comparison'!D40</f>
        <v>57.99</v>
      </c>
      <c r="I39" s="11" t="n">
        <f aca="false">'RSEA vs Quoted Comparison'!E40</f>
        <v>52.7181818181818</v>
      </c>
      <c r="J39" s="11" t="n">
        <f aca="false">K39*1.1</f>
        <v>72.391</v>
      </c>
      <c r="K39" s="11" t="n">
        <v>65.81</v>
      </c>
      <c r="N39" s="11" t="n">
        <v>115.9</v>
      </c>
      <c r="O39" s="11" t="n">
        <f aca="false">N39/1.1</f>
        <v>105.363636363636</v>
      </c>
      <c r="R39" s="11" t="n">
        <f aca="false">IF(COUNT(I39,K39,M39,O39,Q39)=0,"",MIN(I39,K39,M39,O39,Q39))</f>
        <v>52.7181818181818</v>
      </c>
      <c r="S39" s="42" t="n">
        <f aca="false">IF(OR(D39="",R39=""),"",D39/R39-1)</f>
        <v>-0.752077944473185</v>
      </c>
      <c r="T39" s="43" t="str">
        <f aca="false">IF(OR(F39="",R39=""),"",F39/R39-1)</f>
        <v/>
      </c>
      <c r="U39" s="41" t="s">
        <v>279</v>
      </c>
    </row>
    <row r="40" customFormat="false" ht="41.25" hidden="false" customHeight="true" outlineLevel="0" collapsed="false">
      <c r="A40" s="1" t="s">
        <v>223</v>
      </c>
      <c r="B40" s="1" t="s">
        <v>71</v>
      </c>
      <c r="C40" s="41" t="s">
        <v>72</v>
      </c>
      <c r="D40" s="11" t="n">
        <f aca="false">'RSEA vs Quoted Comparison'!F41</f>
        <v>13.07</v>
      </c>
      <c r="E40" s="11" t="n">
        <f aca="false">'RSEA vs Quoted Comparison'!G41</f>
        <v>14.377</v>
      </c>
      <c r="F40" s="11" t="str">
        <f aca="false">IF('RSEA vs Quoted Comparison'!H41="","",'RSEA vs Quoted Comparison'!H41)</f>
        <v/>
      </c>
      <c r="G40" s="11" t="str">
        <f aca="false">IF('RSEA vs Quoted Comparison'!I41="","",'RSEA vs Quoted Comparison'!I41)</f>
        <v/>
      </c>
      <c r="H40" s="11" t="n">
        <f aca="false">'RSEA vs Quoted Comparison'!D41</f>
        <v>57.99</v>
      </c>
      <c r="I40" s="11" t="n">
        <f aca="false">'RSEA vs Quoted Comparison'!E41</f>
        <v>52.7181818181818</v>
      </c>
      <c r="J40" s="11" t="n">
        <f aca="false">K40*1.1</f>
        <v>108.163</v>
      </c>
      <c r="K40" s="11" t="n">
        <v>98.33</v>
      </c>
      <c r="P40" s="11" t="n">
        <v>96.1</v>
      </c>
      <c r="Q40" s="11" t="n">
        <v>87.36</v>
      </c>
      <c r="R40" s="11" t="n">
        <f aca="false">IF(COUNT(I40,K40,M40,O40,Q40)=0,"",MIN(I40,K40,M40,O40,Q40))</f>
        <v>52.7181818181818</v>
      </c>
      <c r="S40" s="42" t="n">
        <f aca="false">IF(OR(D40="",R40=""),"",D40/R40-1)</f>
        <v>-0.752077944473185</v>
      </c>
      <c r="T40" s="43" t="str">
        <f aca="false">IF(OR(F40="",R40=""),"",F40/R40-1)</f>
        <v/>
      </c>
      <c r="U40" s="41" t="s">
        <v>280</v>
      </c>
    </row>
    <row r="41" customFormat="false" ht="41.25" hidden="false" customHeight="true" outlineLevel="0" collapsed="false">
      <c r="A41" s="1" t="s">
        <v>223</v>
      </c>
      <c r="B41" s="1" t="s">
        <v>73</v>
      </c>
      <c r="C41" s="41" t="s">
        <v>74</v>
      </c>
      <c r="D41" s="11" t="n">
        <f aca="false">'RSEA vs Quoted Comparison'!F42</f>
        <v>13.07</v>
      </c>
      <c r="E41" s="11" t="n">
        <f aca="false">'RSEA vs Quoted Comparison'!G42</f>
        <v>14.377</v>
      </c>
      <c r="F41" s="11" t="str">
        <f aca="false">IF('RSEA vs Quoted Comparison'!H42="","",'RSEA vs Quoted Comparison'!H42)</f>
        <v/>
      </c>
      <c r="G41" s="11" t="str">
        <f aca="false">IF('RSEA vs Quoted Comparison'!I42="","",'RSEA vs Quoted Comparison'!I42)</f>
        <v/>
      </c>
      <c r="H41" s="11" t="n">
        <f aca="false">'RSEA vs Quoted Comparison'!D42</f>
        <v>57.99</v>
      </c>
      <c r="I41" s="11" t="n">
        <f aca="false">'RSEA vs Quoted Comparison'!E42</f>
        <v>52.7181818181818</v>
      </c>
      <c r="J41" s="11" t="n">
        <f aca="false">K41*1.1</f>
        <v>108.163</v>
      </c>
      <c r="K41" s="11" t="n">
        <v>98.33</v>
      </c>
      <c r="P41" s="11" t="n">
        <v>96.1</v>
      </c>
      <c r="Q41" s="11" t="n">
        <v>87.36</v>
      </c>
      <c r="R41" s="11" t="n">
        <f aca="false">IF(COUNT(I41,K41,M41,O41,Q41)=0,"",MIN(I41,K41,M41,O41,Q41))</f>
        <v>52.7181818181818</v>
      </c>
      <c r="S41" s="42" t="n">
        <f aca="false">IF(OR(D41="",R41=""),"",D41/R41-1)</f>
        <v>-0.752077944473185</v>
      </c>
      <c r="T41" s="43" t="str">
        <f aca="false">IF(OR(F41="",R41=""),"",F41/R41-1)</f>
        <v/>
      </c>
      <c r="U41" s="41" t="s">
        <v>280</v>
      </c>
    </row>
    <row r="42" customFormat="false" ht="41.25" hidden="false" customHeight="true" outlineLevel="0" collapsed="false">
      <c r="A42" s="1" t="s">
        <v>225</v>
      </c>
      <c r="B42" s="1" t="s">
        <v>4</v>
      </c>
      <c r="C42" s="41" t="s">
        <v>5</v>
      </c>
      <c r="D42" s="11" t="n">
        <f aca="false">'RSEA vs Quoted Comparison'!F43</f>
        <v>5.35</v>
      </c>
      <c r="E42" s="11" t="n">
        <f aca="false">'RSEA vs Quoted Comparison'!G43</f>
        <v>5.885</v>
      </c>
      <c r="F42" s="11" t="str">
        <f aca="false">IF('RSEA vs Quoted Comparison'!H43="","",'RSEA vs Quoted Comparison'!H43)</f>
        <v/>
      </c>
      <c r="G42" s="11" t="str">
        <f aca="false">IF('RSEA vs Quoted Comparison'!I43="","",'RSEA vs Quoted Comparison'!I43)</f>
        <v/>
      </c>
      <c r="H42" s="11" t="n">
        <f aca="false">'RSEA vs Quoted Comparison'!D43</f>
        <v>37.99</v>
      </c>
      <c r="I42" s="11" t="n">
        <f aca="false">'RSEA vs Quoted Comparison'!E43</f>
        <v>34.5363636363636</v>
      </c>
      <c r="R42" s="11" t="n">
        <f aca="false">IF(COUNT(I42,K42,M42,O42,Q42)=0,"",MIN(I42,K42,M42,O42,Q42))</f>
        <v>34.5363636363636</v>
      </c>
      <c r="S42" s="42" t="n">
        <f aca="false">IF(OR(D42="",R42=""),"",D42/R42-1)</f>
        <v>-0.84509081337194</v>
      </c>
      <c r="T42" s="43" t="str">
        <f aca="false">IF(OR(F42="",R42=""),"",F42/R42-1)</f>
        <v/>
      </c>
      <c r="U42" s="41" t="s">
        <v>276</v>
      </c>
    </row>
    <row r="43" customFormat="false" ht="54.75" hidden="false" customHeight="true" outlineLevel="0" collapsed="false">
      <c r="A43" s="1" t="s">
        <v>225</v>
      </c>
      <c r="B43" s="1" t="s">
        <v>95</v>
      </c>
      <c r="C43" s="41" t="s">
        <v>96</v>
      </c>
      <c r="D43" s="11" t="n">
        <f aca="false">'RSEA vs Quoted Comparison'!F44</f>
        <v>2.67</v>
      </c>
      <c r="E43" s="11" t="n">
        <f aca="false">'RSEA vs Quoted Comparison'!G44</f>
        <v>2.937</v>
      </c>
      <c r="F43" s="11" t="str">
        <f aca="false">IF('RSEA vs Quoted Comparison'!H44="","",'RSEA vs Quoted Comparison'!H44)</f>
        <v/>
      </c>
      <c r="G43" s="11" t="str">
        <f aca="false">IF('RSEA vs Quoted Comparison'!I44="","",'RSEA vs Quoted Comparison'!I44)</f>
        <v/>
      </c>
      <c r="H43" s="11" t="n">
        <f aca="false">'RSEA vs Quoted Comparison'!D44</f>
        <v>24.99</v>
      </c>
      <c r="I43" s="11" t="n">
        <f aca="false">'RSEA vs Quoted Comparison'!E44</f>
        <v>22.7181818181818</v>
      </c>
      <c r="L43" s="11" t="n">
        <v>34.67</v>
      </c>
      <c r="M43" s="11" t="n">
        <v>31.52</v>
      </c>
      <c r="N43" s="11" t="n">
        <v>42.5</v>
      </c>
      <c r="O43" s="11" t="n">
        <f aca="false">N43/1.1</f>
        <v>38.6363636363636</v>
      </c>
      <c r="P43" s="11" t="n">
        <v>24.2</v>
      </c>
      <c r="Q43" s="11" t="n">
        <v>22</v>
      </c>
      <c r="R43" s="11" t="n">
        <f aca="false">IF(COUNT(I43,K43,M43,O43,Q43)=0,"",MIN(I43,K43,M43,O43,Q43))</f>
        <v>22</v>
      </c>
      <c r="S43" s="42" t="n">
        <f aca="false">IF(OR(D43="",R43=""),"",D43/R43-1)</f>
        <v>-0.878636363636364</v>
      </c>
      <c r="T43" s="43" t="str">
        <f aca="false">IF(OR(F43="",R43=""),"",F43/R43-1)</f>
        <v/>
      </c>
      <c r="U43" s="41" t="s">
        <v>281</v>
      </c>
    </row>
    <row r="44" customFormat="false" ht="27.75" hidden="false" customHeight="true" outlineLevel="0" collapsed="false">
      <c r="A44" s="1" t="s">
        <v>225</v>
      </c>
      <c r="B44" s="1" t="s">
        <v>97</v>
      </c>
      <c r="C44" s="41" t="s">
        <v>98</v>
      </c>
      <c r="D44" s="11" t="n">
        <f aca="false">'RSEA vs Quoted Comparison'!F45</f>
        <v>10.69</v>
      </c>
      <c r="E44" s="11" t="n">
        <f aca="false">'RSEA vs Quoted Comparison'!G45</f>
        <v>11.759</v>
      </c>
      <c r="F44" s="11" t="str">
        <f aca="false">IF('RSEA vs Quoted Comparison'!H45="","",'RSEA vs Quoted Comparison'!H45)</f>
        <v/>
      </c>
      <c r="G44" s="11" t="str">
        <f aca="false">IF('RSEA vs Quoted Comparison'!I45="","",'RSEA vs Quoted Comparison'!I45)</f>
        <v/>
      </c>
      <c r="H44" s="11" t="n">
        <f aca="false">'RSEA vs Quoted Comparison'!D45</f>
        <v>44.99</v>
      </c>
      <c r="I44" s="11" t="n">
        <f aca="false">'RSEA vs Quoted Comparison'!E45</f>
        <v>40.9</v>
      </c>
      <c r="L44" s="11" t="n">
        <v>39.58</v>
      </c>
      <c r="M44" s="11" t="n">
        <v>35.98</v>
      </c>
      <c r="N44" s="11" t="n">
        <v>42.5</v>
      </c>
      <c r="O44" s="11" t="n">
        <f aca="false">N44/1.1</f>
        <v>38.6363636363636</v>
      </c>
      <c r="P44" s="11" t="n">
        <v>51</v>
      </c>
      <c r="Q44" s="11" t="n">
        <v>46.36</v>
      </c>
      <c r="R44" s="11" t="n">
        <f aca="false">IF(COUNT(I44,K44,M44,O44,Q44)=0,"",MIN(I44,K44,M44,O44,Q44))</f>
        <v>35.98</v>
      </c>
      <c r="S44" s="42" t="n">
        <f aca="false">IF(OR(D44="",R44=""),"",D44/R44-1)</f>
        <v>-0.702890494719288</v>
      </c>
      <c r="T44" s="43" t="str">
        <f aca="false">IF(OR(F44="",R44=""),"",F44/R44-1)</f>
        <v/>
      </c>
      <c r="U44" s="41" t="s">
        <v>282</v>
      </c>
    </row>
    <row r="45" customFormat="false" ht="41.25" hidden="false" customHeight="true" outlineLevel="0" collapsed="false">
      <c r="A45" s="1" t="s">
        <v>225</v>
      </c>
      <c r="B45" s="1" t="s">
        <v>99</v>
      </c>
      <c r="C45" s="41" t="s">
        <v>100</v>
      </c>
      <c r="D45" s="11" t="n">
        <f aca="false">'RSEA vs Quoted Comparison'!F46</f>
        <v>2.67</v>
      </c>
      <c r="E45" s="11" t="n">
        <f aca="false">'RSEA vs Quoted Comparison'!G46</f>
        <v>2.937</v>
      </c>
      <c r="F45" s="11" t="str">
        <f aca="false">IF('RSEA vs Quoted Comparison'!H46="","",'RSEA vs Quoted Comparison'!H46)</f>
        <v/>
      </c>
      <c r="G45" s="11" t="str">
        <f aca="false">IF('RSEA vs Quoted Comparison'!I46="","",'RSEA vs Quoted Comparison'!I46)</f>
        <v/>
      </c>
      <c r="H45" s="11" t="n">
        <f aca="false">'RSEA vs Quoted Comparison'!D46</f>
        <v>24.99</v>
      </c>
      <c r="I45" s="11" t="n">
        <f aca="false">'RSEA vs Quoted Comparison'!E46</f>
        <v>22.7181818181818</v>
      </c>
      <c r="R45" s="11" t="n">
        <f aca="false">IF(COUNT(I45,K45,M45,O45,Q45)=0,"",MIN(I45,K45,M45,O45,Q45))</f>
        <v>22.7181818181818</v>
      </c>
      <c r="S45" s="42" t="n">
        <f aca="false">IF(OR(D45="",R45=""),"",D45/R45-1)</f>
        <v>-0.882472989195678</v>
      </c>
      <c r="T45" s="43" t="str">
        <f aca="false">IF(OR(F45="",R45=""),"",F45/R45-1)</f>
        <v/>
      </c>
      <c r="U45" s="41" t="s">
        <v>276</v>
      </c>
    </row>
    <row r="46" customFormat="false" ht="41.25" hidden="false" customHeight="true" outlineLevel="0" collapsed="false">
      <c r="A46" s="1" t="s">
        <v>225</v>
      </c>
      <c r="B46" s="1" t="s">
        <v>103</v>
      </c>
      <c r="C46" s="41" t="s">
        <v>104</v>
      </c>
      <c r="D46" s="11" t="n">
        <f aca="false">'RSEA vs Quoted Comparison'!F47</f>
        <v>9.5</v>
      </c>
      <c r="E46" s="11" t="n">
        <f aca="false">'RSEA vs Quoted Comparison'!G47</f>
        <v>10.45</v>
      </c>
      <c r="F46" s="11" t="str">
        <f aca="false">IF('RSEA vs Quoted Comparison'!H47="","",'RSEA vs Quoted Comparison'!H47)</f>
        <v/>
      </c>
      <c r="G46" s="11" t="str">
        <f aca="false">IF('RSEA vs Quoted Comparison'!I47="","",'RSEA vs Quoted Comparison'!I47)</f>
        <v/>
      </c>
      <c r="H46" s="11" t="n">
        <f aca="false">'RSEA vs Quoted Comparison'!D47</f>
        <v>44.99</v>
      </c>
      <c r="I46" s="11" t="n">
        <f aca="false">'RSEA vs Quoted Comparison'!E47</f>
        <v>40.9</v>
      </c>
      <c r="R46" s="11" t="n">
        <f aca="false">IF(COUNT(I46,K46,M46,O46,Q46)=0,"",MIN(I46,K46,M46,O46,Q46))</f>
        <v>40.9</v>
      </c>
      <c r="S46" s="42" t="n">
        <f aca="false">IF(OR(D46="",R46=""),"",D46/R46-1)</f>
        <v>-0.767726161369193</v>
      </c>
      <c r="T46" s="43" t="str">
        <f aca="false">IF(OR(F46="",R46=""),"",F46/R46-1)</f>
        <v/>
      </c>
      <c r="U46" s="41" t="s">
        <v>276</v>
      </c>
    </row>
    <row r="47" customFormat="false" ht="41.25" hidden="false" customHeight="true" outlineLevel="0" collapsed="false">
      <c r="A47" s="1" t="s">
        <v>225</v>
      </c>
      <c r="B47" s="1" t="s">
        <v>105</v>
      </c>
      <c r="C47" s="41" t="s">
        <v>106</v>
      </c>
      <c r="D47" s="11" t="n">
        <f aca="false">'RSEA vs Quoted Comparison'!F48</f>
        <v>10.69</v>
      </c>
      <c r="E47" s="11" t="n">
        <f aca="false">'RSEA vs Quoted Comparison'!G48</f>
        <v>11.759</v>
      </c>
      <c r="F47" s="11" t="str">
        <f aca="false">IF('RSEA vs Quoted Comparison'!H48="","",'RSEA vs Quoted Comparison'!H48)</f>
        <v/>
      </c>
      <c r="G47" s="11" t="str">
        <f aca="false">IF('RSEA vs Quoted Comparison'!I48="","",'RSEA vs Quoted Comparison'!I48)</f>
        <v/>
      </c>
      <c r="H47" s="11" t="n">
        <f aca="false">'RSEA vs Quoted Comparison'!D48</f>
        <v>44.99</v>
      </c>
      <c r="I47" s="11" t="n">
        <f aca="false">'RSEA vs Quoted Comparison'!E48</f>
        <v>40.9</v>
      </c>
      <c r="R47" s="11" t="n">
        <f aca="false">IF(COUNT(I47,K47,M47,O47,Q47)=0,"",MIN(I47,K47,M47,O47,Q47))</f>
        <v>40.9</v>
      </c>
      <c r="S47" s="42" t="n">
        <f aca="false">IF(OR(D47="",R47=""),"",D47/R47-1)</f>
        <v>-0.738630806845966</v>
      </c>
      <c r="T47" s="43" t="str">
        <f aca="false">IF(OR(F47="",R47=""),"",F47/R47-1)</f>
        <v/>
      </c>
      <c r="U47" s="41" t="s">
        <v>276</v>
      </c>
    </row>
    <row r="48" customFormat="false" ht="27.75" hidden="false" customHeight="true" outlineLevel="0" collapsed="false">
      <c r="A48" s="1" t="s">
        <v>225</v>
      </c>
      <c r="B48" s="1" t="s">
        <v>109</v>
      </c>
      <c r="C48" s="41" t="s">
        <v>110</v>
      </c>
      <c r="D48" s="11" t="n">
        <f aca="false">'RSEA vs Quoted Comparison'!F49</f>
        <v>5.35</v>
      </c>
      <c r="E48" s="11" t="n">
        <f aca="false">'RSEA vs Quoted Comparison'!G49</f>
        <v>5.885</v>
      </c>
      <c r="F48" s="11" t="str">
        <f aca="false">IF('RSEA vs Quoted Comparison'!H49="","",'RSEA vs Quoted Comparison'!H49)</f>
        <v/>
      </c>
      <c r="G48" s="11" t="str">
        <f aca="false">IF('RSEA vs Quoted Comparison'!I49="","",'RSEA vs Quoted Comparison'!I49)</f>
        <v/>
      </c>
      <c r="H48" s="11" t="n">
        <f aca="false">'RSEA vs Quoted Comparison'!D49</f>
        <v>32.99</v>
      </c>
      <c r="I48" s="11" t="n">
        <f aca="false">'RSEA vs Quoted Comparison'!E49</f>
        <v>29.9909090909091</v>
      </c>
      <c r="L48" s="11" t="n">
        <v>34.67</v>
      </c>
      <c r="M48" s="11" t="n">
        <v>31.52</v>
      </c>
      <c r="R48" s="11" t="n">
        <f aca="false">IF(COUNT(I48,K48,M48,O48,Q48)=0,"",MIN(I48,K48,M48,O48,Q48))</f>
        <v>29.9909090909091</v>
      </c>
      <c r="S48" s="42" t="n">
        <f aca="false">IF(OR(D48="",R48=""),"",D48/R48-1)</f>
        <v>-0.821612609881782</v>
      </c>
      <c r="T48" s="43" t="str">
        <f aca="false">IF(OR(F48="",R48=""),"",F48/R48-1)</f>
        <v/>
      </c>
      <c r="U48" s="41" t="s">
        <v>283</v>
      </c>
    </row>
    <row r="49" customFormat="false" ht="41.25" hidden="false" customHeight="true" outlineLevel="0" collapsed="false">
      <c r="A49" s="1" t="s">
        <v>225</v>
      </c>
      <c r="B49" s="1" t="s">
        <v>111</v>
      </c>
      <c r="C49" s="41" t="s">
        <v>112</v>
      </c>
      <c r="D49" s="11" t="n">
        <f aca="false">'RSEA vs Quoted Comparison'!F50</f>
        <v>5.35</v>
      </c>
      <c r="E49" s="11" t="n">
        <f aca="false">'RSEA vs Quoted Comparison'!G50</f>
        <v>5.885</v>
      </c>
      <c r="F49" s="11" t="str">
        <f aca="false">IF('RSEA vs Quoted Comparison'!H50="","",'RSEA vs Quoted Comparison'!H50)</f>
        <v/>
      </c>
      <c r="G49" s="11" t="str">
        <f aca="false">IF('RSEA vs Quoted Comparison'!I50="","",'RSEA vs Quoted Comparison'!I50)</f>
        <v/>
      </c>
      <c r="H49" s="11" t="n">
        <f aca="false">'RSEA vs Quoted Comparison'!D50</f>
        <v>49.99</v>
      </c>
      <c r="I49" s="11" t="n">
        <f aca="false">'RSEA vs Quoted Comparison'!E50</f>
        <v>45.4454545454545</v>
      </c>
      <c r="L49" s="11" t="n">
        <v>34.67</v>
      </c>
      <c r="M49" s="11" t="n">
        <v>31.52</v>
      </c>
      <c r="N49" s="11" t="n">
        <v>28.3</v>
      </c>
      <c r="O49" s="11" t="n">
        <f aca="false">N49/1.1</f>
        <v>25.7272727272727</v>
      </c>
      <c r="P49" s="11" t="n">
        <v>11.55</v>
      </c>
      <c r="Q49" s="11" t="n">
        <v>10.5</v>
      </c>
      <c r="R49" s="11" t="n">
        <f aca="false">IF(COUNT(I49,K49,M49,O49,Q49)=0,"",MIN(I49,K49,M49,O49,Q49))</f>
        <v>10.5</v>
      </c>
      <c r="S49" s="42" t="n">
        <f aca="false">IF(OR(D49="",R49=""),"",D49/R49-1)</f>
        <v>-0.490476190476191</v>
      </c>
      <c r="T49" s="43" t="str">
        <f aca="false">IF(OR(F49="",R49=""),"",F49/R49-1)</f>
        <v/>
      </c>
      <c r="U49" s="41" t="s">
        <v>284</v>
      </c>
    </row>
    <row r="50" customFormat="false" ht="41.25" hidden="false" customHeight="true" outlineLevel="0" collapsed="false">
      <c r="A50" s="1" t="s">
        <v>225</v>
      </c>
      <c r="B50" s="1" t="s">
        <v>115</v>
      </c>
      <c r="C50" s="41" t="s">
        <v>116</v>
      </c>
      <c r="D50" s="11" t="n">
        <f aca="false">'RSEA vs Quoted Comparison'!F51</f>
        <v>2.67</v>
      </c>
      <c r="E50" s="11" t="n">
        <f aca="false">'RSEA vs Quoted Comparison'!G51</f>
        <v>2.937</v>
      </c>
      <c r="F50" s="11" t="str">
        <f aca="false">IF('RSEA vs Quoted Comparison'!H51="","",'RSEA vs Quoted Comparison'!H51)</f>
        <v/>
      </c>
      <c r="G50" s="11" t="str">
        <f aca="false">IF('RSEA vs Quoted Comparison'!I51="","",'RSEA vs Quoted Comparison'!I51)</f>
        <v/>
      </c>
      <c r="H50" s="11" t="n">
        <f aca="false">'RSEA vs Quoted Comparison'!D51</f>
        <v>27.99</v>
      </c>
      <c r="I50" s="11" t="n">
        <f aca="false">'RSEA vs Quoted Comparison'!E51</f>
        <v>25.4454545454545</v>
      </c>
      <c r="R50" s="11" t="n">
        <f aca="false">IF(COUNT(I50,K50,M50,O50,Q50)=0,"",MIN(I50,K50,M50,O50,Q50))</f>
        <v>25.4454545454545</v>
      </c>
      <c r="S50" s="42" t="n">
        <f aca="false">IF(OR(D50="",R50=""),"",D50/R50-1)</f>
        <v>-0.895069667738478</v>
      </c>
      <c r="T50" s="43" t="str">
        <f aca="false">IF(OR(F50="",R50=""),"",F50/R50-1)</f>
        <v/>
      </c>
      <c r="U50" s="41" t="s">
        <v>276</v>
      </c>
    </row>
    <row r="51" customFormat="false" ht="41.25" hidden="false" customHeight="true" outlineLevel="0" collapsed="false">
      <c r="A51" s="1" t="s">
        <v>225</v>
      </c>
      <c r="B51" s="1" t="s">
        <v>119</v>
      </c>
      <c r="C51" s="41" t="s">
        <v>120</v>
      </c>
      <c r="D51" s="11" t="n">
        <f aca="false">'RSEA vs Quoted Comparison'!F52</f>
        <v>9.5</v>
      </c>
      <c r="E51" s="11" t="n">
        <f aca="false">'RSEA vs Quoted Comparison'!G52</f>
        <v>10.45</v>
      </c>
      <c r="F51" s="11" t="str">
        <f aca="false">IF('RSEA vs Quoted Comparison'!H52="","",'RSEA vs Quoted Comparison'!H52)</f>
        <v/>
      </c>
      <c r="G51" s="11" t="str">
        <f aca="false">IF('RSEA vs Quoted Comparison'!I52="","",'RSEA vs Quoted Comparison'!I52)</f>
        <v/>
      </c>
      <c r="H51" s="11" t="n">
        <f aca="false">'RSEA vs Quoted Comparison'!D52</f>
        <v>44.99</v>
      </c>
      <c r="I51" s="11" t="n">
        <f aca="false">'RSEA vs Quoted Comparison'!E52</f>
        <v>40.9</v>
      </c>
      <c r="R51" s="11" t="n">
        <f aca="false">IF(COUNT(I51,K51,M51,O51,Q51)=0,"",MIN(I51,K51,M51,O51,Q51))</f>
        <v>40.9</v>
      </c>
      <c r="S51" s="42" t="n">
        <f aca="false">IF(OR(D51="",R51=""),"",D51/R51-1)</f>
        <v>-0.767726161369193</v>
      </c>
      <c r="T51" s="43" t="str">
        <f aca="false">IF(OR(F51="",R51=""),"",F51/R51-1)</f>
        <v/>
      </c>
      <c r="U51" s="41" t="s">
        <v>276</v>
      </c>
    </row>
    <row r="52" customFormat="false" ht="41.25" hidden="false" customHeight="true" outlineLevel="0" collapsed="false">
      <c r="A52" s="1" t="s">
        <v>225</v>
      </c>
      <c r="B52" s="1" t="s">
        <v>121</v>
      </c>
      <c r="C52" s="41" t="s">
        <v>122</v>
      </c>
      <c r="D52" s="11" t="n">
        <f aca="false">'RSEA vs Quoted Comparison'!F53</f>
        <v>2</v>
      </c>
      <c r="E52" s="11" t="n">
        <f aca="false">'RSEA vs Quoted Comparison'!G53</f>
        <v>2.2</v>
      </c>
      <c r="F52" s="11" t="str">
        <f aca="false">IF('RSEA vs Quoted Comparison'!H53="","",'RSEA vs Quoted Comparison'!H53)</f>
        <v/>
      </c>
      <c r="G52" s="11" t="str">
        <f aca="false">IF('RSEA vs Quoted Comparison'!I53="","",'RSEA vs Quoted Comparison'!I53)</f>
        <v/>
      </c>
      <c r="H52" s="11" t="n">
        <f aca="false">'RSEA vs Quoted Comparison'!D53</f>
        <v>49.99</v>
      </c>
      <c r="I52" s="11" t="n">
        <f aca="false">'RSEA vs Quoted Comparison'!E53</f>
        <v>45.4454545454545</v>
      </c>
      <c r="L52" s="11" t="n">
        <v>21.51</v>
      </c>
      <c r="M52" s="11" t="n">
        <v>19.55</v>
      </c>
      <c r="N52" s="11" t="n">
        <v>8.6</v>
      </c>
      <c r="O52" s="11" t="n">
        <f aca="false">N52/1.1</f>
        <v>7.81818181818182</v>
      </c>
      <c r="P52" s="11" t="n">
        <v>22.6</v>
      </c>
      <c r="Q52" s="11" t="n">
        <v>20.55</v>
      </c>
      <c r="R52" s="11" t="n">
        <f aca="false">IF(COUNT(I52,K52,M52,O52,Q52)=0,"",MIN(I52,K52,M52,O52,Q52))</f>
        <v>7.81818181818182</v>
      </c>
      <c r="S52" s="42" t="n">
        <f aca="false">IF(OR(D52="",R52=""),"",D52/R52-1)</f>
        <v>-0.744186046511628</v>
      </c>
      <c r="T52" s="43" t="str">
        <f aca="false">IF(OR(F52="",R52=""),"",F52/R52-1)</f>
        <v/>
      </c>
      <c r="U52" s="41" t="s">
        <v>285</v>
      </c>
    </row>
    <row r="53" customFormat="false" ht="41.25" hidden="false" customHeight="true" outlineLevel="0" collapsed="false">
      <c r="A53" s="1" t="s">
        <v>225</v>
      </c>
      <c r="B53" s="1" t="s">
        <v>123</v>
      </c>
      <c r="C53" s="41" t="s">
        <v>124</v>
      </c>
      <c r="D53" s="11" t="n">
        <f aca="false">'RSEA vs Quoted Comparison'!F54</f>
        <v>2.67</v>
      </c>
      <c r="E53" s="11" t="n">
        <f aca="false">'RSEA vs Quoted Comparison'!G54</f>
        <v>2.937</v>
      </c>
      <c r="F53" s="11" t="str">
        <f aca="false">IF('RSEA vs Quoted Comparison'!H54="","",'RSEA vs Quoted Comparison'!H54)</f>
        <v/>
      </c>
      <c r="G53" s="11" t="str">
        <f aca="false">IF('RSEA vs Quoted Comparison'!I54="","",'RSEA vs Quoted Comparison'!I54)</f>
        <v/>
      </c>
      <c r="H53" s="11" t="n">
        <f aca="false">'RSEA vs Quoted Comparison'!D54</f>
        <v>32.99</v>
      </c>
      <c r="I53" s="11" t="n">
        <f aca="false">'RSEA vs Quoted Comparison'!E54</f>
        <v>29.9909090909091</v>
      </c>
      <c r="R53" s="11" t="n">
        <f aca="false">IF(COUNT(I53,K53,M53,O53,Q53)=0,"",MIN(I53,K53,M53,O53,Q53))</f>
        <v>29.9909090909091</v>
      </c>
      <c r="S53" s="42" t="n">
        <f aca="false">IF(OR(D53="",R53=""),"",D53/R53-1)</f>
        <v>-0.910973022127918</v>
      </c>
      <c r="T53" s="43" t="str">
        <f aca="false">IF(OR(F53="",R53=""),"",F53/R53-1)</f>
        <v/>
      </c>
      <c r="U53" s="41" t="s">
        <v>276</v>
      </c>
    </row>
    <row r="54" customFormat="false" ht="41.25" hidden="false" customHeight="true" outlineLevel="0" collapsed="false">
      <c r="A54" s="1" t="s">
        <v>225</v>
      </c>
      <c r="B54" s="1" t="s">
        <v>125</v>
      </c>
      <c r="C54" s="41" t="s">
        <v>126</v>
      </c>
      <c r="D54" s="11" t="n">
        <f aca="false">'RSEA vs Quoted Comparison'!F55</f>
        <v>4.01</v>
      </c>
      <c r="E54" s="11" t="n">
        <f aca="false">'RSEA vs Quoted Comparison'!G55</f>
        <v>4.411</v>
      </c>
      <c r="F54" s="11" t="str">
        <f aca="false">IF('RSEA vs Quoted Comparison'!H55="","",'RSEA vs Quoted Comparison'!H55)</f>
        <v/>
      </c>
      <c r="G54" s="11" t="str">
        <f aca="false">IF('RSEA vs Quoted Comparison'!I55="","",'RSEA vs Quoted Comparison'!I55)</f>
        <v/>
      </c>
      <c r="H54" s="11" t="n">
        <f aca="false">'RSEA vs Quoted Comparison'!D55</f>
        <v>37.99</v>
      </c>
      <c r="I54" s="11" t="n">
        <f aca="false">'RSEA vs Quoted Comparison'!E55</f>
        <v>34.5363636363636</v>
      </c>
      <c r="R54" s="11" t="n">
        <f aca="false">IF(COUNT(I54,K54,M54,O54,Q54)=0,"",MIN(I54,K54,M54,O54,Q54))</f>
        <v>34.5363636363636</v>
      </c>
      <c r="S54" s="42" t="n">
        <f aca="false">IF(OR(D54="",R54=""),"",D54/R54-1)</f>
        <v>-0.883890497499342</v>
      </c>
      <c r="T54" s="43" t="str">
        <f aca="false">IF(OR(F54="",R54=""),"",F54/R54-1)</f>
        <v/>
      </c>
      <c r="U54" s="41" t="s">
        <v>276</v>
      </c>
    </row>
    <row r="55" customFormat="false" ht="41.25" hidden="false" customHeight="true" outlineLevel="0" collapsed="false">
      <c r="A55" s="1" t="s">
        <v>225</v>
      </c>
      <c r="B55" s="1" t="s">
        <v>129</v>
      </c>
      <c r="C55" s="41" t="s">
        <v>130</v>
      </c>
      <c r="D55" s="11" t="n">
        <f aca="false">'RSEA vs Quoted Comparison'!F56</f>
        <v>10.69</v>
      </c>
      <c r="E55" s="11" t="n">
        <f aca="false">'RSEA vs Quoted Comparison'!G56</f>
        <v>11.759</v>
      </c>
      <c r="F55" s="11" t="str">
        <f aca="false">IF('RSEA vs Quoted Comparison'!H56="","",'RSEA vs Quoted Comparison'!H56)</f>
        <v/>
      </c>
      <c r="G55" s="11" t="str">
        <f aca="false">IF('RSEA vs Quoted Comparison'!I56="","",'RSEA vs Quoted Comparison'!I56)</f>
        <v/>
      </c>
      <c r="H55" s="11" t="n">
        <f aca="false">'RSEA vs Quoted Comparison'!D56</f>
        <v>37.99</v>
      </c>
      <c r="I55" s="11" t="n">
        <f aca="false">'RSEA vs Quoted Comparison'!E56</f>
        <v>34.5363636363636</v>
      </c>
      <c r="R55" s="11" t="n">
        <f aca="false">IF(COUNT(I55,K55,M55,O55,Q55)=0,"",MIN(I55,K55,M55,O55,Q55))</f>
        <v>34.5363636363636</v>
      </c>
      <c r="S55" s="42" t="n">
        <f aca="false">IF(OR(D55="",R55=""),"",D55/R55-1)</f>
        <v>-0.690471176625428</v>
      </c>
      <c r="T55" s="43" t="str">
        <f aca="false">IF(OR(F55="",R55=""),"",F55/R55-1)</f>
        <v/>
      </c>
      <c r="U55" s="41" t="s">
        <v>276</v>
      </c>
    </row>
    <row r="56" customFormat="false" ht="41.25" hidden="false" customHeight="true" outlineLevel="0" collapsed="false">
      <c r="A56" s="1" t="s">
        <v>225</v>
      </c>
      <c r="B56" s="1" t="s">
        <v>133</v>
      </c>
      <c r="C56" s="41" t="s">
        <v>134</v>
      </c>
      <c r="D56" s="11" t="n">
        <f aca="false">'RSEA vs Quoted Comparison'!F57</f>
        <v>10.69</v>
      </c>
      <c r="E56" s="11" t="n">
        <f aca="false">'RSEA vs Quoted Comparison'!G57</f>
        <v>11.759</v>
      </c>
      <c r="F56" s="11" t="str">
        <f aca="false">IF('RSEA vs Quoted Comparison'!H57="","",'RSEA vs Quoted Comparison'!H57)</f>
        <v/>
      </c>
      <c r="G56" s="11" t="str">
        <f aca="false">IF('RSEA vs Quoted Comparison'!I57="","",'RSEA vs Quoted Comparison'!I57)</f>
        <v/>
      </c>
      <c r="H56" s="11" t="n">
        <f aca="false">'RSEA vs Quoted Comparison'!D57</f>
        <v>37.99</v>
      </c>
      <c r="I56" s="11" t="n">
        <f aca="false">'RSEA vs Quoted Comparison'!E57</f>
        <v>34.5363636363636</v>
      </c>
      <c r="R56" s="11" t="n">
        <f aca="false">IF(COUNT(I56,K56,M56,O56,Q56)=0,"",MIN(I56,K56,M56,O56,Q56))</f>
        <v>34.5363636363636</v>
      </c>
      <c r="S56" s="42" t="n">
        <f aca="false">IF(OR(D56="",R56=""),"",D56/R56-1)</f>
        <v>-0.690471176625428</v>
      </c>
      <c r="T56" s="43" t="str">
        <f aca="false">IF(OR(F56="",R56=""),"",F56/R56-1)</f>
        <v/>
      </c>
      <c r="U56" s="41" t="s">
        <v>276</v>
      </c>
    </row>
    <row r="57" customFormat="false" ht="41.25" hidden="false" customHeight="true" outlineLevel="0" collapsed="false">
      <c r="A57" s="1" t="s">
        <v>225</v>
      </c>
      <c r="B57" s="1" t="s">
        <v>135</v>
      </c>
      <c r="C57" s="41" t="s">
        <v>136</v>
      </c>
      <c r="D57" s="11" t="n">
        <f aca="false">'RSEA vs Quoted Comparison'!F58</f>
        <v>10.69</v>
      </c>
      <c r="E57" s="11" t="n">
        <f aca="false">'RSEA vs Quoted Comparison'!G58</f>
        <v>11.759</v>
      </c>
      <c r="F57" s="11" t="str">
        <f aca="false">IF('RSEA vs Quoted Comparison'!H58="","",'RSEA vs Quoted Comparison'!H58)</f>
        <v/>
      </c>
      <c r="G57" s="11" t="str">
        <f aca="false">IF('RSEA vs Quoted Comparison'!I58="","",'RSEA vs Quoted Comparison'!I58)</f>
        <v/>
      </c>
      <c r="H57" s="11" t="n">
        <f aca="false">'RSEA vs Quoted Comparison'!D58</f>
        <v>44.99</v>
      </c>
      <c r="I57" s="11" t="n">
        <f aca="false">'RSEA vs Quoted Comparison'!E58</f>
        <v>40.9</v>
      </c>
      <c r="R57" s="11" t="n">
        <f aca="false">IF(COUNT(I57,K57,M57,O57,Q57)=0,"",MIN(I57,K57,M57,O57,Q57))</f>
        <v>40.9</v>
      </c>
      <c r="S57" s="42" t="n">
        <f aca="false">IF(OR(D57="",R57=""),"",D57/R57-1)</f>
        <v>-0.738630806845966</v>
      </c>
      <c r="T57" s="43" t="str">
        <f aca="false">IF(OR(F57="",R57=""),"",F57/R57-1)</f>
        <v/>
      </c>
      <c r="U57" s="41" t="s">
        <v>276</v>
      </c>
    </row>
    <row r="58" customFormat="false" ht="41.25" hidden="false" customHeight="true" outlineLevel="0" collapsed="false">
      <c r="A58" s="1" t="s">
        <v>225</v>
      </c>
      <c r="B58" s="1" t="s">
        <v>139</v>
      </c>
      <c r="C58" s="41" t="s">
        <v>140</v>
      </c>
      <c r="D58" s="11" t="n">
        <f aca="false">'RSEA vs Quoted Comparison'!F59</f>
        <v>2.89</v>
      </c>
      <c r="E58" s="11" t="n">
        <f aca="false">'RSEA vs Quoted Comparison'!G59</f>
        <v>3.179</v>
      </c>
      <c r="F58" s="11" t="str">
        <f aca="false">IF('RSEA vs Quoted Comparison'!H59="","",'RSEA vs Quoted Comparison'!H59)</f>
        <v/>
      </c>
      <c r="G58" s="11" t="str">
        <f aca="false">IF('RSEA vs Quoted Comparison'!I59="","",'RSEA vs Quoted Comparison'!I59)</f>
        <v/>
      </c>
      <c r="H58" s="11" t="n">
        <f aca="false">'RSEA vs Quoted Comparison'!D59</f>
        <v>32.99</v>
      </c>
      <c r="I58" s="11" t="n">
        <f aca="false">'RSEA vs Quoted Comparison'!E59</f>
        <v>29.9909090909091</v>
      </c>
      <c r="R58" s="11" t="n">
        <f aca="false">IF(COUNT(I58,K58,M58,O58,Q58)=0,"",MIN(I58,K58,M58,O58,Q58))</f>
        <v>29.9909090909091</v>
      </c>
      <c r="S58" s="42" t="n">
        <f aca="false">IF(OR(D58="",R58=""),"",D58/R58-1)</f>
        <v>-0.903637465898757</v>
      </c>
      <c r="T58" s="43" t="str">
        <f aca="false">IF(OR(F58="",R58=""),"",F58/R58-1)</f>
        <v/>
      </c>
      <c r="U58" s="41" t="s">
        <v>276</v>
      </c>
    </row>
    <row r="59" customFormat="false" ht="41.25" hidden="false" customHeight="true" outlineLevel="0" collapsed="false">
      <c r="A59" s="1" t="s">
        <v>225</v>
      </c>
      <c r="B59" s="1" t="s">
        <v>143</v>
      </c>
      <c r="C59" s="41" t="s">
        <v>144</v>
      </c>
      <c r="D59" s="11" t="n">
        <f aca="false">'RSEA vs Quoted Comparison'!F60</f>
        <v>1.94</v>
      </c>
      <c r="E59" s="11" t="n">
        <f aca="false">'RSEA vs Quoted Comparison'!G60</f>
        <v>2.134</v>
      </c>
      <c r="F59" s="11" t="str">
        <f aca="false">IF('RSEA vs Quoted Comparison'!H60="","",'RSEA vs Quoted Comparison'!H60)</f>
        <v/>
      </c>
      <c r="G59" s="11" t="str">
        <f aca="false">IF('RSEA vs Quoted Comparison'!I60="","",'RSEA vs Quoted Comparison'!I60)</f>
        <v/>
      </c>
      <c r="H59" s="11" t="n">
        <f aca="false">'RSEA vs Quoted Comparison'!D60</f>
        <v>49.99</v>
      </c>
      <c r="I59" s="11" t="n">
        <f aca="false">'RSEA vs Quoted Comparison'!E60</f>
        <v>45.4454545454545</v>
      </c>
      <c r="R59" s="11" t="n">
        <f aca="false">IF(COUNT(I59,K59,M59,O59,Q59)=0,"",MIN(I59,K59,M59,O59,Q59))</f>
        <v>45.4454545454545</v>
      </c>
      <c r="S59" s="42" t="n">
        <f aca="false">IF(OR(D59="",R59=""),"",D59/R59-1)</f>
        <v>-0.957311462292458</v>
      </c>
      <c r="T59" s="43" t="str">
        <f aca="false">IF(OR(F59="",R59=""),"",F59/R59-1)</f>
        <v/>
      </c>
      <c r="U59" s="41" t="s">
        <v>276</v>
      </c>
    </row>
    <row r="60" customFormat="false" ht="41.25" hidden="false" customHeight="true" outlineLevel="0" collapsed="false">
      <c r="A60" s="1" t="s">
        <v>225</v>
      </c>
      <c r="B60" s="1" t="s">
        <v>149</v>
      </c>
      <c r="C60" s="41" t="s">
        <v>150</v>
      </c>
      <c r="D60" s="11" t="n">
        <f aca="false">'RSEA vs Quoted Comparison'!F61</f>
        <v>10.69</v>
      </c>
      <c r="E60" s="11" t="n">
        <f aca="false">'RSEA vs Quoted Comparison'!G61</f>
        <v>11.759</v>
      </c>
      <c r="F60" s="11" t="str">
        <f aca="false">IF('RSEA vs Quoted Comparison'!H61="","",'RSEA vs Quoted Comparison'!H61)</f>
        <v/>
      </c>
      <c r="G60" s="11" t="str">
        <f aca="false">IF('RSEA vs Quoted Comparison'!I61="","",'RSEA vs Quoted Comparison'!I61)</f>
        <v/>
      </c>
      <c r="H60" s="11" t="n">
        <f aca="false">'RSEA vs Quoted Comparison'!D61</f>
        <v>49.99</v>
      </c>
      <c r="I60" s="11" t="n">
        <f aca="false">'RSEA vs Quoted Comparison'!E61</f>
        <v>45.4454545454545</v>
      </c>
      <c r="R60" s="11" t="n">
        <f aca="false">IF(COUNT(I60,K60,M60,O60,Q60)=0,"",MIN(I60,K60,M60,O60,Q60))</f>
        <v>45.4454545454545</v>
      </c>
      <c r="S60" s="42" t="n">
        <f aca="false">IF(OR(D60="",R60=""),"",D60/R60-1)</f>
        <v>-0.764772954590918</v>
      </c>
      <c r="T60" s="43" t="str">
        <f aca="false">IF(OR(F60="",R60=""),"",F60/R60-1)</f>
        <v/>
      </c>
      <c r="U60" s="41" t="s">
        <v>276</v>
      </c>
    </row>
    <row r="61" customFormat="false" ht="41.25" hidden="false" customHeight="true" outlineLevel="0" collapsed="false">
      <c r="A61" s="1" t="s">
        <v>225</v>
      </c>
      <c r="B61" s="1" t="s">
        <v>155</v>
      </c>
      <c r="C61" s="41" t="s">
        <v>156</v>
      </c>
      <c r="D61" s="11" t="n">
        <f aca="false">'RSEA vs Quoted Comparison'!F62</f>
        <v>3.201</v>
      </c>
      <c r="E61" s="11" t="n">
        <f aca="false">'RSEA vs Quoted Comparison'!G62</f>
        <v>3.5211</v>
      </c>
      <c r="F61" s="11" t="str">
        <f aca="false">IF('RSEA vs Quoted Comparison'!H62="","",'RSEA vs Quoted Comparison'!H62)</f>
        <v/>
      </c>
      <c r="G61" s="11" t="str">
        <f aca="false">IF('RSEA vs Quoted Comparison'!I62="","",'RSEA vs Quoted Comparison'!I62)</f>
        <v/>
      </c>
      <c r="H61" s="11" t="n">
        <f aca="false">'RSEA vs Quoted Comparison'!D62</f>
        <v>32.99</v>
      </c>
      <c r="I61" s="11" t="n">
        <f aca="false">'RSEA vs Quoted Comparison'!E62</f>
        <v>29.9909090909091</v>
      </c>
      <c r="R61" s="11" t="n">
        <f aca="false">IF(COUNT(I61,K61,M61,O61,Q61)=0,"",MIN(I61,K61,M61,O61,Q61))</f>
        <v>29.9909090909091</v>
      </c>
      <c r="S61" s="42" t="n">
        <f aca="false">IF(OR(D61="",R61=""),"",D61/R61-1)</f>
        <v>-0.893267656865717</v>
      </c>
      <c r="T61" s="43" t="str">
        <f aca="false">IF(OR(F61="",R61=""),"",F61/R61-1)</f>
        <v/>
      </c>
      <c r="U61" s="41" t="s">
        <v>276</v>
      </c>
    </row>
    <row r="62" customFormat="false" ht="41.25" hidden="false" customHeight="true" outlineLevel="0" collapsed="false">
      <c r="A62" s="1" t="s">
        <v>225</v>
      </c>
      <c r="B62" s="1" t="s">
        <v>157</v>
      </c>
      <c r="C62" s="41" t="s">
        <v>158</v>
      </c>
      <c r="D62" s="11" t="n">
        <f aca="false">'RSEA vs Quoted Comparison'!F63</f>
        <v>5.35</v>
      </c>
      <c r="E62" s="11" t="n">
        <f aca="false">'RSEA vs Quoted Comparison'!G63</f>
        <v>5.885</v>
      </c>
      <c r="F62" s="11" t="str">
        <f aca="false">IF('RSEA vs Quoted Comparison'!H63="","",'RSEA vs Quoted Comparison'!H63)</f>
        <v/>
      </c>
      <c r="G62" s="11" t="str">
        <f aca="false">IF('RSEA vs Quoted Comparison'!I63="","",'RSEA vs Quoted Comparison'!I63)</f>
        <v/>
      </c>
      <c r="H62" s="11" t="n">
        <f aca="false">'RSEA vs Quoted Comparison'!D63</f>
        <v>32.99</v>
      </c>
      <c r="I62" s="11" t="n">
        <f aca="false">'RSEA vs Quoted Comparison'!E63</f>
        <v>29.9909090909091</v>
      </c>
      <c r="R62" s="11" t="n">
        <f aca="false">IF(COUNT(I62,K62,M62,O62,Q62)=0,"",MIN(I62,K62,M62,O62,Q62))</f>
        <v>29.9909090909091</v>
      </c>
      <c r="S62" s="42" t="n">
        <f aca="false">IF(OR(D62="",R62=""),"",D62/R62-1)</f>
        <v>-0.821612609881782</v>
      </c>
      <c r="T62" s="43" t="str">
        <f aca="false">IF(OR(F62="",R62=""),"",F62/R62-1)</f>
        <v/>
      </c>
      <c r="U62" s="41" t="s">
        <v>276</v>
      </c>
    </row>
    <row r="63" customFormat="false" ht="41.25" hidden="false" customHeight="true" outlineLevel="0" collapsed="false">
      <c r="A63" s="1" t="s">
        <v>225</v>
      </c>
      <c r="B63" s="1" t="s">
        <v>161</v>
      </c>
      <c r="C63" s="41" t="s">
        <v>162</v>
      </c>
      <c r="D63" s="11" t="n">
        <f aca="false">'RSEA vs Quoted Comparison'!F64</f>
        <v>2.67</v>
      </c>
      <c r="E63" s="11" t="n">
        <f aca="false">'RSEA vs Quoted Comparison'!G64</f>
        <v>2.937</v>
      </c>
      <c r="F63" s="11" t="str">
        <f aca="false">IF('RSEA vs Quoted Comparison'!H64="","",'RSEA vs Quoted Comparison'!H64)</f>
        <v/>
      </c>
      <c r="G63" s="11" t="str">
        <f aca="false">IF('RSEA vs Quoted Comparison'!I64="","",'RSEA vs Quoted Comparison'!I64)</f>
        <v/>
      </c>
      <c r="H63" s="11" t="n">
        <f aca="false">'RSEA vs Quoted Comparison'!D64</f>
        <v>32.99</v>
      </c>
      <c r="I63" s="11" t="n">
        <f aca="false">'RSEA vs Quoted Comparison'!E64</f>
        <v>29.9909090909091</v>
      </c>
      <c r="R63" s="11" t="n">
        <f aca="false">IF(COUNT(I63,K63,M63,O63,Q63)=0,"",MIN(I63,K63,M63,O63,Q63))</f>
        <v>29.9909090909091</v>
      </c>
      <c r="S63" s="42" t="n">
        <f aca="false">IF(OR(D63="",R63=""),"",D63/R63-1)</f>
        <v>-0.910973022127918</v>
      </c>
      <c r="T63" s="43" t="str">
        <f aca="false">IF(OR(F63="",R63=""),"",F63/R63-1)</f>
        <v/>
      </c>
      <c r="U63" s="41" t="s">
        <v>276</v>
      </c>
    </row>
    <row r="64" customFormat="false" ht="27.75" hidden="false" customHeight="true" outlineLevel="0" collapsed="false">
      <c r="A64" s="1" t="s">
        <v>225</v>
      </c>
      <c r="B64" s="1" t="s">
        <v>163</v>
      </c>
      <c r="C64" s="41" t="s">
        <v>164</v>
      </c>
      <c r="D64" s="11" t="n">
        <f aca="false">'RSEA vs Quoted Comparison'!F65</f>
        <v>10.69</v>
      </c>
      <c r="E64" s="11" t="n">
        <f aca="false">'RSEA vs Quoted Comparison'!G65</f>
        <v>11.759</v>
      </c>
      <c r="F64" s="11" t="str">
        <f aca="false">IF('RSEA vs Quoted Comparison'!H65="","",'RSEA vs Quoted Comparison'!H65)</f>
        <v/>
      </c>
      <c r="G64" s="11" t="str">
        <f aca="false">IF('RSEA vs Quoted Comparison'!I65="","",'RSEA vs Quoted Comparison'!I65)</f>
        <v/>
      </c>
      <c r="H64" s="11" t="n">
        <f aca="false">'RSEA vs Quoted Comparison'!D65</f>
        <v>32.99</v>
      </c>
      <c r="I64" s="11" t="n">
        <f aca="false">'RSEA vs Quoted Comparison'!E65</f>
        <v>29.9909090909091</v>
      </c>
      <c r="N64" s="11" t="n">
        <v>108.6</v>
      </c>
      <c r="O64" s="11" t="n">
        <f aca="false">N64/1.1</f>
        <v>98.7272727272727</v>
      </c>
      <c r="R64" s="11" t="n">
        <f aca="false">IF(COUNT(I64,K64,M64,O64,Q64)=0,"",MIN(I64,K64,M64,O64,Q64))</f>
        <v>29.9909090909091</v>
      </c>
      <c r="S64" s="42" t="n">
        <f aca="false">IF(OR(D64="",R64=""),"",D64/R64-1)</f>
        <v>-0.643558654137618</v>
      </c>
      <c r="T64" s="43" t="str">
        <f aca="false">IF(OR(F64="",R64=""),"",F64/R64-1)</f>
        <v/>
      </c>
      <c r="U64" s="41" t="s">
        <v>286</v>
      </c>
    </row>
    <row r="66" customFormat="false" ht="15" hidden="false" customHeight="true" outlineLevel="0" collapsed="false">
      <c r="A66" s="44" t="s">
        <v>226</v>
      </c>
    </row>
    <row r="67" customFormat="false" ht="15" hidden="false" customHeight="true" outlineLevel="0" collapsed="false">
      <c r="A67" s="35" t="s">
        <v>287</v>
      </c>
      <c r="B67" s="35"/>
      <c r="C67" s="35"/>
      <c r="D67" s="45" t="n">
        <f aca="false">COUNTA(B5:B64)</f>
        <v>60</v>
      </c>
    </row>
    <row r="68" customFormat="false" ht="15" hidden="false" customHeight="true" outlineLevel="0" collapsed="false">
      <c r="A68" s="35" t="s">
        <v>288</v>
      </c>
      <c r="B68" s="35"/>
      <c r="C68" s="35"/>
      <c r="D68" s="45" t="n">
        <f aca="false">COUNT(K5:K64)+COUNT(M5:M64)+COUNT(O5:O64)+COUNT(Q5:Q64)</f>
        <v>87</v>
      </c>
    </row>
    <row r="69" customFormat="false" ht="15" hidden="false" customHeight="true" outlineLevel="0" collapsed="false">
      <c r="A69" s="35" t="s">
        <v>289</v>
      </c>
      <c r="B69" s="35"/>
      <c r="C69" s="35"/>
      <c r="D69" s="45" t="n">
        <f aca="false">COUNTIF(S5:S64,"&lt;0")</f>
        <v>57</v>
      </c>
    </row>
    <row r="70" customFormat="false" ht="15" hidden="false" customHeight="true" outlineLevel="0" collapsed="false">
      <c r="A70" s="35" t="s">
        <v>290</v>
      </c>
      <c r="B70" s="35"/>
      <c r="C70" s="35"/>
      <c r="D70" s="45" t="n">
        <f aca="false">COUNTIF(S5:S64,"&gt;0")</f>
        <v>3</v>
      </c>
    </row>
    <row r="71" customFormat="false" ht="15" hidden="false" customHeight="true" outlineLevel="0" collapsed="false">
      <c r="A71" s="35" t="s">
        <v>291</v>
      </c>
      <c r="B71" s="35"/>
      <c r="C71" s="35"/>
      <c r="D71" s="46" t="n">
        <f aca="false">AVERAGE(S5:S64)</f>
        <v>-0.606455540068738</v>
      </c>
    </row>
    <row r="72" customFormat="false" ht="15" hidden="false" customHeight="true" outlineLevel="0" collapsed="false">
      <c r="A72" s="35" t="s">
        <v>292</v>
      </c>
      <c r="B72" s="35"/>
      <c r="C72" s="35"/>
      <c r="D72" s="46" t="n">
        <f aca="false">MEDIAN(S5:S64)</f>
        <v>-0.699315569829036</v>
      </c>
    </row>
    <row r="73" customFormat="false" ht="15" hidden="false" customHeight="false" outlineLevel="0" collapsed="false">
      <c r="A73" s="47" t="s">
        <v>293</v>
      </c>
      <c r="B73" s="47"/>
      <c r="C73" s="47"/>
      <c r="D73" s="48" t="n">
        <f aca="false">COUNTIF(T5:T64,"&lt;0")</f>
        <v>19</v>
      </c>
    </row>
    <row r="74" customFormat="false" ht="15" hidden="false" customHeight="false" outlineLevel="0" collapsed="false">
      <c r="A74" s="47" t="s">
        <v>294</v>
      </c>
      <c r="B74" s="47"/>
      <c r="C74" s="47"/>
      <c r="D74" s="48" t="n">
        <f aca="false">COUNTIF(T5:T64,"&gt;0")</f>
        <v>3</v>
      </c>
    </row>
    <row r="75" customFormat="false" ht="15" hidden="false" customHeight="false" outlineLevel="0" collapsed="false">
      <c r="A75" s="47" t="s">
        <v>295</v>
      </c>
      <c r="B75" s="47"/>
      <c r="C75" s="47"/>
      <c r="D75" s="49" t="n">
        <f aca="false">AVERAGE(T5:T64)</f>
        <v>-0.332918993604818</v>
      </c>
    </row>
    <row r="76" customFormat="false" ht="15" hidden="false" customHeight="false" outlineLevel="0" collapsed="false">
      <c r="A76" s="47" t="s">
        <v>296</v>
      </c>
      <c r="B76" s="47"/>
      <c r="C76" s="47"/>
      <c r="D76" s="49" t="n">
        <f aca="false">MEDIAN(T5:T64)</f>
        <v>-0.379124144584531</v>
      </c>
    </row>
  </sheetData>
  <mergeCells count="13">
    <mergeCell ref="A1:T1"/>
    <mergeCell ref="A2:T2"/>
    <mergeCell ref="A3:T3"/>
    <mergeCell ref="A67:C67"/>
    <mergeCell ref="A68:C68"/>
    <mergeCell ref="A69:C69"/>
    <mergeCell ref="A70:C70"/>
    <mergeCell ref="A71:C71"/>
    <mergeCell ref="A72:C72"/>
    <mergeCell ref="A73:C73"/>
    <mergeCell ref="A74:C74"/>
    <mergeCell ref="A75:C75"/>
    <mergeCell ref="A76:C7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19" min="4" style="1" width="13"/>
    <col collapsed="false" customWidth="true" hidden="false" outlineLevel="0" max="20" min="20" style="1" width="14"/>
    <col collapsed="false" customWidth="true" hidden="false" outlineLevel="0" max="21" min="21" style="1" width="13"/>
    <col collapsed="false" customWidth="true" hidden="false" outlineLevel="0" max="22" min="22" style="1" width="14"/>
  </cols>
  <sheetData>
    <row r="1" customFormat="false" ht="19.5" hidden="false" customHeight="true" outlineLevel="0" collapsed="false">
      <c r="A1" s="39" t="s">
        <v>297</v>
      </c>
      <c r="B1" s="39"/>
      <c r="C1" s="39"/>
      <c r="D1" s="39"/>
      <c r="E1" s="39"/>
      <c r="F1" s="39"/>
      <c r="G1" s="39"/>
      <c r="H1" s="39"/>
      <c r="I1" s="39"/>
      <c r="J1" s="39"/>
      <c r="K1" s="39"/>
      <c r="L1" s="39"/>
      <c r="M1" s="39"/>
      <c r="N1" s="39"/>
      <c r="O1" s="39"/>
      <c r="P1" s="39"/>
      <c r="Q1" s="39"/>
      <c r="R1" s="39"/>
      <c r="S1" s="39"/>
      <c r="T1" s="39"/>
      <c r="U1" s="39"/>
      <c r="V1" s="39"/>
    </row>
    <row r="2" customFormat="false" ht="57.75" hidden="false" customHeight="true" outlineLevel="0" collapsed="false">
      <c r="A2" s="40" t="s">
        <v>298</v>
      </c>
      <c r="B2" s="40"/>
      <c r="C2" s="40"/>
      <c r="D2" s="40"/>
      <c r="E2" s="40"/>
      <c r="F2" s="40"/>
      <c r="G2" s="40"/>
      <c r="H2" s="40"/>
      <c r="I2" s="40"/>
      <c r="J2" s="40"/>
      <c r="K2" s="40"/>
      <c r="L2" s="40"/>
      <c r="M2" s="40"/>
      <c r="N2" s="40"/>
      <c r="O2" s="40"/>
      <c r="P2" s="40"/>
      <c r="Q2" s="40"/>
      <c r="R2" s="40"/>
      <c r="S2" s="40"/>
      <c r="T2" s="40"/>
      <c r="U2" s="40"/>
      <c r="V2" s="40"/>
    </row>
    <row r="3" customFormat="false" ht="57.75" hidden="false" customHeight="true" outlineLevel="0" collapsed="false">
      <c r="A3" s="40" t="s">
        <v>299</v>
      </c>
      <c r="B3" s="40"/>
      <c r="C3" s="40"/>
      <c r="D3" s="40"/>
      <c r="E3" s="40"/>
      <c r="F3" s="40"/>
      <c r="G3" s="40"/>
      <c r="H3" s="40"/>
      <c r="I3" s="40"/>
      <c r="J3" s="40"/>
      <c r="K3" s="40"/>
      <c r="L3" s="40"/>
      <c r="M3" s="40"/>
      <c r="N3" s="40"/>
      <c r="O3" s="40"/>
      <c r="P3" s="40"/>
      <c r="Q3" s="40"/>
      <c r="R3" s="40"/>
      <c r="S3" s="40"/>
      <c r="T3" s="40"/>
      <c r="U3" s="40"/>
      <c r="V3" s="40"/>
    </row>
    <row r="4" customFormat="false" ht="48.75" hidden="false" customHeight="true" outlineLevel="0" collapsed="false">
      <c r="A4" s="25" t="s">
        <v>212</v>
      </c>
      <c r="B4" s="25" t="s">
        <v>0</v>
      </c>
      <c r="C4" s="25" t="s">
        <v>1</v>
      </c>
      <c r="D4" s="25" t="s">
        <v>215</v>
      </c>
      <c r="E4" s="25" t="s">
        <v>216</v>
      </c>
      <c r="F4" s="25" t="s">
        <v>217</v>
      </c>
      <c r="G4" s="25" t="s">
        <v>218</v>
      </c>
      <c r="H4" s="25" t="s">
        <v>213</v>
      </c>
      <c r="I4" s="25" t="s">
        <v>214</v>
      </c>
      <c r="J4" s="25" t="s">
        <v>300</v>
      </c>
      <c r="K4" s="25" t="s">
        <v>301</v>
      </c>
      <c r="L4" s="25" t="s">
        <v>302</v>
      </c>
      <c r="M4" s="25" t="s">
        <v>303</v>
      </c>
      <c r="N4" s="25" t="s">
        <v>304</v>
      </c>
      <c r="O4" s="25" t="s">
        <v>305</v>
      </c>
      <c r="P4" s="25" t="s">
        <v>306</v>
      </c>
      <c r="Q4" s="25" t="s">
        <v>307</v>
      </c>
      <c r="R4" s="25" t="s">
        <v>308</v>
      </c>
      <c r="S4" s="25" t="s">
        <v>309</v>
      </c>
      <c r="T4" s="25" t="s">
        <v>310</v>
      </c>
      <c r="U4" s="25" t="s">
        <v>244</v>
      </c>
      <c r="V4" s="25" t="s">
        <v>245</v>
      </c>
      <c r="W4" s="25" t="s">
        <v>246</v>
      </c>
    </row>
    <row r="5" customFormat="false" ht="54.75" hidden="false" customHeight="true" outlineLevel="0" collapsed="false">
      <c r="A5" s="1" t="s">
        <v>222</v>
      </c>
      <c r="B5" s="1" t="s">
        <v>7</v>
      </c>
      <c r="C5" s="41" t="s">
        <v>8</v>
      </c>
      <c r="D5" s="11" t="n">
        <f aca="false">'RSEA vs Quoted Comparison'!F6</f>
        <v>16.71</v>
      </c>
      <c r="E5" s="11" t="n">
        <f aca="false">'RSEA vs Quoted Comparison'!G6</f>
        <v>18.381</v>
      </c>
      <c r="F5" s="11" t="n">
        <f aca="false">IF('RSEA vs Quoted Comparison'!H6="","",'RSEA vs Quoted Comparison'!H6)</f>
        <v>16.93275</v>
      </c>
      <c r="G5" s="11" t="n">
        <f aca="false">IF('RSEA vs Quoted Comparison'!I6="","",'RSEA vs Quoted Comparison'!I6)</f>
        <v>18.626025</v>
      </c>
      <c r="H5" s="11" t="n">
        <f aca="false">'RSEA vs Quoted Comparison'!D6</f>
        <v>42.99</v>
      </c>
      <c r="I5" s="11" t="n">
        <f aca="false">'RSEA vs Quoted Comparison'!E6</f>
        <v>39.0818181818182</v>
      </c>
      <c r="J5" s="11" t="n">
        <v>30</v>
      </c>
      <c r="K5" s="11" t="n">
        <f aca="false">J5/1.1</f>
        <v>27.2727272727273</v>
      </c>
      <c r="L5" s="11" t="n">
        <v>31.19</v>
      </c>
      <c r="M5" s="11" t="n">
        <f aca="false">L5/1.1</f>
        <v>28.3545454545455</v>
      </c>
      <c r="P5" s="11" t="n">
        <v>10.29</v>
      </c>
      <c r="Q5" s="11" t="n">
        <f aca="false">P5/1.1</f>
        <v>9.35454545454545</v>
      </c>
      <c r="R5" s="11" t="n">
        <v>65.63</v>
      </c>
      <c r="S5" s="11" t="n">
        <f aca="false">R5/1.1</f>
        <v>59.6636363636364</v>
      </c>
      <c r="T5" s="11" t="n">
        <f aca="false">IF(COUNT(I5,K5,M5,O5,Q5,S5)=0,"",MIN(I5,K5,M5,O5,Q5,S5))</f>
        <v>9.35454545454545</v>
      </c>
      <c r="U5" s="42" t="n">
        <f aca="false">IF(OR(D5="",T5=""),"",D5/T5-1)</f>
        <v>0.786297376093295</v>
      </c>
      <c r="V5" s="43" t="n">
        <f aca="false">IF(OR(F5="",T5=""),"",F5/T5-1)</f>
        <v>0.810109329446064</v>
      </c>
      <c r="W5" s="41" t="s">
        <v>311</v>
      </c>
    </row>
    <row r="6" customFormat="false" ht="41.25" hidden="false" customHeight="true" outlineLevel="0" collapsed="false">
      <c r="A6" s="1" t="s">
        <v>222</v>
      </c>
      <c r="B6" s="1" t="s">
        <v>9</v>
      </c>
      <c r="C6" s="41" t="s">
        <v>10</v>
      </c>
      <c r="D6" s="11" t="n">
        <f aca="false">'RSEA vs Quoted Comparison'!F7</f>
        <v>66.83</v>
      </c>
      <c r="E6" s="11" t="n">
        <f aca="false">'RSEA vs Quoted Comparison'!G7</f>
        <v>73.513</v>
      </c>
      <c r="F6" s="11" t="str">
        <f aca="false">IF('RSEA vs Quoted Comparison'!H7="","",'RSEA vs Quoted Comparison'!H7)</f>
        <v/>
      </c>
      <c r="G6" s="11" t="str">
        <f aca="false">IF('RSEA vs Quoted Comparison'!I7="","",'RSEA vs Quoted Comparison'!I7)</f>
        <v/>
      </c>
      <c r="H6" s="11" t="n">
        <f aca="false">'RSEA vs Quoted Comparison'!D7</f>
        <v>134.99</v>
      </c>
      <c r="I6" s="11" t="n">
        <f aca="false">'RSEA vs Quoted Comparison'!E7</f>
        <v>122.718181818182</v>
      </c>
      <c r="T6" s="11" t="n">
        <f aca="false">IF(COUNT(I6,K6,M6,O6,Q6,S6)=0,"",MIN(I6,K6,M6,O6,Q6,S6))</f>
        <v>122.718181818182</v>
      </c>
      <c r="U6" s="42" t="n">
        <f aca="false">IF(OR(D6="",T6=""),"",D6/T6-1)</f>
        <v>-0.455418919919994</v>
      </c>
      <c r="V6" s="43" t="str">
        <f aca="false">IF(OR(F6="",T6=""),"",F6/T6-1)</f>
        <v/>
      </c>
      <c r="W6" s="41" t="s">
        <v>248</v>
      </c>
    </row>
    <row r="7" customFormat="false" ht="41.25" hidden="false" customHeight="true" outlineLevel="0" collapsed="false">
      <c r="A7" s="1" t="s">
        <v>222</v>
      </c>
      <c r="B7" s="1" t="s">
        <v>11</v>
      </c>
      <c r="C7" s="41" t="s">
        <v>12</v>
      </c>
      <c r="D7" s="11" t="n">
        <f aca="false">'RSEA vs Quoted Comparison'!F8</f>
        <v>44.55</v>
      </c>
      <c r="E7" s="11" t="n">
        <f aca="false">'RSEA vs Quoted Comparison'!G8</f>
        <v>49.005</v>
      </c>
      <c r="F7" s="11" t="str">
        <f aca="false">IF('RSEA vs Quoted Comparison'!H8="","",'RSEA vs Quoted Comparison'!H8)</f>
        <v/>
      </c>
      <c r="G7" s="11" t="str">
        <f aca="false">IF('RSEA vs Quoted Comparison'!I8="","",'RSEA vs Quoted Comparison'!I8)</f>
        <v/>
      </c>
      <c r="H7" s="11" t="n">
        <f aca="false">'RSEA vs Quoted Comparison'!D8</f>
        <v>167.99</v>
      </c>
      <c r="I7" s="11" t="n">
        <f aca="false">'RSEA vs Quoted Comparison'!E8</f>
        <v>152.718181818182</v>
      </c>
      <c r="T7" s="11" t="n">
        <f aca="false">IF(COUNT(I7,K7,M7,O7,Q7,S7)=0,"",MIN(I7,K7,M7,O7,Q7,S7))</f>
        <v>152.718181818182</v>
      </c>
      <c r="U7" s="42" t="n">
        <f aca="false">IF(OR(D7="",T7=""),"",D7/T7-1)</f>
        <v>-0.708286207512352</v>
      </c>
      <c r="V7" s="43" t="str">
        <f aca="false">IF(OR(F7="",T7=""),"",F7/T7-1)</f>
        <v/>
      </c>
      <c r="W7" s="41" t="s">
        <v>248</v>
      </c>
    </row>
    <row r="8" customFormat="false" ht="81.75" hidden="false" customHeight="true" outlineLevel="0" collapsed="false">
      <c r="A8" s="1" t="s">
        <v>222</v>
      </c>
      <c r="B8" s="1" t="s">
        <v>13</v>
      </c>
      <c r="C8" s="41" t="s">
        <v>14</v>
      </c>
      <c r="D8" s="11" t="n">
        <f aca="false">'RSEA vs Quoted Comparison'!F9</f>
        <v>44.55</v>
      </c>
      <c r="E8" s="11" t="n">
        <f aca="false">'RSEA vs Quoted Comparison'!G9</f>
        <v>49.005</v>
      </c>
      <c r="F8" s="11" t="n">
        <f aca="false">IF('RSEA vs Quoted Comparison'!H9="","",'RSEA vs Quoted Comparison'!H9)</f>
        <v>45.144</v>
      </c>
      <c r="G8" s="11" t="n">
        <f aca="false">IF('RSEA vs Quoted Comparison'!I9="","",'RSEA vs Quoted Comparison'!I9)</f>
        <v>49.6584</v>
      </c>
      <c r="H8" s="11" t="n">
        <f aca="false">'RSEA vs Quoted Comparison'!D9</f>
        <v>147.99</v>
      </c>
      <c r="I8" s="11" t="n">
        <f aca="false">'RSEA vs Quoted Comparison'!E9</f>
        <v>134.536363636364</v>
      </c>
      <c r="J8" s="11" t="n">
        <v>92.4</v>
      </c>
      <c r="K8" s="11" t="n">
        <f aca="false">J8/1.1</f>
        <v>84</v>
      </c>
      <c r="L8" s="11" t="n">
        <v>106.09</v>
      </c>
      <c r="M8" s="11" t="n">
        <f aca="false">L8/1.1</f>
        <v>96.4454545454545</v>
      </c>
      <c r="N8" s="11" t="n">
        <v>62.95</v>
      </c>
      <c r="O8" s="11" t="n">
        <f aca="false">N8/1.1</f>
        <v>57.2272727272727</v>
      </c>
      <c r="P8" s="11" t="n">
        <v>117.4</v>
      </c>
      <c r="Q8" s="11" t="n">
        <f aca="false">P8/1.1</f>
        <v>106.727272727273</v>
      </c>
      <c r="R8" s="11" t="n">
        <v>128.81</v>
      </c>
      <c r="S8" s="11" t="n">
        <f aca="false">R8/1.1</f>
        <v>117.1</v>
      </c>
      <c r="T8" s="11" t="n">
        <f aca="false">IF(COUNT(I8,K8,M8,O8,Q8,S8)=0,"",MIN(I8,K8,M8,O8,Q8,S8))</f>
        <v>57.2272727272727</v>
      </c>
      <c r="U8" s="42" t="n">
        <f aca="false">IF(OR(D8="",T8=""),"",D8/T8-1)</f>
        <v>-0.221525019857029</v>
      </c>
      <c r="V8" s="43" t="n">
        <f aca="false">IF(OR(F8="",T8=""),"",F8/T8-1)</f>
        <v>-0.211145353455123</v>
      </c>
      <c r="W8" s="41" t="s">
        <v>312</v>
      </c>
    </row>
    <row r="9" customFormat="false" ht="54.75" hidden="false" customHeight="true" outlineLevel="0" collapsed="false">
      <c r="A9" s="1" t="s">
        <v>222</v>
      </c>
      <c r="B9" s="1" t="s">
        <v>15</v>
      </c>
      <c r="C9" s="41" t="s">
        <v>16</v>
      </c>
      <c r="D9" s="11" t="n">
        <f aca="false">'RSEA vs Quoted Comparison'!F10</f>
        <v>69.61</v>
      </c>
      <c r="E9" s="11" t="n">
        <f aca="false">'RSEA vs Quoted Comparison'!G10</f>
        <v>76.571</v>
      </c>
      <c r="F9" s="11" t="n">
        <f aca="false">IF('RSEA vs Quoted Comparison'!H10="","",'RSEA vs Quoted Comparison'!H10)</f>
        <v>70.538125</v>
      </c>
      <c r="G9" s="11" t="n">
        <f aca="false">IF('RSEA vs Quoted Comparison'!I10="","",'RSEA vs Quoted Comparison'!I10)</f>
        <v>77.5919375</v>
      </c>
      <c r="H9" s="11" t="n">
        <f aca="false">'RSEA vs Quoted Comparison'!D10</f>
        <v>167.99</v>
      </c>
      <c r="I9" s="11" t="n">
        <f aca="false">'RSEA vs Quoted Comparison'!E10</f>
        <v>152.718181818182</v>
      </c>
      <c r="J9" s="11" t="n">
        <v>118.8</v>
      </c>
      <c r="K9" s="11" t="n">
        <f aca="false">J9/1.1</f>
        <v>108</v>
      </c>
      <c r="L9" s="11" t="n">
        <v>98.18</v>
      </c>
      <c r="M9" s="11" t="n">
        <f aca="false">L9/1.1</f>
        <v>89.2545454545455</v>
      </c>
      <c r="N9" s="11" t="n">
        <v>74</v>
      </c>
      <c r="O9" s="11" t="n">
        <f aca="false">N9/1.1</f>
        <v>67.2727272727273</v>
      </c>
      <c r="P9" s="11" t="n">
        <v>128.32</v>
      </c>
      <c r="Q9" s="11" t="n">
        <f aca="false">P9/1.1</f>
        <v>116.654545454545</v>
      </c>
      <c r="R9" s="11" t="n">
        <v>220.92</v>
      </c>
      <c r="S9" s="11" t="n">
        <f aca="false">R9/1.1</f>
        <v>200.836363636364</v>
      </c>
      <c r="T9" s="11" t="n">
        <f aca="false">IF(COUNT(I9,K9,M9,O9,Q9,S9)=0,"",MIN(I9,K9,M9,O9,Q9,S9))</f>
        <v>67.2727272727273</v>
      </c>
      <c r="U9" s="42" t="n">
        <f aca="false">IF(OR(D9="",T9=""),"",D9/T9-1)</f>
        <v>0.0347432432432433</v>
      </c>
      <c r="V9" s="43" t="n">
        <f aca="false">IF(OR(F9="",T9=""),"",F9/T9-1)</f>
        <v>0.0485396959459459</v>
      </c>
      <c r="W9" s="41" t="s">
        <v>313</v>
      </c>
    </row>
    <row r="10" customFormat="false" ht="68.25" hidden="false" customHeight="true" outlineLevel="0" collapsed="false">
      <c r="A10" s="1" t="s">
        <v>222</v>
      </c>
      <c r="B10" s="1" t="s">
        <v>17</v>
      </c>
      <c r="C10" s="41" t="s">
        <v>18</v>
      </c>
      <c r="D10" s="11" t="n">
        <f aca="false">'RSEA vs Quoted Comparison'!F11</f>
        <v>33.41</v>
      </c>
      <c r="E10" s="11" t="n">
        <f aca="false">'RSEA vs Quoted Comparison'!G11</f>
        <v>36.751</v>
      </c>
      <c r="F10" s="11" t="n">
        <f aca="false">IF('RSEA vs Quoted Comparison'!H11="","",'RSEA vs Quoted Comparison'!H11)</f>
        <v>33.8555</v>
      </c>
      <c r="G10" s="11" t="n">
        <f aca="false">IF('RSEA vs Quoted Comparison'!I11="","",'RSEA vs Quoted Comparison'!I11)</f>
        <v>37.24105</v>
      </c>
      <c r="H10" s="11" t="n">
        <f aca="false">'RSEA vs Quoted Comparison'!D11</f>
        <v>142.99</v>
      </c>
      <c r="I10" s="11" t="n">
        <f aca="false">'RSEA vs Quoted Comparison'!E11</f>
        <v>129.990909090909</v>
      </c>
      <c r="J10" s="11" t="n">
        <v>74.8</v>
      </c>
      <c r="K10" s="11" t="n">
        <f aca="false">J10/1.1</f>
        <v>68</v>
      </c>
      <c r="L10" s="11" t="n">
        <v>78.64</v>
      </c>
      <c r="M10" s="11" t="n">
        <f aca="false">L10/1.1</f>
        <v>71.4909090909091</v>
      </c>
      <c r="N10" s="11" t="n">
        <v>58</v>
      </c>
      <c r="O10" s="11" t="n">
        <f aca="false">N10/1.1</f>
        <v>52.7272727272727</v>
      </c>
      <c r="P10" s="11" t="n">
        <v>80.22</v>
      </c>
      <c r="Q10" s="11" t="n">
        <f aca="false">P10/1.1</f>
        <v>72.9272727272727</v>
      </c>
      <c r="R10" s="11" t="n">
        <v>173.98</v>
      </c>
      <c r="S10" s="11" t="n">
        <f aca="false">R10/1.1</f>
        <v>158.163636363636</v>
      </c>
      <c r="T10" s="11" t="n">
        <f aca="false">IF(COUNT(I10,K10,M10,O10,Q10,S10)=0,"",MIN(I10,K10,M10,O10,Q10,S10))</f>
        <v>52.7272727272727</v>
      </c>
      <c r="U10" s="42" t="n">
        <f aca="false">IF(OR(D10="",T10=""),"",D10/T10-1)</f>
        <v>-0.366362068965517</v>
      </c>
      <c r="V10" s="43" t="n">
        <f aca="false">IF(OR(F10="",T10=""),"",F10/T10-1)</f>
        <v>-0.357912931034483</v>
      </c>
      <c r="W10" s="41" t="s">
        <v>314</v>
      </c>
    </row>
    <row r="11" customFormat="false" ht="54.75" hidden="false" customHeight="true" outlineLevel="0" collapsed="false">
      <c r="A11" s="1" t="s">
        <v>222</v>
      </c>
      <c r="B11" s="1" t="s">
        <v>19</v>
      </c>
      <c r="C11" s="41" t="s">
        <v>20</v>
      </c>
      <c r="D11" s="11" t="n">
        <f aca="false">'RSEA vs Quoted Comparison'!F12</f>
        <v>44.55</v>
      </c>
      <c r="E11" s="11" t="n">
        <f aca="false">'RSEA vs Quoted Comparison'!G12</f>
        <v>49.005</v>
      </c>
      <c r="F11" s="11" t="n">
        <f aca="false">IF('RSEA vs Quoted Comparison'!H12="","",'RSEA vs Quoted Comparison'!H12)</f>
        <v>45.144</v>
      </c>
      <c r="G11" s="11" t="n">
        <f aca="false">IF('RSEA vs Quoted Comparison'!I12="","",'RSEA vs Quoted Comparison'!I12)</f>
        <v>49.6584</v>
      </c>
      <c r="H11" s="11" t="n">
        <f aca="false">'RSEA vs Quoted Comparison'!D12</f>
        <v>157.99</v>
      </c>
      <c r="I11" s="11" t="n">
        <f aca="false">'RSEA vs Quoted Comparison'!E12</f>
        <v>143.627272727273</v>
      </c>
      <c r="J11" s="11" t="n">
        <v>107.8</v>
      </c>
      <c r="K11" s="11" t="n">
        <f aca="false">J11/1.1</f>
        <v>98</v>
      </c>
      <c r="L11" s="11" t="n">
        <v>94.5</v>
      </c>
      <c r="M11" s="11" t="n">
        <f aca="false">L11/1.1</f>
        <v>85.9090909090909</v>
      </c>
      <c r="N11" s="11" t="n">
        <v>88.5</v>
      </c>
      <c r="O11" s="11" t="n">
        <f aca="false">N11/1.1</f>
        <v>80.4545454545455</v>
      </c>
      <c r="P11" s="11" t="n">
        <v>127.75</v>
      </c>
      <c r="Q11" s="11" t="n">
        <f aca="false">P11/1.1</f>
        <v>116.136363636364</v>
      </c>
      <c r="R11" s="11" t="n">
        <v>179.74</v>
      </c>
      <c r="S11" s="11" t="n">
        <f aca="false">R11/1.1</f>
        <v>163.4</v>
      </c>
      <c r="T11" s="11" t="n">
        <f aca="false">IF(COUNT(I11,K11,M11,O11,Q11,S11)=0,"",MIN(I11,K11,M11,O11,Q11,S11))</f>
        <v>80.4545454545455</v>
      </c>
      <c r="U11" s="42" t="n">
        <f aca="false">IF(OR(D11="",T11=""),"",D11/T11-1)</f>
        <v>-0.446271186440678</v>
      </c>
      <c r="V11" s="43" t="n">
        <f aca="false">IF(OR(F11="",T11=""),"",F11/T11-1)</f>
        <v>-0.43888813559322</v>
      </c>
      <c r="W11" s="41" t="s">
        <v>315</v>
      </c>
    </row>
    <row r="12" customFormat="false" ht="95.25" hidden="false" customHeight="true" outlineLevel="0" collapsed="false">
      <c r="A12" s="1" t="s">
        <v>222</v>
      </c>
      <c r="B12" s="1" t="s">
        <v>79</v>
      </c>
      <c r="C12" s="41" t="s">
        <v>80</v>
      </c>
      <c r="D12" s="11" t="n">
        <f aca="false">'RSEA vs Quoted Comparison'!F13</f>
        <v>33.41</v>
      </c>
      <c r="E12" s="11" t="n">
        <f aca="false">'RSEA vs Quoted Comparison'!G13</f>
        <v>36.751</v>
      </c>
      <c r="F12" s="11" t="n">
        <f aca="false">IF('RSEA vs Quoted Comparison'!H13="","",'RSEA vs Quoted Comparison'!H13)</f>
        <v>33.8555</v>
      </c>
      <c r="G12" s="11" t="n">
        <f aca="false">IF('RSEA vs Quoted Comparison'!I13="","",'RSEA vs Quoted Comparison'!I13)</f>
        <v>37.24105</v>
      </c>
      <c r="H12" s="11" t="n">
        <f aca="false">'RSEA vs Quoted Comparison'!D13</f>
        <v>142.99</v>
      </c>
      <c r="I12" s="11" t="n">
        <f aca="false">'RSEA vs Quoted Comparison'!E13</f>
        <v>129.990909090909</v>
      </c>
      <c r="J12" s="11" t="n">
        <v>74.8</v>
      </c>
      <c r="K12" s="11" t="n">
        <f aca="false">J12/1.1</f>
        <v>68</v>
      </c>
      <c r="L12" s="11" t="n">
        <v>31.19</v>
      </c>
      <c r="M12" s="11" t="n">
        <f aca="false">L12/1.1</f>
        <v>28.3545454545455</v>
      </c>
      <c r="P12" s="11" t="n">
        <v>110.1</v>
      </c>
      <c r="Q12" s="11" t="n">
        <f aca="false">P12/1.1</f>
        <v>100.090909090909</v>
      </c>
      <c r="R12" s="11" t="n">
        <v>44</v>
      </c>
      <c r="S12" s="11" t="n">
        <f aca="false">R12/1.1</f>
        <v>40</v>
      </c>
      <c r="T12" s="11" t="n">
        <f aca="false">IF(COUNT(I12,K12,M12,O12,Q12,S12)=0,"",MIN(I12,K12,M12,O12,Q12,S12))</f>
        <v>28.3545454545455</v>
      </c>
      <c r="U12" s="42" t="n">
        <f aca="false">IF(OR(D12="",T12=""),"",D12/T12-1)</f>
        <v>0.1782943251042</v>
      </c>
      <c r="V12" s="43" t="n">
        <f aca="false">IF(OR(F12="",T12=""),"",F12/T12-1)</f>
        <v>0.194006091696056</v>
      </c>
      <c r="W12" s="41" t="s">
        <v>316</v>
      </c>
    </row>
    <row r="13" customFormat="false" ht="68.25" hidden="false" customHeight="true" outlineLevel="0" collapsed="false">
      <c r="A13" s="1" t="s">
        <v>222</v>
      </c>
      <c r="B13" s="1" t="s">
        <v>81</v>
      </c>
      <c r="C13" s="41" t="s">
        <v>82</v>
      </c>
      <c r="D13" s="11" t="n">
        <f aca="false">'RSEA vs Quoted Comparison'!F14</f>
        <v>25.06</v>
      </c>
      <c r="E13" s="11" t="n">
        <f aca="false">'RSEA vs Quoted Comparison'!G14</f>
        <v>27.566</v>
      </c>
      <c r="F13" s="11" t="n">
        <f aca="false">IF('RSEA vs Quoted Comparison'!H14="","",'RSEA vs Quoted Comparison'!H14)</f>
        <v>25.394125</v>
      </c>
      <c r="G13" s="11" t="n">
        <f aca="false">IF('RSEA vs Quoted Comparison'!I14="","",'RSEA vs Quoted Comparison'!I14)</f>
        <v>27.9335375</v>
      </c>
      <c r="H13" s="11" t="n">
        <f aca="false">'RSEA vs Quoted Comparison'!D14</f>
        <v>112.99</v>
      </c>
      <c r="I13" s="11" t="n">
        <f aca="false">'RSEA vs Quoted Comparison'!E14</f>
        <v>102.718181818182</v>
      </c>
      <c r="J13" s="11" t="n">
        <v>61.6</v>
      </c>
      <c r="K13" s="11" t="n">
        <f aca="false">J13/1.1</f>
        <v>56</v>
      </c>
      <c r="L13" s="11" t="n">
        <v>76.56</v>
      </c>
      <c r="M13" s="11" t="n">
        <f aca="false">L13/1.1</f>
        <v>69.6</v>
      </c>
      <c r="N13" s="11" t="n">
        <v>62.95</v>
      </c>
      <c r="O13" s="11" t="n">
        <f aca="false">N13/1.1</f>
        <v>57.2272727272727</v>
      </c>
      <c r="P13" s="11" t="n">
        <v>100.71</v>
      </c>
      <c r="Q13" s="11" t="n">
        <f aca="false">P13/1.1</f>
        <v>91.5545454545455</v>
      </c>
      <c r="R13" s="11" t="n">
        <v>159.24</v>
      </c>
      <c r="S13" s="11" t="n">
        <f aca="false">R13/1.1</f>
        <v>144.763636363636</v>
      </c>
      <c r="T13" s="11" t="n">
        <f aca="false">IF(COUNT(I13,K13,M13,O13,Q13,S13)=0,"",MIN(I13,K13,M13,O13,Q13,S13))</f>
        <v>56</v>
      </c>
      <c r="U13" s="42" t="n">
        <f aca="false">IF(OR(D13="",T13=""),"",D13/T13-1)</f>
        <v>-0.5525</v>
      </c>
      <c r="V13" s="43" t="n">
        <f aca="false">IF(OR(F13="",T13=""),"",F13/T13-1)</f>
        <v>-0.546533482142857</v>
      </c>
      <c r="W13" s="41" t="s">
        <v>317</v>
      </c>
    </row>
    <row r="14" customFormat="false" ht="54.75" hidden="false" customHeight="true" outlineLevel="0" collapsed="false">
      <c r="A14" s="1" t="s">
        <v>222</v>
      </c>
      <c r="B14" s="1" t="s">
        <v>101</v>
      </c>
      <c r="C14" s="41" t="s">
        <v>102</v>
      </c>
      <c r="D14" s="11" t="n">
        <f aca="false">'RSEA vs Quoted Comparison'!F15</f>
        <v>8.35</v>
      </c>
      <c r="E14" s="11" t="n">
        <f aca="false">'RSEA vs Quoted Comparison'!G15</f>
        <v>9.185</v>
      </c>
      <c r="F14" s="11" t="n">
        <f aca="false">IF('RSEA vs Quoted Comparison'!H15="","",'RSEA vs Quoted Comparison'!H15)</f>
        <v>8.461375</v>
      </c>
      <c r="G14" s="11" t="n">
        <f aca="false">IF('RSEA vs Quoted Comparison'!I15="","",'RSEA vs Quoted Comparison'!I15)</f>
        <v>9.3075125</v>
      </c>
      <c r="H14" s="11" t="n">
        <f aca="false">'RSEA vs Quoted Comparison'!D15</f>
        <v>32.99</v>
      </c>
      <c r="I14" s="11" t="n">
        <f aca="false">'RSEA vs Quoted Comparison'!E15</f>
        <v>29.9909090909091</v>
      </c>
      <c r="T14" s="11" t="n">
        <f aca="false">IF(COUNT(I14,K14,M14,O14,Q14,S14)=0,"",MIN(I14,K14,M14,O14,Q14,S14))</f>
        <v>29.9909090909091</v>
      </c>
      <c r="U14" s="42" t="n">
        <f aca="false">IF(OR(D14="",T14=""),"",D14/T14-1)</f>
        <v>-0.721582297665959</v>
      </c>
      <c r="V14" s="43" t="n">
        <f aca="false">IF(OR(F14="",T14=""),"",F14/T14-1)</f>
        <v>-0.717868672324947</v>
      </c>
      <c r="W14" s="41" t="s">
        <v>255</v>
      </c>
    </row>
    <row r="15" customFormat="false" ht="54.75" hidden="false" customHeight="true" outlineLevel="0" collapsed="false">
      <c r="A15" s="1" t="s">
        <v>222</v>
      </c>
      <c r="B15" s="1" t="s">
        <v>107</v>
      </c>
      <c r="C15" s="41" t="s">
        <v>108</v>
      </c>
      <c r="D15" s="11" t="n">
        <f aca="false">'RSEA vs Quoted Comparison'!F16</f>
        <v>15.59</v>
      </c>
      <c r="E15" s="11" t="n">
        <f aca="false">'RSEA vs Quoted Comparison'!G16</f>
        <v>17.149</v>
      </c>
      <c r="F15" s="11" t="n">
        <f aca="false">IF('RSEA vs Quoted Comparison'!H16="","",'RSEA vs Quoted Comparison'!H16)</f>
        <v>15.81275</v>
      </c>
      <c r="G15" s="11" t="n">
        <f aca="false">IF('RSEA vs Quoted Comparison'!I16="","",'RSEA vs Quoted Comparison'!I16)</f>
        <v>17.394025</v>
      </c>
      <c r="H15" s="11" t="n">
        <f aca="false">'RSEA vs Quoted Comparison'!D16</f>
        <v>44.99</v>
      </c>
      <c r="I15" s="11" t="n">
        <f aca="false">'RSEA vs Quoted Comparison'!E16</f>
        <v>40.9</v>
      </c>
      <c r="T15" s="11" t="n">
        <f aca="false">IF(COUNT(I15,K15,M15,O15,Q15,S15)=0,"",MIN(I15,K15,M15,O15,Q15,S15))</f>
        <v>40.9</v>
      </c>
      <c r="U15" s="42" t="n">
        <f aca="false">IF(OR(D15="",T15=""),"",D15/T15-1)</f>
        <v>-0.618826405867971</v>
      </c>
      <c r="V15" s="43" t="n">
        <f aca="false">IF(OR(F15="",T15=""),"",F15/T15-1)</f>
        <v>-0.613380195599022</v>
      </c>
      <c r="W15" s="41" t="s">
        <v>256</v>
      </c>
    </row>
    <row r="16" customFormat="false" ht="27.75" hidden="false" customHeight="true" outlineLevel="0" collapsed="false">
      <c r="A16" s="1" t="s">
        <v>222</v>
      </c>
      <c r="B16" s="1" t="s">
        <v>117</v>
      </c>
      <c r="C16" s="41" t="s">
        <v>118</v>
      </c>
      <c r="D16" s="11" t="n">
        <f aca="false">'RSEA vs Quoted Comparison'!F17</f>
        <v>8.35</v>
      </c>
      <c r="E16" s="11" t="n">
        <f aca="false">'RSEA vs Quoted Comparison'!G17</f>
        <v>9.185</v>
      </c>
      <c r="F16" s="11" t="n">
        <f aca="false">IF('RSEA vs Quoted Comparison'!H17="","",'RSEA vs Quoted Comparison'!H17)</f>
        <v>8.461375</v>
      </c>
      <c r="G16" s="11" t="n">
        <f aca="false">IF('RSEA vs Quoted Comparison'!I17="","",'RSEA vs Quoted Comparison'!I17)</f>
        <v>9.3075125</v>
      </c>
      <c r="H16" s="11" t="n">
        <f aca="false">'RSEA vs Quoted Comparison'!D17</f>
        <v>32.99</v>
      </c>
      <c r="I16" s="11" t="n">
        <f aca="false">'RSEA vs Quoted Comparison'!E17</f>
        <v>29.9909090909091</v>
      </c>
      <c r="T16" s="11" t="n">
        <f aca="false">IF(COUNT(I16,K16,M16,O16,Q16,S16)=0,"",MIN(I16,K16,M16,O16,Q16,S16))</f>
        <v>29.9909090909091</v>
      </c>
      <c r="U16" s="42" t="n">
        <f aca="false">IF(OR(D16="",T16=""),"",D16/T16-1)</f>
        <v>-0.721582297665959</v>
      </c>
      <c r="V16" s="43" t="n">
        <f aca="false">IF(OR(F16="",T16=""),"",F16/T16-1)</f>
        <v>-0.717868672324947</v>
      </c>
      <c r="W16" s="41" t="s">
        <v>257</v>
      </c>
    </row>
    <row r="17" customFormat="false" ht="68.25" hidden="false" customHeight="true" outlineLevel="0" collapsed="false">
      <c r="A17" s="1" t="s">
        <v>222</v>
      </c>
      <c r="B17" s="1" t="s">
        <v>127</v>
      </c>
      <c r="C17" s="41" t="s">
        <v>128</v>
      </c>
      <c r="D17" s="11" t="n">
        <f aca="false">'RSEA vs Quoted Comparison'!F18</f>
        <v>29.7</v>
      </c>
      <c r="E17" s="11" t="n">
        <f aca="false">'RSEA vs Quoted Comparison'!G18</f>
        <v>32.67</v>
      </c>
      <c r="F17" s="11" t="n">
        <f aca="false">IF('RSEA vs Quoted Comparison'!H18="","",'RSEA vs Quoted Comparison'!H18)</f>
        <v>30.1455</v>
      </c>
      <c r="G17" s="11" t="n">
        <f aca="false">IF('RSEA vs Quoted Comparison'!I18="","",'RSEA vs Quoted Comparison'!I18)</f>
        <v>33.16005</v>
      </c>
      <c r="H17" s="11" t="n">
        <f aca="false">'RSEA vs Quoted Comparison'!D18</f>
        <v>69.99</v>
      </c>
      <c r="I17" s="11" t="n">
        <f aca="false">'RSEA vs Quoted Comparison'!E18</f>
        <v>63.6272727272727</v>
      </c>
      <c r="J17" s="11" t="n">
        <v>74.8</v>
      </c>
      <c r="K17" s="11" t="n">
        <f aca="false">J17/1.1</f>
        <v>68</v>
      </c>
      <c r="L17" s="11" t="n">
        <v>41.13</v>
      </c>
      <c r="M17" s="11" t="n">
        <f aca="false">L17/1.1</f>
        <v>37.3909090909091</v>
      </c>
      <c r="P17" s="11" t="n">
        <v>110.1</v>
      </c>
      <c r="Q17" s="11" t="n">
        <f aca="false">P17/1.1</f>
        <v>100.090909090909</v>
      </c>
      <c r="T17" s="11" t="n">
        <f aca="false">IF(COUNT(I17,K17,M17,O17,Q17,S17)=0,"",MIN(I17,K17,M17,O17,Q17,S17))</f>
        <v>37.3909090909091</v>
      </c>
      <c r="U17" s="42" t="n">
        <f aca="false">IF(OR(D17="",T17=""),"",D17/T17-1)</f>
        <v>-0.205689277899344</v>
      </c>
      <c r="V17" s="43" t="n">
        <f aca="false">IF(OR(F17="",T17=""),"",F17/T17-1)</f>
        <v>-0.193774617067834</v>
      </c>
      <c r="W17" s="41" t="s">
        <v>318</v>
      </c>
    </row>
    <row r="18" customFormat="false" ht="54.75" hidden="false" customHeight="true" outlineLevel="0" collapsed="false">
      <c r="A18" s="1" t="s">
        <v>222</v>
      </c>
      <c r="B18" s="1" t="s">
        <v>131</v>
      </c>
      <c r="C18" s="41" t="s">
        <v>132</v>
      </c>
      <c r="D18" s="11" t="n">
        <f aca="false">'RSEA vs Quoted Comparison'!F19</f>
        <v>29.7</v>
      </c>
      <c r="E18" s="11" t="n">
        <f aca="false">'RSEA vs Quoted Comparison'!G19</f>
        <v>32.67</v>
      </c>
      <c r="F18" s="11" t="n">
        <f aca="false">IF('RSEA vs Quoted Comparison'!H19="","",'RSEA vs Quoted Comparison'!H19)</f>
        <v>30.1455</v>
      </c>
      <c r="G18" s="11" t="n">
        <f aca="false">IF('RSEA vs Quoted Comparison'!I19="","",'RSEA vs Quoted Comparison'!I19)</f>
        <v>33.16005</v>
      </c>
      <c r="H18" s="11" t="n">
        <f aca="false">'RSEA vs Quoted Comparison'!D19</f>
        <v>84.99</v>
      </c>
      <c r="I18" s="11" t="n">
        <f aca="false">'RSEA vs Quoted Comparison'!E19</f>
        <v>77.2636363636364</v>
      </c>
      <c r="J18" s="11" t="n">
        <v>74.8</v>
      </c>
      <c r="K18" s="11" t="n">
        <f aca="false">J18/1.1</f>
        <v>68</v>
      </c>
      <c r="L18" s="11" t="n">
        <v>31.19</v>
      </c>
      <c r="M18" s="11" t="n">
        <f aca="false">L18/1.1</f>
        <v>28.3545454545455</v>
      </c>
      <c r="P18" s="11" t="n">
        <v>110.1</v>
      </c>
      <c r="Q18" s="11" t="n">
        <f aca="false">P18/1.1</f>
        <v>100.090909090909</v>
      </c>
      <c r="T18" s="11" t="n">
        <f aca="false">IF(COUNT(I18,K18,M18,O18,Q18,S18)=0,"",MIN(I18,K18,M18,O18,Q18,S18))</f>
        <v>28.3545454545455</v>
      </c>
      <c r="U18" s="42" t="n">
        <f aca="false">IF(OR(D18="",T18=""),"",D18/T18-1)</f>
        <v>0.0474511061237577</v>
      </c>
      <c r="V18" s="43" t="n">
        <f aca="false">IF(OR(F18="",T18=""),"",F18/T18-1)</f>
        <v>0.0631628727156139</v>
      </c>
      <c r="W18" s="41" t="s">
        <v>319</v>
      </c>
    </row>
    <row r="19" customFormat="false" ht="54.75" hidden="false" customHeight="true" outlineLevel="0" collapsed="false">
      <c r="A19" s="1" t="s">
        <v>222</v>
      </c>
      <c r="B19" s="1" t="s">
        <v>137</v>
      </c>
      <c r="C19" s="41" t="s">
        <v>138</v>
      </c>
      <c r="D19" s="11" t="n">
        <f aca="false">'RSEA vs Quoted Comparison'!F20</f>
        <v>16.71</v>
      </c>
      <c r="E19" s="11" t="n">
        <f aca="false">'RSEA vs Quoted Comparison'!G20</f>
        <v>18.381</v>
      </c>
      <c r="F19" s="11" t="n">
        <f aca="false">IF('RSEA vs Quoted Comparison'!H20="","",'RSEA vs Quoted Comparison'!H20)</f>
        <v>16.93275</v>
      </c>
      <c r="G19" s="11" t="n">
        <f aca="false">IF('RSEA vs Quoted Comparison'!I20="","",'RSEA vs Quoted Comparison'!I20)</f>
        <v>18.626025</v>
      </c>
      <c r="H19" s="11" t="n">
        <f aca="false">'RSEA vs Quoted Comparison'!D20</f>
        <v>44.99</v>
      </c>
      <c r="I19" s="11" t="n">
        <f aca="false">'RSEA vs Quoted Comparison'!E20</f>
        <v>40.9</v>
      </c>
      <c r="J19" s="11" t="n">
        <v>27.5</v>
      </c>
      <c r="K19" s="11" t="n">
        <f aca="false">J19/1.1</f>
        <v>25</v>
      </c>
      <c r="L19" s="11" t="n">
        <v>25.64</v>
      </c>
      <c r="M19" s="11" t="n">
        <f aca="false">L19/1.1</f>
        <v>23.3090909090909</v>
      </c>
      <c r="P19" s="11" t="n">
        <v>26.77</v>
      </c>
      <c r="Q19" s="11" t="n">
        <f aca="false">P19/1.1</f>
        <v>24.3363636363636</v>
      </c>
      <c r="R19" s="11" t="n">
        <v>49.78</v>
      </c>
      <c r="S19" s="11" t="n">
        <f aca="false">R19/1.1</f>
        <v>45.2545454545455</v>
      </c>
      <c r="T19" s="11" t="n">
        <f aca="false">IF(COUNT(I19,K19,M19,O19,Q19,S19)=0,"",MIN(I19,K19,M19,O19,Q19,S19))</f>
        <v>23.3090909090909</v>
      </c>
      <c r="U19" s="42" t="n">
        <f aca="false">IF(OR(D19="",T19=""),"",D19/T19-1)</f>
        <v>-0.28311232449298</v>
      </c>
      <c r="V19" s="43" t="n">
        <f aca="false">IF(OR(F19="",T19=""),"",F19/T19-1)</f>
        <v>-0.27355596723869</v>
      </c>
      <c r="W19" s="41" t="s">
        <v>320</v>
      </c>
    </row>
    <row r="20" customFormat="false" ht="68.25" hidden="false" customHeight="true" outlineLevel="0" collapsed="false">
      <c r="A20" s="1" t="s">
        <v>222</v>
      </c>
      <c r="B20" s="1" t="s">
        <v>141</v>
      </c>
      <c r="C20" s="41" t="s">
        <v>142</v>
      </c>
      <c r="D20" s="11" t="n">
        <f aca="false">'RSEA vs Quoted Comparison'!F21</f>
        <v>33.41</v>
      </c>
      <c r="E20" s="11" t="n">
        <f aca="false">'RSEA vs Quoted Comparison'!G21</f>
        <v>36.751</v>
      </c>
      <c r="F20" s="11" t="n">
        <f aca="false">IF('RSEA vs Quoted Comparison'!H21="","",'RSEA vs Quoted Comparison'!H21)</f>
        <v>33.8555</v>
      </c>
      <c r="G20" s="11" t="n">
        <f aca="false">IF('RSEA vs Quoted Comparison'!I21="","",'RSEA vs Quoted Comparison'!I21)</f>
        <v>37.24105</v>
      </c>
      <c r="H20" s="11" t="n">
        <f aca="false">'RSEA vs Quoted Comparison'!D21</f>
        <v>64.99</v>
      </c>
      <c r="I20" s="11" t="n">
        <f aca="false">'RSEA vs Quoted Comparison'!E21</f>
        <v>59.0818181818182</v>
      </c>
      <c r="L20" s="11" t="n">
        <v>82.82</v>
      </c>
      <c r="M20" s="11" t="n">
        <f aca="false">L20/1.1</f>
        <v>75.2909090909091</v>
      </c>
      <c r="P20" s="11" t="n">
        <v>23.32</v>
      </c>
      <c r="Q20" s="11" t="n">
        <f aca="false">P20/1.1</f>
        <v>21.2</v>
      </c>
      <c r="T20" s="11" t="n">
        <f aca="false">IF(COUNT(I20,K20,M20,O20,Q20,S20)=0,"",MIN(I20,K20,M20,O20,Q20,S20))</f>
        <v>21.2</v>
      </c>
      <c r="U20" s="42" t="n">
        <f aca="false">IF(OR(D20="",T20=""),"",D20/T20-1)</f>
        <v>0.575943396226415</v>
      </c>
      <c r="V20" s="43" t="n">
        <f aca="false">IF(OR(F20="",T20=""),"",F20/T20-1)</f>
        <v>0.596957547169811</v>
      </c>
      <c r="W20" s="41" t="s">
        <v>321</v>
      </c>
    </row>
    <row r="21" customFormat="false" ht="68.25" hidden="false" customHeight="true" outlineLevel="0" collapsed="false">
      <c r="A21" s="1" t="s">
        <v>222</v>
      </c>
      <c r="B21" s="1" t="s">
        <v>147</v>
      </c>
      <c r="C21" s="41" t="s">
        <v>148</v>
      </c>
      <c r="D21" s="11" t="n">
        <f aca="false">'RSEA vs Quoted Comparison'!F22</f>
        <v>11.81</v>
      </c>
      <c r="E21" s="11" t="n">
        <f aca="false">'RSEA vs Quoted Comparison'!G22</f>
        <v>12.991</v>
      </c>
      <c r="F21" s="11" t="n">
        <f aca="false">IF('RSEA vs Quoted Comparison'!H22="","",'RSEA vs Quoted Comparison'!H22)</f>
        <v>12.03275</v>
      </c>
      <c r="G21" s="11" t="n">
        <f aca="false">IF('RSEA vs Quoted Comparison'!I22="","",'RSEA vs Quoted Comparison'!I22)</f>
        <v>13.236025</v>
      </c>
      <c r="H21" s="11" t="n">
        <f aca="false">'RSEA vs Quoted Comparison'!D22</f>
        <v>44.99</v>
      </c>
      <c r="I21" s="11" t="n">
        <f aca="false">'RSEA vs Quoted Comparison'!E22</f>
        <v>40.9</v>
      </c>
      <c r="J21" s="11" t="n">
        <v>27.5</v>
      </c>
      <c r="K21" s="11" t="n">
        <f aca="false">J21/1.1</f>
        <v>25</v>
      </c>
      <c r="L21" s="11" t="n">
        <v>33.12</v>
      </c>
      <c r="M21" s="11" t="n">
        <f aca="false">L21/1.1</f>
        <v>30.1090909090909</v>
      </c>
      <c r="P21" s="11" t="n">
        <v>23.32</v>
      </c>
      <c r="Q21" s="11" t="n">
        <f aca="false">P21/1.1</f>
        <v>21.2</v>
      </c>
      <c r="R21" s="11" t="n">
        <v>48.85</v>
      </c>
      <c r="S21" s="11" t="n">
        <f aca="false">R21/1.1</f>
        <v>44.4090909090909</v>
      </c>
      <c r="T21" s="11" t="n">
        <f aca="false">IF(COUNT(I21,K21,M21,O21,Q21,S21)=0,"",MIN(I21,K21,M21,O21,Q21,S21))</f>
        <v>21.2</v>
      </c>
      <c r="U21" s="42" t="n">
        <f aca="false">IF(OR(D21="",T21=""),"",D21/T21-1)</f>
        <v>-0.442924528301887</v>
      </c>
      <c r="V21" s="43" t="n">
        <f aca="false">IF(OR(F21="",T21=""),"",F21/T21-1)</f>
        <v>-0.432417452830189</v>
      </c>
      <c r="W21" s="41" t="s">
        <v>322</v>
      </c>
    </row>
    <row r="22" customFormat="false" ht="41.25" hidden="false" customHeight="true" outlineLevel="0" collapsed="false">
      <c r="A22" s="1" t="s">
        <v>222</v>
      </c>
      <c r="B22" s="1" t="s">
        <v>151</v>
      </c>
      <c r="C22" s="41" t="s">
        <v>152</v>
      </c>
      <c r="D22" s="11" t="n">
        <f aca="false">'RSEA vs Quoted Comparison'!F23</f>
        <v>11.81</v>
      </c>
      <c r="E22" s="11" t="n">
        <f aca="false">'RSEA vs Quoted Comparison'!G23</f>
        <v>12.991</v>
      </c>
      <c r="F22" s="11" t="n">
        <f aca="false">IF('RSEA vs Quoted Comparison'!H23="","",'RSEA vs Quoted Comparison'!H23)</f>
        <v>12.03275</v>
      </c>
      <c r="G22" s="11" t="n">
        <f aca="false">IF('RSEA vs Quoted Comparison'!I23="","",'RSEA vs Quoted Comparison'!I23)</f>
        <v>13.236025</v>
      </c>
      <c r="H22" s="11" t="n">
        <f aca="false">'RSEA vs Quoted Comparison'!D23</f>
        <v>49.99</v>
      </c>
      <c r="I22" s="11" t="n">
        <f aca="false">'RSEA vs Quoted Comparison'!E23</f>
        <v>45.4454545454545</v>
      </c>
      <c r="J22" s="11" t="n">
        <v>27.5</v>
      </c>
      <c r="K22" s="11" t="n">
        <f aca="false">J22/1.1</f>
        <v>25</v>
      </c>
      <c r="L22" s="11" t="n">
        <v>33.33</v>
      </c>
      <c r="M22" s="11" t="n">
        <f aca="false">L22/1.1</f>
        <v>30.3</v>
      </c>
      <c r="P22" s="11" t="n">
        <v>23.32</v>
      </c>
      <c r="Q22" s="11" t="n">
        <f aca="false">P22/1.1</f>
        <v>21.2</v>
      </c>
      <c r="T22" s="11" t="n">
        <f aca="false">IF(COUNT(I22,K22,M22,O22,Q22,S22)=0,"",MIN(I22,K22,M22,O22,Q22,S22))</f>
        <v>21.2</v>
      </c>
      <c r="U22" s="42" t="n">
        <f aca="false">IF(OR(D22="",T22=""),"",D22/T22-1)</f>
        <v>-0.442924528301887</v>
      </c>
      <c r="V22" s="43" t="n">
        <f aca="false">IF(OR(F22="",T22=""),"",F22/T22-1)</f>
        <v>-0.432417452830189</v>
      </c>
      <c r="W22" s="41" t="s">
        <v>323</v>
      </c>
    </row>
    <row r="23" customFormat="false" ht="27.75" hidden="false" customHeight="true" outlineLevel="0" collapsed="false">
      <c r="A23" s="1" t="s">
        <v>222</v>
      </c>
      <c r="B23" s="1" t="s">
        <v>153</v>
      </c>
      <c r="C23" s="41" t="s">
        <v>154</v>
      </c>
      <c r="D23" s="11" t="n">
        <f aca="false">'RSEA vs Quoted Comparison'!F24</f>
        <v>5.9</v>
      </c>
      <c r="E23" s="11" t="n">
        <f aca="false">'RSEA vs Quoted Comparison'!G24</f>
        <v>6.49</v>
      </c>
      <c r="F23" s="11" t="n">
        <f aca="false">IF('RSEA vs Quoted Comparison'!H24="","",'RSEA vs Quoted Comparison'!H24)</f>
        <v>6.011375</v>
      </c>
      <c r="G23" s="11" t="n">
        <f aca="false">IF('RSEA vs Quoted Comparison'!I24="","",'RSEA vs Quoted Comparison'!I24)</f>
        <v>6.6125125</v>
      </c>
      <c r="H23" s="11" t="n">
        <f aca="false">'RSEA vs Quoted Comparison'!D24</f>
        <v>37.99</v>
      </c>
      <c r="I23" s="11" t="n">
        <f aca="false">'RSEA vs Quoted Comparison'!E24</f>
        <v>34.5363636363636</v>
      </c>
      <c r="T23" s="11" t="n">
        <f aca="false">IF(COUNT(I23,K23,M23,O23,Q23,S23)=0,"",MIN(I23,K23,M23,O23,Q23,S23))</f>
        <v>34.5363636363636</v>
      </c>
      <c r="U23" s="42" t="n">
        <f aca="false">IF(OR(D23="",T23=""),"",D23/T23-1)</f>
        <v>-0.829165569886812</v>
      </c>
      <c r="V23" s="43" t="n">
        <f aca="false">IF(OR(F23="",T23=""),"",F23/T23-1)</f>
        <v>-0.825940708081074</v>
      </c>
      <c r="W23" s="41" t="s">
        <v>257</v>
      </c>
    </row>
    <row r="24" customFormat="false" ht="68.25" hidden="false" customHeight="true" outlineLevel="0" collapsed="false">
      <c r="A24" s="1" t="s">
        <v>222</v>
      </c>
      <c r="B24" s="1" t="s">
        <v>159</v>
      </c>
      <c r="C24" s="41" t="s">
        <v>160</v>
      </c>
      <c r="D24" s="11" t="n">
        <f aca="false">'RSEA vs Quoted Comparison'!F25</f>
        <v>11.81</v>
      </c>
      <c r="E24" s="11" t="n">
        <f aca="false">'RSEA vs Quoted Comparison'!G25</f>
        <v>12.991</v>
      </c>
      <c r="F24" s="11" t="n">
        <f aca="false">IF('RSEA vs Quoted Comparison'!H25="","",'RSEA vs Quoted Comparison'!H25)</f>
        <v>12.03275</v>
      </c>
      <c r="G24" s="11" t="n">
        <f aca="false">IF('RSEA vs Quoted Comparison'!I25="","",'RSEA vs Quoted Comparison'!I25)</f>
        <v>13.236025</v>
      </c>
      <c r="H24" s="11" t="n">
        <f aca="false">'RSEA vs Quoted Comparison'!D25</f>
        <v>49.99</v>
      </c>
      <c r="I24" s="11" t="n">
        <f aca="false">'RSEA vs Quoted Comparison'!E25</f>
        <v>45.4454545454545</v>
      </c>
      <c r="J24" s="11" t="n">
        <v>33.5</v>
      </c>
      <c r="K24" s="11" t="n">
        <f aca="false">J24/1.1</f>
        <v>30.4545454545455</v>
      </c>
      <c r="L24" s="11" t="n">
        <v>34.46</v>
      </c>
      <c r="M24" s="11" t="n">
        <f aca="false">L24/1.1</f>
        <v>31.3272727272727</v>
      </c>
      <c r="N24" s="11" t="n">
        <v>22.5</v>
      </c>
      <c r="O24" s="11" t="n">
        <f aca="false">N24/1.1</f>
        <v>20.4545454545455</v>
      </c>
      <c r="P24" s="11" t="n">
        <v>10.29</v>
      </c>
      <c r="Q24" s="11" t="n">
        <f aca="false">P24/1.1</f>
        <v>9.35454545454545</v>
      </c>
      <c r="T24" s="11" t="n">
        <f aca="false">IF(COUNT(I24,K24,M24,O24,Q24,S24)=0,"",MIN(I24,K24,M24,O24,Q24,S24))</f>
        <v>9.35454545454545</v>
      </c>
      <c r="U24" s="42" t="n">
        <f aca="false">IF(OR(D24="",T24=""),"",D24/T24-1)</f>
        <v>0.262487852283771</v>
      </c>
      <c r="V24" s="43" t="n">
        <f aca="false">IF(OR(F24="",T24=""),"",F24/T24-1)</f>
        <v>0.28629980563654</v>
      </c>
      <c r="W24" s="41" t="s">
        <v>324</v>
      </c>
    </row>
    <row r="25" customFormat="false" ht="54.75" hidden="false" customHeight="true" outlineLevel="0" collapsed="false">
      <c r="A25" s="1" t="s">
        <v>222</v>
      </c>
      <c r="B25" s="1" t="s">
        <v>171</v>
      </c>
      <c r="C25" s="41" t="s">
        <v>172</v>
      </c>
      <c r="D25" s="11" t="n">
        <f aca="false">'RSEA vs Quoted Comparison'!F26</f>
        <v>11.81</v>
      </c>
      <c r="E25" s="11" t="n">
        <f aca="false">'RSEA vs Quoted Comparison'!G26</f>
        <v>12.991</v>
      </c>
      <c r="F25" s="11" t="n">
        <f aca="false">IF('RSEA vs Quoted Comparison'!H26="","",'RSEA vs Quoted Comparison'!H26)</f>
        <v>12.03275</v>
      </c>
      <c r="G25" s="11" t="n">
        <f aca="false">IF('RSEA vs Quoted Comparison'!I26="","",'RSEA vs Quoted Comparison'!I26)</f>
        <v>13.236025</v>
      </c>
      <c r="H25" s="11" t="n">
        <f aca="false">'RSEA vs Quoted Comparison'!D26</f>
        <v>44.99</v>
      </c>
      <c r="I25" s="11" t="n">
        <f aca="false">'RSEA vs Quoted Comparison'!E26</f>
        <v>40.9</v>
      </c>
      <c r="J25" s="11" t="n">
        <v>30</v>
      </c>
      <c r="K25" s="11" t="n">
        <f aca="false">J25/1.1</f>
        <v>27.2727272727273</v>
      </c>
      <c r="L25" s="11" t="n">
        <v>31.19</v>
      </c>
      <c r="M25" s="11" t="n">
        <f aca="false">L25/1.1</f>
        <v>28.3545454545455</v>
      </c>
      <c r="P25" s="11" t="n">
        <v>10.29</v>
      </c>
      <c r="Q25" s="11" t="n">
        <f aca="false">P25/1.1</f>
        <v>9.35454545454545</v>
      </c>
      <c r="R25" s="11" t="n">
        <v>65.63</v>
      </c>
      <c r="S25" s="11" t="n">
        <f aca="false">R25/1.1</f>
        <v>59.6636363636364</v>
      </c>
      <c r="T25" s="11" t="n">
        <f aca="false">IF(COUNT(I25,K25,M25,O25,Q25,S25)=0,"",MIN(I25,K25,M25,O25,Q25,S25))</f>
        <v>9.35454545454545</v>
      </c>
      <c r="U25" s="42" t="n">
        <f aca="false">IF(OR(D25="",T25=""),"",D25/T25-1)</f>
        <v>0.262487852283771</v>
      </c>
      <c r="V25" s="43" t="n">
        <f aca="false">IF(OR(F25="",T25=""),"",F25/T25-1)</f>
        <v>0.28629980563654</v>
      </c>
      <c r="W25" s="41" t="s">
        <v>311</v>
      </c>
    </row>
    <row r="26" customFormat="false" ht="54.75" hidden="false" customHeight="true" outlineLevel="0" collapsed="false">
      <c r="A26" s="1" t="s">
        <v>222</v>
      </c>
      <c r="B26" s="1" t="s">
        <v>265</v>
      </c>
      <c r="C26" s="41" t="s">
        <v>173</v>
      </c>
      <c r="D26" s="11" t="n">
        <f aca="false">'RSEA vs Quoted Comparison'!F27</f>
        <v>11.81</v>
      </c>
      <c r="E26" s="11" t="n">
        <f aca="false">'RSEA vs Quoted Comparison'!G27</f>
        <v>12.991</v>
      </c>
      <c r="F26" s="11" t="n">
        <f aca="false">IF('RSEA vs Quoted Comparison'!H27="","",'RSEA vs Quoted Comparison'!H27)</f>
        <v>12.03275</v>
      </c>
      <c r="G26" s="11" t="n">
        <f aca="false">IF('RSEA vs Quoted Comparison'!I27="","",'RSEA vs Quoted Comparison'!I27)</f>
        <v>13.236025</v>
      </c>
      <c r="H26" s="11" t="n">
        <f aca="false">'RSEA vs Quoted Comparison'!D27</f>
        <v>44.99</v>
      </c>
      <c r="I26" s="11" t="n">
        <f aca="false">'RSEA vs Quoted Comparison'!E27</f>
        <v>40.9</v>
      </c>
      <c r="J26" s="11" t="n">
        <v>27.5</v>
      </c>
      <c r="K26" s="11" t="n">
        <f aca="false">J26/1.1</f>
        <v>25</v>
      </c>
      <c r="L26" s="11" t="n">
        <v>30.11</v>
      </c>
      <c r="M26" s="11" t="n">
        <f aca="false">L26/1.1</f>
        <v>27.3727272727273</v>
      </c>
      <c r="P26" s="11" t="n">
        <v>23.32</v>
      </c>
      <c r="Q26" s="11" t="n">
        <f aca="false">P26/1.1</f>
        <v>21.2</v>
      </c>
      <c r="R26" s="11" t="n">
        <v>49.78</v>
      </c>
      <c r="S26" s="11" t="n">
        <f aca="false">R26/1.1</f>
        <v>45.2545454545455</v>
      </c>
      <c r="T26" s="11" t="n">
        <f aca="false">IF(COUNT(I26,K26,M26,O26,Q26,S26)=0,"",MIN(I26,K26,M26,O26,Q26,S26))</f>
        <v>21.2</v>
      </c>
      <c r="U26" s="42" t="n">
        <f aca="false">IF(OR(D26="",T26=""),"",D26/T26-1)</f>
        <v>-0.442924528301887</v>
      </c>
      <c r="V26" s="43" t="n">
        <f aca="false">IF(OR(F26="",T26=""),"",F26/T26-1)</f>
        <v>-0.432417452830189</v>
      </c>
      <c r="W26" s="41" t="s">
        <v>325</v>
      </c>
    </row>
    <row r="27" customFormat="false" ht="68.25" hidden="false" customHeight="true" outlineLevel="0" collapsed="false">
      <c r="A27" s="1" t="s">
        <v>222</v>
      </c>
      <c r="B27" s="1" t="s">
        <v>167</v>
      </c>
      <c r="C27" s="41" t="s">
        <v>168</v>
      </c>
      <c r="D27" s="11" t="n">
        <f aca="false">'RSEA vs Quoted Comparison'!F28</f>
        <v>33.41</v>
      </c>
      <c r="E27" s="11" t="n">
        <f aca="false">'RSEA vs Quoted Comparison'!G28</f>
        <v>36.751</v>
      </c>
      <c r="F27" s="11" t="n">
        <f aca="false">IF('RSEA vs Quoted Comparison'!H28="","",'RSEA vs Quoted Comparison'!H28)</f>
        <v>33.8555</v>
      </c>
      <c r="G27" s="11" t="n">
        <f aca="false">IF('RSEA vs Quoted Comparison'!I28="","",'RSEA vs Quoted Comparison'!I28)</f>
        <v>37.24105</v>
      </c>
      <c r="H27" s="11" t="n">
        <f aca="false">'RSEA vs Quoted Comparison'!D28</f>
        <v>142.99</v>
      </c>
      <c r="I27" s="11" t="n">
        <f aca="false">'RSEA vs Quoted Comparison'!E28</f>
        <v>129.990909090909</v>
      </c>
      <c r="J27" s="11" t="n">
        <v>74.8</v>
      </c>
      <c r="K27" s="11" t="n">
        <f aca="false">J27/1.1</f>
        <v>68</v>
      </c>
      <c r="L27" s="11" t="n">
        <v>98.07</v>
      </c>
      <c r="M27" s="11" t="n">
        <f aca="false">L27/1.1</f>
        <v>89.1545454545454</v>
      </c>
      <c r="P27" s="11" t="n">
        <v>110.1</v>
      </c>
      <c r="Q27" s="11" t="n">
        <f aca="false">P27/1.1</f>
        <v>100.090909090909</v>
      </c>
      <c r="T27" s="11" t="n">
        <f aca="false">IF(COUNT(I27,K27,M27,O27,Q27,S27)=0,"",MIN(I27,K27,M27,O27,Q27,S27))</f>
        <v>68</v>
      </c>
      <c r="U27" s="42" t="n">
        <f aca="false">IF(OR(D27="",T27=""),"",D27/T27-1)</f>
        <v>-0.508676470588235</v>
      </c>
      <c r="V27" s="43" t="n">
        <f aca="false">IF(OR(F27="",T27=""),"",F27/T27-1)</f>
        <v>-0.502125</v>
      </c>
      <c r="W27" s="41" t="s">
        <v>326</v>
      </c>
    </row>
    <row r="28" customFormat="false" ht="68.25" hidden="false" customHeight="true" outlineLevel="0" collapsed="false">
      <c r="A28" s="1" t="s">
        <v>222</v>
      </c>
      <c r="B28" s="1" t="s">
        <v>174</v>
      </c>
      <c r="C28" s="41" t="s">
        <v>175</v>
      </c>
      <c r="D28" s="11" t="n">
        <f aca="false">'RSEA vs Quoted Comparison'!F29</f>
        <v>33.41</v>
      </c>
      <c r="E28" s="11" t="n">
        <f aca="false">'RSEA vs Quoted Comparison'!G29</f>
        <v>36.751</v>
      </c>
      <c r="F28" s="11" t="n">
        <f aca="false">IF('RSEA vs Quoted Comparison'!H29="","",'RSEA vs Quoted Comparison'!H29)</f>
        <v>33.8555</v>
      </c>
      <c r="G28" s="11" t="n">
        <f aca="false">IF('RSEA vs Quoted Comparison'!I29="","",'RSEA vs Quoted Comparison'!I29)</f>
        <v>37.24105</v>
      </c>
      <c r="H28" s="11" t="n">
        <f aca="false">'RSEA vs Quoted Comparison'!D29</f>
        <v>142.99</v>
      </c>
      <c r="I28" s="11" t="n">
        <f aca="false">'RSEA vs Quoted Comparison'!E29</f>
        <v>129.990909090909</v>
      </c>
      <c r="J28" s="11" t="n">
        <v>74.8</v>
      </c>
      <c r="K28" s="11" t="n">
        <f aca="false">J28/1.1</f>
        <v>68</v>
      </c>
      <c r="L28" s="11" t="n">
        <v>114.08</v>
      </c>
      <c r="M28" s="11" t="n">
        <f aca="false">L28/1.1</f>
        <v>103.709090909091</v>
      </c>
      <c r="P28" s="11" t="n">
        <v>110.1</v>
      </c>
      <c r="Q28" s="11" t="n">
        <f aca="false">P28/1.1</f>
        <v>100.090909090909</v>
      </c>
      <c r="T28" s="11" t="n">
        <f aca="false">IF(COUNT(I28,K28,M28,O28,Q28,S28)=0,"",MIN(I28,K28,M28,O28,Q28,S28))</f>
        <v>68</v>
      </c>
      <c r="U28" s="42" t="n">
        <f aca="false">IF(OR(D28="",T28=""),"",D28/T28-1)</f>
        <v>-0.508676470588235</v>
      </c>
      <c r="V28" s="43" t="n">
        <f aca="false">IF(OR(F28="",T28=""),"",F28/T28-1)</f>
        <v>-0.502125</v>
      </c>
      <c r="W28" s="41" t="s">
        <v>327</v>
      </c>
    </row>
    <row r="29" customFormat="false" ht="68.25" hidden="false" customHeight="true" outlineLevel="0" collapsed="false">
      <c r="A29" s="1" t="s">
        <v>223</v>
      </c>
      <c r="B29" s="1" t="s">
        <v>49</v>
      </c>
      <c r="C29" s="41" t="s">
        <v>50</v>
      </c>
      <c r="D29" s="11" t="n">
        <f aca="false">'RSEA vs Quoted Comparison'!F30</f>
        <v>13.07</v>
      </c>
      <c r="E29" s="11" t="n">
        <f aca="false">'RSEA vs Quoted Comparison'!G30</f>
        <v>14.377</v>
      </c>
      <c r="F29" s="11" t="str">
        <f aca="false">IF('RSEA vs Quoted Comparison'!H30="","",'RSEA vs Quoted Comparison'!H30)</f>
        <v/>
      </c>
      <c r="G29" s="11" t="str">
        <f aca="false">IF('RSEA vs Quoted Comparison'!I30="","",'RSEA vs Quoted Comparison'!I30)</f>
        <v/>
      </c>
      <c r="H29" s="11" t="n">
        <f aca="false">'RSEA vs Quoted Comparison'!D30</f>
        <v>57.99</v>
      </c>
      <c r="I29" s="11" t="n">
        <f aca="false">'RSEA vs Quoted Comparison'!E30</f>
        <v>52.7181818181818</v>
      </c>
      <c r="J29" s="11" t="n">
        <v>34.1</v>
      </c>
      <c r="K29" s="11" t="n">
        <f aca="false">J29/1.1</f>
        <v>31</v>
      </c>
      <c r="L29" s="11" t="n">
        <v>61.04</v>
      </c>
      <c r="M29" s="11" t="n">
        <f aca="false">L29/1.1</f>
        <v>55.4909090909091</v>
      </c>
      <c r="N29" s="11" t="n">
        <v>28</v>
      </c>
      <c r="O29" s="11" t="n">
        <f aca="false">N29/1.1</f>
        <v>25.4545454545455</v>
      </c>
      <c r="T29" s="11" t="n">
        <f aca="false">IF(COUNT(I29,K29,M29,O29,Q29,S29)=0,"",MIN(I29,K29,M29,O29,Q29,S29))</f>
        <v>25.4545454545455</v>
      </c>
      <c r="U29" s="42" t="n">
        <f aca="false">IF(OR(D29="",T29=""),"",D29/T29-1)</f>
        <v>-0.486535714285714</v>
      </c>
      <c r="V29" s="43" t="str">
        <f aca="false">IF(OR(F29="",T29=""),"",F29/T29-1)</f>
        <v/>
      </c>
      <c r="W29" s="41" t="s">
        <v>328</v>
      </c>
    </row>
    <row r="30" customFormat="false" ht="81.75" hidden="false" customHeight="true" outlineLevel="0" collapsed="false">
      <c r="A30" s="1" t="s">
        <v>223</v>
      </c>
      <c r="B30" s="1" t="s">
        <v>51</v>
      </c>
      <c r="C30" s="41" t="s">
        <v>52</v>
      </c>
      <c r="D30" s="11" t="n">
        <f aca="false">'RSEA vs Quoted Comparison'!F31</f>
        <v>13.07</v>
      </c>
      <c r="E30" s="11" t="n">
        <f aca="false">'RSEA vs Quoted Comparison'!G31</f>
        <v>14.377</v>
      </c>
      <c r="F30" s="11" t="str">
        <f aca="false">IF('RSEA vs Quoted Comparison'!H31="","",'RSEA vs Quoted Comparison'!H31)</f>
        <v/>
      </c>
      <c r="G30" s="11" t="str">
        <f aca="false">IF('RSEA vs Quoted Comparison'!I31="","",'RSEA vs Quoted Comparison'!I31)</f>
        <v/>
      </c>
      <c r="H30" s="11" t="n">
        <f aca="false">'RSEA vs Quoted Comparison'!D31</f>
        <v>44.99</v>
      </c>
      <c r="I30" s="11" t="n">
        <f aca="false">'RSEA vs Quoted Comparison'!E31</f>
        <v>40.9</v>
      </c>
      <c r="J30" s="11" t="n">
        <v>34.1</v>
      </c>
      <c r="K30" s="11" t="n">
        <f aca="false">J30/1.1</f>
        <v>31</v>
      </c>
      <c r="L30" s="11" t="n">
        <v>47.14</v>
      </c>
      <c r="M30" s="11" t="n">
        <f aca="false">L30/1.1</f>
        <v>42.8545454545455</v>
      </c>
      <c r="P30" s="11" t="n">
        <v>53.22</v>
      </c>
      <c r="Q30" s="11" t="n">
        <f aca="false">P30/1.1</f>
        <v>48.3818181818182</v>
      </c>
      <c r="T30" s="11" t="n">
        <f aca="false">IF(COUNT(I30,K30,M30,O30,Q30,S30)=0,"",MIN(I30,K30,M30,O30,Q30,S30))</f>
        <v>31</v>
      </c>
      <c r="U30" s="42" t="n">
        <f aca="false">IF(OR(D30="",T30=""),"",D30/T30-1)</f>
        <v>-0.578387096774194</v>
      </c>
      <c r="V30" s="43" t="str">
        <f aca="false">IF(OR(F30="",T30=""),"",F30/T30-1)</f>
        <v/>
      </c>
      <c r="W30" s="41" t="s">
        <v>329</v>
      </c>
    </row>
    <row r="31" customFormat="false" ht="81.75" hidden="false" customHeight="true" outlineLevel="0" collapsed="false">
      <c r="A31" s="1" t="s">
        <v>223</v>
      </c>
      <c r="B31" s="1" t="s">
        <v>53</v>
      </c>
      <c r="C31" s="41" t="s">
        <v>54</v>
      </c>
      <c r="D31" s="11" t="n">
        <f aca="false">'RSEA vs Quoted Comparison'!F32</f>
        <v>16.04</v>
      </c>
      <c r="E31" s="11" t="n">
        <f aca="false">'RSEA vs Quoted Comparison'!G32</f>
        <v>17.644</v>
      </c>
      <c r="F31" s="11" t="str">
        <f aca="false">IF('RSEA vs Quoted Comparison'!H32="","",'RSEA vs Quoted Comparison'!H32)</f>
        <v/>
      </c>
      <c r="G31" s="11" t="str">
        <f aca="false">IF('RSEA vs Quoted Comparison'!I32="","",'RSEA vs Quoted Comparison'!I32)</f>
        <v/>
      </c>
      <c r="H31" s="11" t="n">
        <f aca="false">'RSEA vs Quoted Comparison'!D32</f>
        <v>52.99</v>
      </c>
      <c r="I31" s="11" t="n">
        <f aca="false">'RSEA vs Quoted Comparison'!E32</f>
        <v>48.1727272727273</v>
      </c>
      <c r="J31" s="11" t="n">
        <v>34.1</v>
      </c>
      <c r="K31" s="11" t="n">
        <f aca="false">J31/1.1</f>
        <v>31</v>
      </c>
      <c r="L31" s="11" t="n">
        <v>86.85</v>
      </c>
      <c r="M31" s="11" t="n">
        <f aca="false">L31/1.1</f>
        <v>78.9545454545454</v>
      </c>
      <c r="N31" s="11" t="n">
        <v>51.5</v>
      </c>
      <c r="O31" s="11" t="n">
        <f aca="false">N31/1.1</f>
        <v>46.8181818181818</v>
      </c>
      <c r="T31" s="11" t="n">
        <f aca="false">IF(COUNT(I31,K31,M31,O31,Q31,S31)=0,"",MIN(I31,K31,M31,O31,Q31,S31))</f>
        <v>31</v>
      </c>
      <c r="U31" s="42" t="n">
        <f aca="false">IF(OR(D31="",T31=""),"",D31/T31-1)</f>
        <v>-0.48258064516129</v>
      </c>
      <c r="V31" s="43" t="str">
        <f aca="false">IF(OR(F31="",T31=""),"",F31/T31-1)</f>
        <v/>
      </c>
      <c r="W31" s="41" t="s">
        <v>330</v>
      </c>
    </row>
    <row r="32" customFormat="false" ht="81.75" hidden="false" customHeight="true" outlineLevel="0" collapsed="false">
      <c r="A32" s="1" t="s">
        <v>223</v>
      </c>
      <c r="B32" s="1" t="s">
        <v>55</v>
      </c>
      <c r="C32" s="41" t="s">
        <v>56</v>
      </c>
      <c r="D32" s="11" t="n">
        <f aca="false">'RSEA vs Quoted Comparison'!F33</f>
        <v>16.04</v>
      </c>
      <c r="E32" s="11" t="n">
        <f aca="false">'RSEA vs Quoted Comparison'!G33</f>
        <v>17.644</v>
      </c>
      <c r="F32" s="11" t="str">
        <f aca="false">IF('RSEA vs Quoted Comparison'!H33="","",'RSEA vs Quoted Comparison'!H33)</f>
        <v/>
      </c>
      <c r="G32" s="11" t="str">
        <f aca="false">IF('RSEA vs Quoted Comparison'!I33="","",'RSEA vs Quoted Comparison'!I33)</f>
        <v/>
      </c>
      <c r="H32" s="11" t="n">
        <f aca="false">'RSEA vs Quoted Comparison'!D33</f>
        <v>57.99</v>
      </c>
      <c r="I32" s="11" t="n">
        <f aca="false">'RSEA vs Quoted Comparison'!E33</f>
        <v>52.7181818181818</v>
      </c>
      <c r="J32" s="11" t="n">
        <v>34.1</v>
      </c>
      <c r="K32" s="11" t="n">
        <f aca="false">J32/1.1</f>
        <v>31</v>
      </c>
      <c r="L32" s="11" t="n">
        <v>58.84</v>
      </c>
      <c r="M32" s="11" t="n">
        <f aca="false">L32/1.1</f>
        <v>53.4909090909091</v>
      </c>
      <c r="P32" s="11" t="n">
        <v>53.22</v>
      </c>
      <c r="Q32" s="11" t="n">
        <f aca="false">P32/1.1</f>
        <v>48.3818181818182</v>
      </c>
      <c r="T32" s="11" t="n">
        <f aca="false">IF(COUNT(I32,K32,M32,O32,Q32,S32)=0,"",MIN(I32,K32,M32,O32,Q32,S32))</f>
        <v>31</v>
      </c>
      <c r="U32" s="42" t="n">
        <f aca="false">IF(OR(D32="",T32=""),"",D32/T32-1)</f>
        <v>-0.48258064516129</v>
      </c>
      <c r="V32" s="43" t="str">
        <f aca="false">IF(OR(F32="",T32=""),"",F32/T32-1)</f>
        <v/>
      </c>
      <c r="W32" s="41" t="s">
        <v>331</v>
      </c>
    </row>
    <row r="33" customFormat="false" ht="81.75" hidden="false" customHeight="true" outlineLevel="0" collapsed="false">
      <c r="A33" s="1" t="s">
        <v>223</v>
      </c>
      <c r="B33" s="1" t="s">
        <v>57</v>
      </c>
      <c r="C33" s="41" t="s">
        <v>58</v>
      </c>
      <c r="D33" s="11" t="n">
        <f aca="false">'RSEA vs Quoted Comparison'!F34</f>
        <v>16.04</v>
      </c>
      <c r="E33" s="11" t="n">
        <f aca="false">'RSEA vs Quoted Comparison'!G34</f>
        <v>17.644</v>
      </c>
      <c r="F33" s="11" t="str">
        <f aca="false">IF('RSEA vs Quoted Comparison'!H34="","",'RSEA vs Quoted Comparison'!H34)</f>
        <v/>
      </c>
      <c r="G33" s="11" t="str">
        <f aca="false">IF('RSEA vs Quoted Comparison'!I34="","",'RSEA vs Quoted Comparison'!I34)</f>
        <v/>
      </c>
      <c r="H33" s="11" t="n">
        <f aca="false">'RSEA vs Quoted Comparison'!D34</f>
        <v>57.99</v>
      </c>
      <c r="I33" s="11" t="n">
        <f aca="false">'RSEA vs Quoted Comparison'!E34</f>
        <v>52.7181818181818</v>
      </c>
      <c r="J33" s="11" t="n">
        <v>34.1</v>
      </c>
      <c r="K33" s="11" t="n">
        <f aca="false">J33/1.1</f>
        <v>31</v>
      </c>
      <c r="L33" s="11" t="n">
        <v>60.6</v>
      </c>
      <c r="M33" s="11" t="n">
        <f aca="false">L33/1.1</f>
        <v>55.0909090909091</v>
      </c>
      <c r="N33" s="11" t="n">
        <v>51.5</v>
      </c>
      <c r="O33" s="11" t="n">
        <f aca="false">N33/1.1</f>
        <v>46.8181818181818</v>
      </c>
      <c r="P33" s="11" t="n">
        <v>53.22</v>
      </c>
      <c r="Q33" s="11" t="n">
        <f aca="false">P33/1.1</f>
        <v>48.3818181818182</v>
      </c>
      <c r="T33" s="11" t="n">
        <f aca="false">IF(COUNT(I33,K33,M33,O33,Q33,S33)=0,"",MIN(I33,K33,M33,O33,Q33,S33))</f>
        <v>31</v>
      </c>
      <c r="U33" s="42" t="n">
        <f aca="false">IF(OR(D33="",T33=""),"",D33/T33-1)</f>
        <v>-0.48258064516129</v>
      </c>
      <c r="V33" s="43" t="str">
        <f aca="false">IF(OR(F33="",T33=""),"",F33/T33-1)</f>
        <v/>
      </c>
      <c r="W33" s="41" t="s">
        <v>332</v>
      </c>
    </row>
    <row r="34" customFormat="false" ht="81.75" hidden="false" customHeight="true" outlineLevel="0" collapsed="false">
      <c r="A34" s="1" t="s">
        <v>223</v>
      </c>
      <c r="B34" s="1" t="s">
        <v>59</v>
      </c>
      <c r="C34" s="41" t="s">
        <v>60</v>
      </c>
      <c r="D34" s="11" t="n">
        <f aca="false">'RSEA vs Quoted Comparison'!F35</f>
        <v>16.04</v>
      </c>
      <c r="E34" s="11" t="n">
        <f aca="false">'RSEA vs Quoted Comparison'!G35</f>
        <v>17.644</v>
      </c>
      <c r="F34" s="11" t="str">
        <f aca="false">IF('RSEA vs Quoted Comparison'!H35="","",'RSEA vs Quoted Comparison'!H35)</f>
        <v/>
      </c>
      <c r="G34" s="11" t="str">
        <f aca="false">IF('RSEA vs Quoted Comparison'!I35="","",'RSEA vs Quoted Comparison'!I35)</f>
        <v/>
      </c>
      <c r="H34" s="11" t="n">
        <f aca="false">'RSEA vs Quoted Comparison'!D35</f>
        <v>57.99</v>
      </c>
      <c r="I34" s="11" t="n">
        <f aca="false">'RSEA vs Quoted Comparison'!E35</f>
        <v>52.7181818181818</v>
      </c>
      <c r="J34" s="11" t="n">
        <v>34.1</v>
      </c>
      <c r="K34" s="11" t="n">
        <f aca="false">J34/1.1</f>
        <v>31</v>
      </c>
      <c r="L34" s="11" t="n">
        <v>59.05</v>
      </c>
      <c r="M34" s="11" t="n">
        <f aca="false">L34/1.1</f>
        <v>53.6818181818182</v>
      </c>
      <c r="N34" s="11" t="n">
        <v>51.5</v>
      </c>
      <c r="O34" s="11" t="n">
        <f aca="false">N34/1.1</f>
        <v>46.8181818181818</v>
      </c>
      <c r="P34" s="11" t="n">
        <v>53.22</v>
      </c>
      <c r="Q34" s="11" t="n">
        <f aca="false">P34/1.1</f>
        <v>48.3818181818182</v>
      </c>
      <c r="T34" s="11" t="n">
        <f aca="false">IF(COUNT(I34,K34,M34,O34,Q34,S34)=0,"",MIN(I34,K34,M34,O34,Q34,S34))</f>
        <v>31</v>
      </c>
      <c r="U34" s="42" t="n">
        <f aca="false">IF(OR(D34="",T34=""),"",D34/T34-1)</f>
        <v>-0.48258064516129</v>
      </c>
      <c r="V34" s="43" t="str">
        <f aca="false">IF(OR(F34="",T34=""),"",F34/T34-1)</f>
        <v/>
      </c>
      <c r="W34" s="41" t="s">
        <v>333</v>
      </c>
    </row>
    <row r="35" customFormat="false" ht="81.75" hidden="false" customHeight="true" outlineLevel="0" collapsed="false">
      <c r="A35" s="1" t="s">
        <v>223</v>
      </c>
      <c r="B35" s="1" t="s">
        <v>61</v>
      </c>
      <c r="C35" s="41" t="s">
        <v>62</v>
      </c>
      <c r="D35" s="11" t="n">
        <f aca="false">'RSEA vs Quoted Comparison'!F36</f>
        <v>13.07</v>
      </c>
      <c r="E35" s="11" t="n">
        <f aca="false">'RSEA vs Quoted Comparison'!G36</f>
        <v>14.377</v>
      </c>
      <c r="F35" s="11" t="str">
        <f aca="false">IF('RSEA vs Quoted Comparison'!H36="","",'RSEA vs Quoted Comparison'!H36)</f>
        <v/>
      </c>
      <c r="G35" s="11" t="str">
        <f aca="false">IF('RSEA vs Quoted Comparison'!I36="","",'RSEA vs Quoted Comparison'!I36)</f>
        <v/>
      </c>
      <c r="H35" s="11" t="n">
        <f aca="false">'RSEA vs Quoted Comparison'!D36</f>
        <v>57.99</v>
      </c>
      <c r="I35" s="11" t="n">
        <f aca="false">'RSEA vs Quoted Comparison'!E36</f>
        <v>52.7181818181818</v>
      </c>
      <c r="J35" s="11" t="n">
        <v>34.1</v>
      </c>
      <c r="K35" s="11" t="n">
        <f aca="false">J35/1.1</f>
        <v>31</v>
      </c>
      <c r="L35" s="11" t="n">
        <v>73.96</v>
      </c>
      <c r="M35" s="11" t="n">
        <f aca="false">L35/1.1</f>
        <v>67.2363636363636</v>
      </c>
      <c r="N35" s="11" t="n">
        <v>47.5</v>
      </c>
      <c r="O35" s="11" t="n">
        <f aca="false">N35/1.1</f>
        <v>43.1818181818182</v>
      </c>
      <c r="P35" s="11" t="n">
        <v>53.22</v>
      </c>
      <c r="Q35" s="11" t="n">
        <f aca="false">P35/1.1</f>
        <v>48.3818181818182</v>
      </c>
      <c r="T35" s="11" t="n">
        <f aca="false">IF(COUNT(I35,K35,M35,O35,Q35,S35)=0,"",MIN(I35,K35,M35,O35,Q35,S35))</f>
        <v>31</v>
      </c>
      <c r="U35" s="42" t="n">
        <f aca="false">IF(OR(D35="",T35=""),"",D35/T35-1)</f>
        <v>-0.578387096774194</v>
      </c>
      <c r="V35" s="43" t="str">
        <f aca="false">IF(OR(F35="",T35=""),"",F35/T35-1)</f>
        <v/>
      </c>
      <c r="W35" s="41" t="s">
        <v>334</v>
      </c>
    </row>
    <row r="36" customFormat="false" ht="68.25" hidden="false" customHeight="true" outlineLevel="0" collapsed="false">
      <c r="A36" s="1" t="s">
        <v>223</v>
      </c>
      <c r="B36" s="1" t="s">
        <v>63</v>
      </c>
      <c r="C36" s="41" t="s">
        <v>64</v>
      </c>
      <c r="D36" s="11" t="n">
        <f aca="false">'RSEA vs Quoted Comparison'!F37</f>
        <v>16.04</v>
      </c>
      <c r="E36" s="11" t="n">
        <f aca="false">'RSEA vs Quoted Comparison'!G37</f>
        <v>17.644</v>
      </c>
      <c r="F36" s="11" t="str">
        <f aca="false">IF('RSEA vs Quoted Comparison'!H37="","",'RSEA vs Quoted Comparison'!H37)</f>
        <v/>
      </c>
      <c r="G36" s="11" t="str">
        <f aca="false">IF('RSEA vs Quoted Comparison'!I37="","",'RSEA vs Quoted Comparison'!I37)</f>
        <v/>
      </c>
      <c r="H36" s="11" t="n">
        <f aca="false">'RSEA vs Quoted Comparison'!D37</f>
        <v>59.99</v>
      </c>
      <c r="I36" s="11" t="n">
        <f aca="false">'RSEA vs Quoted Comparison'!E37</f>
        <v>54.5363636363636</v>
      </c>
      <c r="J36" s="11" t="n">
        <v>34.1</v>
      </c>
      <c r="K36" s="11" t="n">
        <f aca="false">J36/1.1</f>
        <v>31</v>
      </c>
      <c r="L36" s="11" t="n">
        <v>61.03</v>
      </c>
      <c r="M36" s="11" t="n">
        <f aca="false">L36/1.1</f>
        <v>55.4818181818182</v>
      </c>
      <c r="N36" s="11" t="n">
        <v>47.5</v>
      </c>
      <c r="O36" s="11" t="n">
        <f aca="false">N36/1.1</f>
        <v>43.1818181818182</v>
      </c>
      <c r="T36" s="11" t="n">
        <f aca="false">IF(COUNT(I36,K36,M36,O36,Q36,S36)=0,"",MIN(I36,K36,M36,O36,Q36,S36))</f>
        <v>31</v>
      </c>
      <c r="U36" s="42" t="n">
        <f aca="false">IF(OR(D36="",T36=""),"",D36/T36-1)</f>
        <v>-0.48258064516129</v>
      </c>
      <c r="V36" s="43" t="str">
        <f aca="false">IF(OR(F36="",T36=""),"",F36/T36-1)</f>
        <v/>
      </c>
      <c r="W36" s="41" t="s">
        <v>335</v>
      </c>
    </row>
    <row r="37" customFormat="false" ht="108.75" hidden="false" customHeight="true" outlineLevel="0" collapsed="false">
      <c r="A37" s="1" t="s">
        <v>223</v>
      </c>
      <c r="B37" s="1" t="s">
        <v>65</v>
      </c>
      <c r="C37" s="41" t="s">
        <v>66</v>
      </c>
      <c r="D37" s="11" t="n">
        <f aca="false">'RSEA vs Quoted Comparison'!F38</f>
        <v>13.07</v>
      </c>
      <c r="E37" s="11" t="n">
        <f aca="false">'RSEA vs Quoted Comparison'!G38</f>
        <v>14.377</v>
      </c>
      <c r="F37" s="11" t="str">
        <f aca="false">IF('RSEA vs Quoted Comparison'!H38="","",'RSEA vs Quoted Comparison'!H38)</f>
        <v/>
      </c>
      <c r="G37" s="11" t="str">
        <f aca="false">IF('RSEA vs Quoted Comparison'!I38="","",'RSEA vs Quoted Comparison'!I38)</f>
        <v/>
      </c>
      <c r="H37" s="11" t="n">
        <f aca="false">'RSEA vs Quoted Comparison'!D38</f>
        <v>57.99</v>
      </c>
      <c r="I37" s="11" t="n">
        <f aca="false">'RSEA vs Quoted Comparison'!E38</f>
        <v>52.7181818181818</v>
      </c>
      <c r="J37" s="11" t="n">
        <v>34.1</v>
      </c>
      <c r="K37" s="11" t="n">
        <f aca="false">J37/1.1</f>
        <v>31</v>
      </c>
      <c r="L37" s="11" t="n">
        <v>59.05</v>
      </c>
      <c r="M37" s="11" t="n">
        <f aca="false">L37/1.1</f>
        <v>53.6818181818182</v>
      </c>
      <c r="P37" s="11" t="n">
        <v>53.22</v>
      </c>
      <c r="Q37" s="11" t="n">
        <f aca="false">P37/1.1</f>
        <v>48.3818181818182</v>
      </c>
      <c r="T37" s="11" t="n">
        <f aca="false">IF(COUNT(I37,K37,M37,O37,Q37,S37)=0,"",MIN(I37,K37,M37,O37,Q37,S37))</f>
        <v>31</v>
      </c>
      <c r="U37" s="42" t="n">
        <f aca="false">IF(OR(D37="",T37=""),"",D37/T37-1)</f>
        <v>-0.578387096774194</v>
      </c>
      <c r="V37" s="43" t="str">
        <f aca="false">IF(OR(F37="",T37=""),"",F37/T37-1)</f>
        <v/>
      </c>
      <c r="W37" s="41" t="s">
        <v>336</v>
      </c>
    </row>
    <row r="38" customFormat="false" ht="81.75" hidden="false" customHeight="true" outlineLevel="0" collapsed="false">
      <c r="A38" s="1" t="s">
        <v>223</v>
      </c>
      <c r="B38" s="1" t="s">
        <v>67</v>
      </c>
      <c r="C38" s="41" t="s">
        <v>68</v>
      </c>
      <c r="D38" s="11" t="n">
        <f aca="false">'RSEA vs Quoted Comparison'!F39</f>
        <v>13.07</v>
      </c>
      <c r="E38" s="11" t="n">
        <f aca="false">'RSEA vs Quoted Comparison'!G39</f>
        <v>14.377</v>
      </c>
      <c r="F38" s="11" t="str">
        <f aca="false">IF('RSEA vs Quoted Comparison'!H39="","",'RSEA vs Quoted Comparison'!H39)</f>
        <v/>
      </c>
      <c r="G38" s="11" t="str">
        <f aca="false">IF('RSEA vs Quoted Comparison'!I39="","",'RSEA vs Quoted Comparison'!I39)</f>
        <v/>
      </c>
      <c r="H38" s="11" t="n">
        <f aca="false">'RSEA vs Quoted Comparison'!D39</f>
        <v>57.99</v>
      </c>
      <c r="I38" s="11" t="n">
        <f aca="false">'RSEA vs Quoted Comparison'!E39</f>
        <v>52.7181818181818</v>
      </c>
      <c r="J38" s="11" t="n">
        <v>34.1</v>
      </c>
      <c r="K38" s="11" t="n">
        <f aca="false">J38/1.1</f>
        <v>31</v>
      </c>
      <c r="L38" s="11" t="n">
        <v>61.04</v>
      </c>
      <c r="M38" s="11" t="n">
        <f aca="false">L38/1.1</f>
        <v>55.4909090909091</v>
      </c>
      <c r="P38" s="11" t="n">
        <v>124.21</v>
      </c>
      <c r="Q38" s="11" t="n">
        <f aca="false">P38/1.1</f>
        <v>112.918181818182</v>
      </c>
      <c r="T38" s="11" t="n">
        <f aca="false">IF(COUNT(I38,K38,M38,O38,Q38,S38)=0,"",MIN(I38,K38,M38,O38,Q38,S38))</f>
        <v>31</v>
      </c>
      <c r="U38" s="42" t="n">
        <f aca="false">IF(OR(D38="",T38=""),"",D38/T38-1)</f>
        <v>-0.578387096774194</v>
      </c>
      <c r="V38" s="43" t="str">
        <f aca="false">IF(OR(F38="",T38=""),"",F38/T38-1)</f>
        <v/>
      </c>
      <c r="W38" s="41" t="s">
        <v>337</v>
      </c>
    </row>
    <row r="39" customFormat="false" ht="68.25" hidden="false" customHeight="true" outlineLevel="0" collapsed="false">
      <c r="A39" s="1" t="s">
        <v>223</v>
      </c>
      <c r="B39" s="1" t="s">
        <v>69</v>
      </c>
      <c r="C39" s="41" t="s">
        <v>70</v>
      </c>
      <c r="D39" s="11" t="n">
        <f aca="false">'RSEA vs Quoted Comparison'!F40</f>
        <v>13.07</v>
      </c>
      <c r="E39" s="11" t="n">
        <f aca="false">'RSEA vs Quoted Comparison'!G40</f>
        <v>14.377</v>
      </c>
      <c r="F39" s="11" t="str">
        <f aca="false">IF('RSEA vs Quoted Comparison'!H40="","",'RSEA vs Quoted Comparison'!H40)</f>
        <v/>
      </c>
      <c r="G39" s="11" t="str">
        <f aca="false">IF('RSEA vs Quoted Comparison'!I40="","",'RSEA vs Quoted Comparison'!I40)</f>
        <v/>
      </c>
      <c r="H39" s="11" t="n">
        <f aca="false">'RSEA vs Quoted Comparison'!D40</f>
        <v>57.99</v>
      </c>
      <c r="I39" s="11" t="n">
        <f aca="false">'RSEA vs Quoted Comparison'!E40</f>
        <v>52.7181818181818</v>
      </c>
      <c r="J39" s="11" t="n">
        <v>34.1</v>
      </c>
      <c r="K39" s="11" t="n">
        <f aca="false">J39/1.1</f>
        <v>31</v>
      </c>
      <c r="L39" s="11" t="n">
        <v>61.04</v>
      </c>
      <c r="M39" s="11" t="n">
        <f aca="false">L39/1.1</f>
        <v>55.4909090909091</v>
      </c>
      <c r="P39" s="11" t="n">
        <v>124.21</v>
      </c>
      <c r="Q39" s="11" t="n">
        <f aca="false">P39/1.1</f>
        <v>112.918181818182</v>
      </c>
      <c r="T39" s="11" t="n">
        <f aca="false">IF(COUNT(I39,K39,M39,O39,Q39,S39)=0,"",MIN(I39,K39,M39,O39,Q39,S39))</f>
        <v>31</v>
      </c>
      <c r="U39" s="42" t="n">
        <f aca="false">IF(OR(D39="",T39=""),"",D39/T39-1)</f>
        <v>-0.578387096774194</v>
      </c>
      <c r="V39" s="43" t="str">
        <f aca="false">IF(OR(F39="",T39=""),"",F39/T39-1)</f>
        <v/>
      </c>
      <c r="W39" s="41" t="s">
        <v>338</v>
      </c>
    </row>
    <row r="40" customFormat="false" ht="68.25" hidden="false" customHeight="true" outlineLevel="0" collapsed="false">
      <c r="A40" s="1" t="s">
        <v>223</v>
      </c>
      <c r="B40" s="1" t="s">
        <v>71</v>
      </c>
      <c r="C40" s="41" t="s">
        <v>72</v>
      </c>
      <c r="D40" s="11" t="n">
        <f aca="false">'RSEA vs Quoted Comparison'!F41</f>
        <v>13.07</v>
      </c>
      <c r="E40" s="11" t="n">
        <f aca="false">'RSEA vs Quoted Comparison'!G41</f>
        <v>14.377</v>
      </c>
      <c r="F40" s="11" t="str">
        <f aca="false">IF('RSEA vs Quoted Comparison'!H41="","",'RSEA vs Quoted Comparison'!H41)</f>
        <v/>
      </c>
      <c r="G40" s="11" t="str">
        <f aca="false">IF('RSEA vs Quoted Comparison'!I41="","",'RSEA vs Quoted Comparison'!I41)</f>
        <v/>
      </c>
      <c r="H40" s="11" t="n">
        <f aca="false">'RSEA vs Quoted Comparison'!D41</f>
        <v>57.99</v>
      </c>
      <c r="I40" s="11" t="n">
        <f aca="false">'RSEA vs Quoted Comparison'!E41</f>
        <v>52.7181818181818</v>
      </c>
      <c r="J40" s="11" t="n">
        <v>34.1</v>
      </c>
      <c r="K40" s="11" t="n">
        <f aca="false">J40/1.1</f>
        <v>31</v>
      </c>
      <c r="L40" s="11" t="n">
        <v>59.26</v>
      </c>
      <c r="M40" s="11" t="n">
        <f aca="false">L40/1.1</f>
        <v>53.8727272727273</v>
      </c>
      <c r="N40" s="11" t="n">
        <v>77.95</v>
      </c>
      <c r="O40" s="11" t="n">
        <f aca="false">N40/1.1</f>
        <v>70.8636363636364</v>
      </c>
      <c r="P40" s="11" t="n">
        <v>53.22</v>
      </c>
      <c r="Q40" s="11" t="n">
        <f aca="false">P40/1.1</f>
        <v>48.3818181818182</v>
      </c>
      <c r="T40" s="11" t="n">
        <f aca="false">IF(COUNT(I40,K40,M40,O40,Q40,S40)=0,"",MIN(I40,K40,M40,O40,Q40,S40))</f>
        <v>31</v>
      </c>
      <c r="U40" s="42" t="n">
        <f aca="false">IF(OR(D40="",T40=""),"",D40/T40-1)</f>
        <v>-0.578387096774194</v>
      </c>
      <c r="V40" s="43" t="str">
        <f aca="false">IF(OR(F40="",T40=""),"",F40/T40-1)</f>
        <v/>
      </c>
      <c r="W40" s="41" t="s">
        <v>339</v>
      </c>
    </row>
    <row r="41" customFormat="false" ht="81.75" hidden="false" customHeight="true" outlineLevel="0" collapsed="false">
      <c r="A41" s="1" t="s">
        <v>223</v>
      </c>
      <c r="B41" s="1" t="s">
        <v>73</v>
      </c>
      <c r="C41" s="41" t="s">
        <v>74</v>
      </c>
      <c r="D41" s="11" t="n">
        <f aca="false">'RSEA vs Quoted Comparison'!F42</f>
        <v>13.07</v>
      </c>
      <c r="E41" s="11" t="n">
        <f aca="false">'RSEA vs Quoted Comparison'!G42</f>
        <v>14.377</v>
      </c>
      <c r="F41" s="11" t="str">
        <f aca="false">IF('RSEA vs Quoted Comparison'!H42="","",'RSEA vs Quoted Comparison'!H42)</f>
        <v/>
      </c>
      <c r="G41" s="11" t="str">
        <f aca="false">IF('RSEA vs Quoted Comparison'!I42="","",'RSEA vs Quoted Comparison'!I42)</f>
        <v/>
      </c>
      <c r="H41" s="11" t="n">
        <f aca="false">'RSEA vs Quoted Comparison'!D42</f>
        <v>57.99</v>
      </c>
      <c r="I41" s="11" t="n">
        <f aca="false">'RSEA vs Quoted Comparison'!E42</f>
        <v>52.7181818181818</v>
      </c>
      <c r="J41" s="11" t="n">
        <v>34.1</v>
      </c>
      <c r="K41" s="11" t="n">
        <f aca="false">J41/1.1</f>
        <v>31</v>
      </c>
      <c r="L41" s="11" t="n">
        <v>59.26</v>
      </c>
      <c r="M41" s="11" t="n">
        <f aca="false">L41/1.1</f>
        <v>53.8727272727273</v>
      </c>
      <c r="N41" s="11" t="n">
        <v>48</v>
      </c>
      <c r="O41" s="11" t="n">
        <f aca="false">N41/1.1</f>
        <v>43.6363636363636</v>
      </c>
      <c r="P41" s="11" t="n">
        <v>53.22</v>
      </c>
      <c r="Q41" s="11" t="n">
        <f aca="false">P41/1.1</f>
        <v>48.3818181818182</v>
      </c>
      <c r="T41" s="11" t="n">
        <f aca="false">IF(COUNT(I41,K41,M41,O41,Q41,S41)=0,"",MIN(I41,K41,M41,O41,Q41,S41))</f>
        <v>31</v>
      </c>
      <c r="U41" s="42" t="n">
        <f aca="false">IF(OR(D41="",T41=""),"",D41/T41-1)</f>
        <v>-0.578387096774194</v>
      </c>
      <c r="V41" s="43" t="str">
        <f aca="false">IF(OR(F41="",T41=""),"",F41/T41-1)</f>
        <v/>
      </c>
      <c r="W41" s="41" t="s">
        <v>340</v>
      </c>
    </row>
    <row r="42" customFormat="false" ht="41.25" hidden="false" customHeight="true" outlineLevel="0" collapsed="false">
      <c r="A42" s="1" t="s">
        <v>225</v>
      </c>
      <c r="B42" s="1" t="s">
        <v>4</v>
      </c>
      <c r="C42" s="41" t="s">
        <v>5</v>
      </c>
      <c r="D42" s="11" t="n">
        <f aca="false">'RSEA vs Quoted Comparison'!F43</f>
        <v>5.35</v>
      </c>
      <c r="E42" s="11" t="n">
        <f aca="false">'RSEA vs Quoted Comparison'!G43</f>
        <v>5.885</v>
      </c>
      <c r="F42" s="11" t="str">
        <f aca="false">IF('RSEA vs Quoted Comparison'!H43="","",'RSEA vs Quoted Comparison'!H43)</f>
        <v/>
      </c>
      <c r="G42" s="11" t="str">
        <f aca="false">IF('RSEA vs Quoted Comparison'!I43="","",'RSEA vs Quoted Comparison'!I43)</f>
        <v/>
      </c>
      <c r="H42" s="11" t="n">
        <f aca="false">'RSEA vs Quoted Comparison'!D43</f>
        <v>37.99</v>
      </c>
      <c r="I42" s="11" t="n">
        <f aca="false">'RSEA vs Quoted Comparison'!E43</f>
        <v>34.5363636363636</v>
      </c>
      <c r="T42" s="11" t="n">
        <f aca="false">IF(COUNT(I42,K42,M42,O42,Q42,S42)=0,"",MIN(I42,K42,M42,O42,Q42,S42))</f>
        <v>34.5363636363636</v>
      </c>
      <c r="U42" s="42" t="n">
        <f aca="false">IF(OR(D42="",T42=""),"",D42/T42-1)</f>
        <v>-0.84509081337194</v>
      </c>
      <c r="V42" s="43" t="str">
        <f aca="false">IF(OR(F42="",T42=""),"",F42/T42-1)</f>
        <v/>
      </c>
      <c r="W42" s="41" t="s">
        <v>276</v>
      </c>
    </row>
    <row r="43" customFormat="false" ht="68.25" hidden="false" customHeight="true" outlineLevel="0" collapsed="false">
      <c r="A43" s="1" t="s">
        <v>225</v>
      </c>
      <c r="B43" s="1" t="s">
        <v>95</v>
      </c>
      <c r="C43" s="41" t="s">
        <v>96</v>
      </c>
      <c r="D43" s="11" t="n">
        <f aca="false">'RSEA vs Quoted Comparison'!F44</f>
        <v>2.67</v>
      </c>
      <c r="E43" s="11" t="n">
        <f aca="false">'RSEA vs Quoted Comparison'!G44</f>
        <v>2.937</v>
      </c>
      <c r="F43" s="11" t="str">
        <f aca="false">IF('RSEA vs Quoted Comparison'!H44="","",'RSEA vs Quoted Comparison'!H44)</f>
        <v/>
      </c>
      <c r="G43" s="11" t="str">
        <f aca="false">IF('RSEA vs Quoted Comparison'!I44="","",'RSEA vs Quoted Comparison'!I44)</f>
        <v/>
      </c>
      <c r="H43" s="11" t="n">
        <f aca="false">'RSEA vs Quoted Comparison'!D44</f>
        <v>24.99</v>
      </c>
      <c r="I43" s="11" t="n">
        <f aca="false">'RSEA vs Quoted Comparison'!E44</f>
        <v>22.7181818181818</v>
      </c>
      <c r="L43" s="11" t="n">
        <v>21.12</v>
      </c>
      <c r="M43" s="11" t="n">
        <f aca="false">L43/1.1</f>
        <v>19.2</v>
      </c>
      <c r="P43" s="11" t="n">
        <v>10.29</v>
      </c>
      <c r="Q43" s="11" t="n">
        <f aca="false">P43/1.1</f>
        <v>9.35454545454545</v>
      </c>
      <c r="R43" s="11" t="n">
        <v>32.72</v>
      </c>
      <c r="S43" s="11" t="n">
        <f aca="false">R43/1.1</f>
        <v>29.7454545454545</v>
      </c>
      <c r="T43" s="11" t="n">
        <f aca="false">IF(COUNT(I43,K43,M43,O43,Q43,S43)=0,"",MIN(I43,K43,M43,O43,Q43,S43))</f>
        <v>9.35454545454545</v>
      </c>
      <c r="U43" s="42" t="n">
        <f aca="false">IF(OR(D43="",T43=""),"",D43/T43-1)</f>
        <v>-0.714577259475219</v>
      </c>
      <c r="V43" s="43" t="str">
        <f aca="false">IF(OR(F43="",T43=""),"",F43/T43-1)</f>
        <v/>
      </c>
      <c r="W43" s="41" t="s">
        <v>341</v>
      </c>
    </row>
    <row r="44" customFormat="false" ht="81.75" hidden="false" customHeight="true" outlineLevel="0" collapsed="false">
      <c r="A44" s="1" t="s">
        <v>225</v>
      </c>
      <c r="B44" s="1" t="s">
        <v>97</v>
      </c>
      <c r="C44" s="41" t="s">
        <v>98</v>
      </c>
      <c r="D44" s="11" t="n">
        <f aca="false">'RSEA vs Quoted Comparison'!F45</f>
        <v>10.69</v>
      </c>
      <c r="E44" s="11" t="n">
        <f aca="false">'RSEA vs Quoted Comparison'!G45</f>
        <v>11.759</v>
      </c>
      <c r="F44" s="11" t="str">
        <f aca="false">IF('RSEA vs Quoted Comparison'!H45="","",'RSEA vs Quoted Comparison'!H45)</f>
        <v/>
      </c>
      <c r="G44" s="11" t="str">
        <f aca="false">IF('RSEA vs Quoted Comparison'!I45="","",'RSEA vs Quoted Comparison'!I45)</f>
        <v/>
      </c>
      <c r="H44" s="11" t="n">
        <f aca="false">'RSEA vs Quoted Comparison'!D45</f>
        <v>44.99</v>
      </c>
      <c r="I44" s="11" t="n">
        <f aca="false">'RSEA vs Quoted Comparison'!E45</f>
        <v>40.9</v>
      </c>
      <c r="J44" s="11" t="n">
        <v>25.75</v>
      </c>
      <c r="K44" s="11" t="n">
        <f aca="false">J44/1.1</f>
        <v>23.4090909090909</v>
      </c>
      <c r="N44" s="11" t="n">
        <v>26.5</v>
      </c>
      <c r="O44" s="11" t="n">
        <f aca="false">N44/1.1</f>
        <v>24.0909090909091</v>
      </c>
      <c r="T44" s="11" t="n">
        <f aca="false">IF(COUNT(I44,K44,M44,O44,Q44,S44)=0,"",MIN(I44,K44,M44,O44,Q44,S44))</f>
        <v>23.4090909090909</v>
      </c>
      <c r="U44" s="42" t="n">
        <f aca="false">IF(OR(D44="",T44=""),"",D44/T44-1)</f>
        <v>-0.543339805825243</v>
      </c>
      <c r="V44" s="43" t="str">
        <f aca="false">IF(OR(F44="",T44=""),"",F44/T44-1)</f>
        <v/>
      </c>
      <c r="W44" s="41" t="s">
        <v>342</v>
      </c>
    </row>
    <row r="45" customFormat="false" ht="41.25" hidden="false" customHeight="true" outlineLevel="0" collapsed="false">
      <c r="A45" s="1" t="s">
        <v>225</v>
      </c>
      <c r="B45" s="1" t="s">
        <v>99</v>
      </c>
      <c r="C45" s="41" t="s">
        <v>100</v>
      </c>
      <c r="D45" s="11" t="n">
        <f aca="false">'RSEA vs Quoted Comparison'!F46</f>
        <v>2.67</v>
      </c>
      <c r="E45" s="11" t="n">
        <f aca="false">'RSEA vs Quoted Comparison'!G46</f>
        <v>2.937</v>
      </c>
      <c r="F45" s="11" t="str">
        <f aca="false">IF('RSEA vs Quoted Comparison'!H46="","",'RSEA vs Quoted Comparison'!H46)</f>
        <v/>
      </c>
      <c r="G45" s="11" t="str">
        <f aca="false">IF('RSEA vs Quoted Comparison'!I46="","",'RSEA vs Quoted Comparison'!I46)</f>
        <v/>
      </c>
      <c r="H45" s="11" t="n">
        <f aca="false">'RSEA vs Quoted Comparison'!D46</f>
        <v>24.99</v>
      </c>
      <c r="I45" s="11" t="n">
        <f aca="false">'RSEA vs Quoted Comparison'!E46</f>
        <v>22.7181818181818</v>
      </c>
      <c r="T45" s="11" t="n">
        <f aca="false">IF(COUNT(I45,K45,M45,O45,Q45,S45)=0,"",MIN(I45,K45,M45,O45,Q45,S45))</f>
        <v>22.7181818181818</v>
      </c>
      <c r="U45" s="42" t="n">
        <f aca="false">IF(OR(D45="",T45=""),"",D45/T45-1)</f>
        <v>-0.882472989195678</v>
      </c>
      <c r="V45" s="43" t="str">
        <f aca="false">IF(OR(F45="",T45=""),"",F45/T45-1)</f>
        <v/>
      </c>
      <c r="W45" s="41" t="s">
        <v>276</v>
      </c>
    </row>
    <row r="46" customFormat="false" ht="41.25" hidden="false" customHeight="true" outlineLevel="0" collapsed="false">
      <c r="A46" s="1" t="s">
        <v>225</v>
      </c>
      <c r="B46" s="1" t="s">
        <v>103</v>
      </c>
      <c r="C46" s="41" t="s">
        <v>104</v>
      </c>
      <c r="D46" s="11" t="n">
        <f aca="false">'RSEA vs Quoted Comparison'!F47</f>
        <v>9.5</v>
      </c>
      <c r="E46" s="11" t="n">
        <f aca="false">'RSEA vs Quoted Comparison'!G47</f>
        <v>10.45</v>
      </c>
      <c r="F46" s="11" t="str">
        <f aca="false">IF('RSEA vs Quoted Comparison'!H47="","",'RSEA vs Quoted Comparison'!H47)</f>
        <v/>
      </c>
      <c r="G46" s="11" t="str">
        <f aca="false">IF('RSEA vs Quoted Comparison'!I47="","",'RSEA vs Quoted Comparison'!I47)</f>
        <v/>
      </c>
      <c r="H46" s="11" t="n">
        <f aca="false">'RSEA vs Quoted Comparison'!D47</f>
        <v>44.99</v>
      </c>
      <c r="I46" s="11" t="n">
        <f aca="false">'RSEA vs Quoted Comparison'!E47</f>
        <v>40.9</v>
      </c>
      <c r="T46" s="11" t="n">
        <f aca="false">IF(COUNT(I46,K46,M46,O46,Q46,S46)=0,"",MIN(I46,K46,M46,O46,Q46,S46))</f>
        <v>40.9</v>
      </c>
      <c r="U46" s="42" t="n">
        <f aca="false">IF(OR(D46="",T46=""),"",D46/T46-1)</f>
        <v>-0.767726161369193</v>
      </c>
      <c r="V46" s="43" t="str">
        <f aca="false">IF(OR(F46="",T46=""),"",F46/T46-1)</f>
        <v/>
      </c>
      <c r="W46" s="41" t="s">
        <v>276</v>
      </c>
    </row>
    <row r="47" customFormat="false" ht="41.25" hidden="false" customHeight="true" outlineLevel="0" collapsed="false">
      <c r="A47" s="1" t="s">
        <v>225</v>
      </c>
      <c r="B47" s="1" t="s">
        <v>105</v>
      </c>
      <c r="C47" s="41" t="s">
        <v>106</v>
      </c>
      <c r="D47" s="11" t="n">
        <f aca="false">'RSEA vs Quoted Comparison'!F48</f>
        <v>10.69</v>
      </c>
      <c r="E47" s="11" t="n">
        <f aca="false">'RSEA vs Quoted Comparison'!G48</f>
        <v>11.759</v>
      </c>
      <c r="F47" s="11" t="str">
        <f aca="false">IF('RSEA vs Quoted Comparison'!H48="","",'RSEA vs Quoted Comparison'!H48)</f>
        <v/>
      </c>
      <c r="G47" s="11" t="str">
        <f aca="false">IF('RSEA vs Quoted Comparison'!I48="","",'RSEA vs Quoted Comparison'!I48)</f>
        <v/>
      </c>
      <c r="H47" s="11" t="n">
        <f aca="false">'RSEA vs Quoted Comparison'!D48</f>
        <v>44.99</v>
      </c>
      <c r="I47" s="11" t="n">
        <f aca="false">'RSEA vs Quoted Comparison'!E48</f>
        <v>40.9</v>
      </c>
      <c r="T47" s="11" t="n">
        <f aca="false">IF(COUNT(I47,K47,M47,O47,Q47,S47)=0,"",MIN(I47,K47,M47,O47,Q47,S47))</f>
        <v>40.9</v>
      </c>
      <c r="U47" s="42" t="n">
        <f aca="false">IF(OR(D47="",T47=""),"",D47/T47-1)</f>
        <v>-0.738630806845966</v>
      </c>
      <c r="V47" s="43" t="str">
        <f aca="false">IF(OR(F47="",T47=""),"",F47/T47-1)</f>
        <v/>
      </c>
      <c r="W47" s="41" t="s">
        <v>276</v>
      </c>
    </row>
    <row r="48" customFormat="false" ht="81.75" hidden="false" customHeight="true" outlineLevel="0" collapsed="false">
      <c r="A48" s="1" t="s">
        <v>225</v>
      </c>
      <c r="B48" s="1" t="s">
        <v>109</v>
      </c>
      <c r="C48" s="41" t="s">
        <v>110</v>
      </c>
      <c r="D48" s="11" t="n">
        <f aca="false">'RSEA vs Quoted Comparison'!F49</f>
        <v>5.35</v>
      </c>
      <c r="E48" s="11" t="n">
        <f aca="false">'RSEA vs Quoted Comparison'!G49</f>
        <v>5.885</v>
      </c>
      <c r="F48" s="11" t="str">
        <f aca="false">IF('RSEA vs Quoted Comparison'!H49="","",'RSEA vs Quoted Comparison'!H49)</f>
        <v/>
      </c>
      <c r="G48" s="11" t="str">
        <f aca="false">IF('RSEA vs Quoted Comparison'!I49="","",'RSEA vs Quoted Comparison'!I49)</f>
        <v/>
      </c>
      <c r="H48" s="11" t="n">
        <f aca="false">'RSEA vs Quoted Comparison'!D49</f>
        <v>32.99</v>
      </c>
      <c r="I48" s="11" t="n">
        <f aca="false">'RSEA vs Quoted Comparison'!E49</f>
        <v>29.9909090909091</v>
      </c>
      <c r="J48" s="11" t="n">
        <v>23</v>
      </c>
      <c r="K48" s="11" t="n">
        <f aca="false">J48/1.1</f>
        <v>20.9090909090909</v>
      </c>
      <c r="L48" s="11" t="n">
        <v>35.73</v>
      </c>
      <c r="M48" s="11" t="n">
        <f aca="false">L48/1.1</f>
        <v>32.4818181818182</v>
      </c>
      <c r="N48" s="11" t="n">
        <v>21.9</v>
      </c>
      <c r="O48" s="11" t="n">
        <f aca="false">N48/1.1</f>
        <v>19.9090909090909</v>
      </c>
      <c r="T48" s="11" t="n">
        <f aca="false">IF(COUNT(I48,K48,M48,O48,Q48,S48)=0,"",MIN(I48,K48,M48,O48,Q48,S48))</f>
        <v>19.9090909090909</v>
      </c>
      <c r="U48" s="42" t="n">
        <f aca="false">IF(OR(D48="",T48=""),"",D48/T48-1)</f>
        <v>-0.731278538812785</v>
      </c>
      <c r="V48" s="43" t="str">
        <f aca="false">IF(OR(F48="",T48=""),"",F48/T48-1)</f>
        <v/>
      </c>
      <c r="W48" s="41" t="s">
        <v>343</v>
      </c>
    </row>
    <row r="49" customFormat="false" ht="68.25" hidden="false" customHeight="true" outlineLevel="0" collapsed="false">
      <c r="A49" s="1" t="s">
        <v>225</v>
      </c>
      <c r="B49" s="1" t="s">
        <v>111</v>
      </c>
      <c r="C49" s="41" t="s">
        <v>112</v>
      </c>
      <c r="D49" s="11" t="n">
        <f aca="false">'RSEA vs Quoted Comparison'!F50</f>
        <v>5.35</v>
      </c>
      <c r="E49" s="11" t="n">
        <f aca="false">'RSEA vs Quoted Comparison'!G50</f>
        <v>5.885</v>
      </c>
      <c r="F49" s="11" t="str">
        <f aca="false">IF('RSEA vs Quoted Comparison'!H50="","",'RSEA vs Quoted Comparison'!H50)</f>
        <v/>
      </c>
      <c r="G49" s="11" t="str">
        <f aca="false">IF('RSEA vs Quoted Comparison'!I50="","",'RSEA vs Quoted Comparison'!I50)</f>
        <v/>
      </c>
      <c r="H49" s="11" t="n">
        <f aca="false">'RSEA vs Quoted Comparison'!D50</f>
        <v>49.99</v>
      </c>
      <c r="I49" s="11" t="n">
        <f aca="false">'RSEA vs Quoted Comparison'!E50</f>
        <v>45.4454545454545</v>
      </c>
      <c r="J49" s="11" t="n">
        <v>23</v>
      </c>
      <c r="K49" s="11" t="n">
        <f aca="false">J49/1.1</f>
        <v>20.9090909090909</v>
      </c>
      <c r="L49" s="11" t="n">
        <v>35.01</v>
      </c>
      <c r="M49" s="11" t="n">
        <f aca="false">L49/1.1</f>
        <v>31.8272727272727</v>
      </c>
      <c r="N49" s="11" t="n">
        <v>23</v>
      </c>
      <c r="O49" s="11" t="n">
        <f aca="false">N49/1.1</f>
        <v>20.9090909090909</v>
      </c>
      <c r="P49" s="11" t="n">
        <v>10.29</v>
      </c>
      <c r="Q49" s="11" t="n">
        <f aca="false">P49/1.1</f>
        <v>9.35454545454545</v>
      </c>
      <c r="T49" s="11" t="n">
        <f aca="false">IF(COUNT(I49,K49,M49,O49,Q49,S49)=0,"",MIN(I49,K49,M49,O49,Q49,S49))</f>
        <v>9.35454545454545</v>
      </c>
      <c r="U49" s="42" t="n">
        <f aca="false">IF(OR(D49="",T49=""),"",D49/T49-1)</f>
        <v>-0.428085519922255</v>
      </c>
      <c r="V49" s="43" t="str">
        <f aca="false">IF(OR(F49="",T49=""),"",F49/T49-1)</f>
        <v/>
      </c>
      <c r="W49" s="41" t="s">
        <v>344</v>
      </c>
    </row>
    <row r="50" customFormat="false" ht="41.25" hidden="false" customHeight="true" outlineLevel="0" collapsed="false">
      <c r="A50" s="1" t="s">
        <v>225</v>
      </c>
      <c r="B50" s="1" t="s">
        <v>115</v>
      </c>
      <c r="C50" s="41" t="s">
        <v>116</v>
      </c>
      <c r="D50" s="11" t="n">
        <f aca="false">'RSEA vs Quoted Comparison'!F51</f>
        <v>2.67</v>
      </c>
      <c r="E50" s="11" t="n">
        <f aca="false">'RSEA vs Quoted Comparison'!G51</f>
        <v>2.937</v>
      </c>
      <c r="F50" s="11" t="str">
        <f aca="false">IF('RSEA vs Quoted Comparison'!H51="","",'RSEA vs Quoted Comparison'!H51)</f>
        <v/>
      </c>
      <c r="G50" s="11" t="str">
        <f aca="false">IF('RSEA vs Quoted Comparison'!I51="","",'RSEA vs Quoted Comparison'!I51)</f>
        <v/>
      </c>
      <c r="H50" s="11" t="n">
        <f aca="false">'RSEA vs Quoted Comparison'!D51</f>
        <v>27.99</v>
      </c>
      <c r="I50" s="11" t="n">
        <f aca="false">'RSEA vs Quoted Comparison'!E51</f>
        <v>25.4454545454545</v>
      </c>
      <c r="T50" s="11" t="n">
        <f aca="false">IF(COUNT(I50,K50,M50,O50,Q50,S50)=0,"",MIN(I50,K50,M50,O50,Q50,S50))</f>
        <v>25.4454545454545</v>
      </c>
      <c r="U50" s="42" t="n">
        <f aca="false">IF(OR(D50="",T50=""),"",D50/T50-1)</f>
        <v>-0.895069667738478</v>
      </c>
      <c r="V50" s="43" t="str">
        <f aca="false">IF(OR(F50="",T50=""),"",F50/T50-1)</f>
        <v/>
      </c>
      <c r="W50" s="41" t="s">
        <v>276</v>
      </c>
    </row>
    <row r="51" customFormat="false" ht="41.25" hidden="false" customHeight="true" outlineLevel="0" collapsed="false">
      <c r="A51" s="1" t="s">
        <v>225</v>
      </c>
      <c r="B51" s="1" t="s">
        <v>119</v>
      </c>
      <c r="C51" s="41" t="s">
        <v>120</v>
      </c>
      <c r="D51" s="11" t="n">
        <f aca="false">'RSEA vs Quoted Comparison'!F52</f>
        <v>9.5</v>
      </c>
      <c r="E51" s="11" t="n">
        <f aca="false">'RSEA vs Quoted Comparison'!G52</f>
        <v>10.45</v>
      </c>
      <c r="F51" s="11" t="str">
        <f aca="false">IF('RSEA vs Quoted Comparison'!H52="","",'RSEA vs Quoted Comparison'!H52)</f>
        <v/>
      </c>
      <c r="G51" s="11" t="str">
        <f aca="false">IF('RSEA vs Quoted Comparison'!I52="","",'RSEA vs Quoted Comparison'!I52)</f>
        <v/>
      </c>
      <c r="H51" s="11" t="n">
        <f aca="false">'RSEA vs Quoted Comparison'!D52</f>
        <v>44.99</v>
      </c>
      <c r="I51" s="11" t="n">
        <f aca="false">'RSEA vs Quoted Comparison'!E52</f>
        <v>40.9</v>
      </c>
      <c r="T51" s="11" t="n">
        <f aca="false">IF(COUNT(I51,K51,M51,O51,Q51,S51)=0,"",MIN(I51,K51,M51,O51,Q51,S51))</f>
        <v>40.9</v>
      </c>
      <c r="U51" s="42" t="n">
        <f aca="false">IF(OR(D51="",T51=""),"",D51/T51-1)</f>
        <v>-0.767726161369193</v>
      </c>
      <c r="V51" s="43" t="str">
        <f aca="false">IF(OR(F51="",T51=""),"",F51/T51-1)</f>
        <v/>
      </c>
      <c r="W51" s="41" t="s">
        <v>276</v>
      </c>
    </row>
    <row r="52" customFormat="false" ht="95.25" hidden="false" customHeight="true" outlineLevel="0" collapsed="false">
      <c r="A52" s="1" t="s">
        <v>225</v>
      </c>
      <c r="B52" s="1" t="s">
        <v>121</v>
      </c>
      <c r="C52" s="41" t="s">
        <v>122</v>
      </c>
      <c r="D52" s="11" t="n">
        <f aca="false">'RSEA vs Quoted Comparison'!F53</f>
        <v>2</v>
      </c>
      <c r="E52" s="11" t="n">
        <f aca="false">'RSEA vs Quoted Comparison'!G53</f>
        <v>2.2</v>
      </c>
      <c r="F52" s="11" t="str">
        <f aca="false">IF('RSEA vs Quoted Comparison'!H53="","",'RSEA vs Quoted Comparison'!H53)</f>
        <v/>
      </c>
      <c r="G52" s="11" t="str">
        <f aca="false">IF('RSEA vs Quoted Comparison'!I53="","",'RSEA vs Quoted Comparison'!I53)</f>
        <v/>
      </c>
      <c r="H52" s="11" t="n">
        <f aca="false">'RSEA vs Quoted Comparison'!D53</f>
        <v>49.99</v>
      </c>
      <c r="I52" s="11" t="n">
        <f aca="false">'RSEA vs Quoted Comparison'!E53</f>
        <v>45.4454545454545</v>
      </c>
      <c r="J52" s="11" t="n">
        <v>28.5</v>
      </c>
      <c r="K52" s="11" t="n">
        <f aca="false">J52/1.1</f>
        <v>25.9090909090909</v>
      </c>
      <c r="L52" s="11" t="n">
        <v>22.12</v>
      </c>
      <c r="M52" s="11" t="n">
        <f aca="false">L52/1.1</f>
        <v>20.1090909090909</v>
      </c>
      <c r="P52" s="11" t="n">
        <v>10.29</v>
      </c>
      <c r="Q52" s="11" t="n">
        <f aca="false">P52/1.1</f>
        <v>9.35454545454545</v>
      </c>
      <c r="R52" s="11" t="n">
        <v>61.33</v>
      </c>
      <c r="S52" s="11" t="n">
        <f aca="false">R52/1.1</f>
        <v>55.7545454545455</v>
      </c>
      <c r="T52" s="11" t="n">
        <f aca="false">IF(COUNT(I52,K52,M52,O52,Q52,S52)=0,"",MIN(I52,K52,M52,O52,Q52,S52))</f>
        <v>9.35454545454545</v>
      </c>
      <c r="U52" s="42" t="n">
        <f aca="false">IF(OR(D52="",T52=""),"",D52/T52-1)</f>
        <v>-0.78620019436346</v>
      </c>
      <c r="V52" s="43" t="str">
        <f aca="false">IF(OR(F52="",T52=""),"",F52/T52-1)</f>
        <v/>
      </c>
      <c r="W52" s="41" t="s">
        <v>345</v>
      </c>
    </row>
    <row r="53" customFormat="false" ht="41.25" hidden="false" customHeight="true" outlineLevel="0" collapsed="false">
      <c r="A53" s="1" t="s">
        <v>225</v>
      </c>
      <c r="B53" s="1" t="s">
        <v>123</v>
      </c>
      <c r="C53" s="41" t="s">
        <v>124</v>
      </c>
      <c r="D53" s="11" t="n">
        <f aca="false">'RSEA vs Quoted Comparison'!F54</f>
        <v>2.67</v>
      </c>
      <c r="E53" s="11" t="n">
        <f aca="false">'RSEA vs Quoted Comparison'!G54</f>
        <v>2.937</v>
      </c>
      <c r="F53" s="11" t="str">
        <f aca="false">IF('RSEA vs Quoted Comparison'!H54="","",'RSEA vs Quoted Comparison'!H54)</f>
        <v/>
      </c>
      <c r="G53" s="11" t="str">
        <f aca="false">IF('RSEA vs Quoted Comparison'!I54="","",'RSEA vs Quoted Comparison'!I54)</f>
        <v/>
      </c>
      <c r="H53" s="11" t="n">
        <f aca="false">'RSEA vs Quoted Comparison'!D54</f>
        <v>32.99</v>
      </c>
      <c r="I53" s="11" t="n">
        <f aca="false">'RSEA vs Quoted Comparison'!E54</f>
        <v>29.9909090909091</v>
      </c>
      <c r="T53" s="11" t="n">
        <f aca="false">IF(COUNT(I53,K53,M53,O53,Q53,S53)=0,"",MIN(I53,K53,M53,O53,Q53,S53))</f>
        <v>29.9909090909091</v>
      </c>
      <c r="U53" s="42" t="n">
        <f aca="false">IF(OR(D53="",T53=""),"",D53/T53-1)</f>
        <v>-0.910973022127918</v>
      </c>
      <c r="V53" s="43" t="str">
        <f aca="false">IF(OR(F53="",T53=""),"",F53/T53-1)</f>
        <v/>
      </c>
      <c r="W53" s="41" t="s">
        <v>276</v>
      </c>
    </row>
    <row r="54" customFormat="false" ht="41.25" hidden="false" customHeight="true" outlineLevel="0" collapsed="false">
      <c r="A54" s="1" t="s">
        <v>225</v>
      </c>
      <c r="B54" s="1" t="s">
        <v>125</v>
      </c>
      <c r="C54" s="41" t="s">
        <v>126</v>
      </c>
      <c r="D54" s="11" t="n">
        <f aca="false">'RSEA vs Quoted Comparison'!F55</f>
        <v>4.01</v>
      </c>
      <c r="E54" s="11" t="n">
        <f aca="false">'RSEA vs Quoted Comparison'!G55</f>
        <v>4.411</v>
      </c>
      <c r="F54" s="11" t="str">
        <f aca="false">IF('RSEA vs Quoted Comparison'!H55="","",'RSEA vs Quoted Comparison'!H55)</f>
        <v/>
      </c>
      <c r="G54" s="11" t="str">
        <f aca="false">IF('RSEA vs Quoted Comparison'!I55="","",'RSEA vs Quoted Comparison'!I55)</f>
        <v/>
      </c>
      <c r="H54" s="11" t="n">
        <f aca="false">'RSEA vs Quoted Comparison'!D55</f>
        <v>37.99</v>
      </c>
      <c r="I54" s="11" t="n">
        <f aca="false">'RSEA vs Quoted Comparison'!E55</f>
        <v>34.5363636363636</v>
      </c>
      <c r="T54" s="11" t="n">
        <f aca="false">IF(COUNT(I54,K54,M54,O54,Q54,S54)=0,"",MIN(I54,K54,M54,O54,Q54,S54))</f>
        <v>34.5363636363636</v>
      </c>
      <c r="U54" s="42" t="n">
        <f aca="false">IF(OR(D54="",T54=""),"",D54/T54-1)</f>
        <v>-0.883890497499342</v>
      </c>
      <c r="V54" s="43" t="str">
        <f aca="false">IF(OR(F54="",T54=""),"",F54/T54-1)</f>
        <v/>
      </c>
      <c r="W54" s="41" t="s">
        <v>276</v>
      </c>
    </row>
    <row r="55" customFormat="false" ht="41.25" hidden="false" customHeight="true" outlineLevel="0" collapsed="false">
      <c r="A55" s="1" t="s">
        <v>225</v>
      </c>
      <c r="B55" s="1" t="s">
        <v>129</v>
      </c>
      <c r="C55" s="41" t="s">
        <v>130</v>
      </c>
      <c r="D55" s="11" t="n">
        <f aca="false">'RSEA vs Quoted Comparison'!F56</f>
        <v>10.69</v>
      </c>
      <c r="E55" s="11" t="n">
        <f aca="false">'RSEA vs Quoted Comparison'!G56</f>
        <v>11.759</v>
      </c>
      <c r="F55" s="11" t="str">
        <f aca="false">IF('RSEA vs Quoted Comparison'!H56="","",'RSEA vs Quoted Comparison'!H56)</f>
        <v/>
      </c>
      <c r="G55" s="11" t="str">
        <f aca="false">IF('RSEA vs Quoted Comparison'!I56="","",'RSEA vs Quoted Comparison'!I56)</f>
        <v/>
      </c>
      <c r="H55" s="11" t="n">
        <f aca="false">'RSEA vs Quoted Comparison'!D56</f>
        <v>37.99</v>
      </c>
      <c r="I55" s="11" t="n">
        <f aca="false">'RSEA vs Quoted Comparison'!E56</f>
        <v>34.5363636363636</v>
      </c>
      <c r="T55" s="11" t="n">
        <f aca="false">IF(COUNT(I55,K55,M55,O55,Q55,S55)=0,"",MIN(I55,K55,M55,O55,Q55,S55))</f>
        <v>34.5363636363636</v>
      </c>
      <c r="U55" s="42" t="n">
        <f aca="false">IF(OR(D55="",T55=""),"",D55/T55-1)</f>
        <v>-0.690471176625428</v>
      </c>
      <c r="V55" s="43" t="str">
        <f aca="false">IF(OR(F55="",T55=""),"",F55/T55-1)</f>
        <v/>
      </c>
      <c r="W55" s="41" t="s">
        <v>276</v>
      </c>
    </row>
    <row r="56" customFormat="false" ht="41.25" hidden="false" customHeight="true" outlineLevel="0" collapsed="false">
      <c r="A56" s="1" t="s">
        <v>225</v>
      </c>
      <c r="B56" s="1" t="s">
        <v>133</v>
      </c>
      <c r="C56" s="41" t="s">
        <v>134</v>
      </c>
      <c r="D56" s="11" t="n">
        <f aca="false">'RSEA vs Quoted Comparison'!F57</f>
        <v>10.69</v>
      </c>
      <c r="E56" s="11" t="n">
        <f aca="false">'RSEA vs Quoted Comparison'!G57</f>
        <v>11.759</v>
      </c>
      <c r="F56" s="11" t="str">
        <f aca="false">IF('RSEA vs Quoted Comparison'!H57="","",'RSEA vs Quoted Comparison'!H57)</f>
        <v/>
      </c>
      <c r="G56" s="11" t="str">
        <f aca="false">IF('RSEA vs Quoted Comparison'!I57="","",'RSEA vs Quoted Comparison'!I57)</f>
        <v/>
      </c>
      <c r="H56" s="11" t="n">
        <f aca="false">'RSEA vs Quoted Comparison'!D57</f>
        <v>37.99</v>
      </c>
      <c r="I56" s="11" t="n">
        <f aca="false">'RSEA vs Quoted Comparison'!E57</f>
        <v>34.5363636363636</v>
      </c>
      <c r="T56" s="11" t="n">
        <f aca="false">IF(COUNT(I56,K56,M56,O56,Q56,S56)=0,"",MIN(I56,K56,M56,O56,Q56,S56))</f>
        <v>34.5363636363636</v>
      </c>
      <c r="U56" s="42" t="n">
        <f aca="false">IF(OR(D56="",T56=""),"",D56/T56-1)</f>
        <v>-0.690471176625428</v>
      </c>
      <c r="V56" s="43" t="str">
        <f aca="false">IF(OR(F56="",T56=""),"",F56/T56-1)</f>
        <v/>
      </c>
      <c r="W56" s="41" t="s">
        <v>276</v>
      </c>
    </row>
    <row r="57" customFormat="false" ht="41.25" hidden="false" customHeight="true" outlineLevel="0" collapsed="false">
      <c r="A57" s="1" t="s">
        <v>225</v>
      </c>
      <c r="B57" s="1" t="s">
        <v>135</v>
      </c>
      <c r="C57" s="41" t="s">
        <v>136</v>
      </c>
      <c r="D57" s="11" t="n">
        <f aca="false">'RSEA vs Quoted Comparison'!F58</f>
        <v>10.69</v>
      </c>
      <c r="E57" s="11" t="n">
        <f aca="false">'RSEA vs Quoted Comparison'!G58</f>
        <v>11.759</v>
      </c>
      <c r="F57" s="11" t="str">
        <f aca="false">IF('RSEA vs Quoted Comparison'!H58="","",'RSEA vs Quoted Comparison'!H58)</f>
        <v/>
      </c>
      <c r="G57" s="11" t="str">
        <f aca="false">IF('RSEA vs Quoted Comparison'!I58="","",'RSEA vs Quoted Comparison'!I58)</f>
        <v/>
      </c>
      <c r="H57" s="11" t="n">
        <f aca="false">'RSEA vs Quoted Comparison'!D58</f>
        <v>44.99</v>
      </c>
      <c r="I57" s="11" t="n">
        <f aca="false">'RSEA vs Quoted Comparison'!E58</f>
        <v>40.9</v>
      </c>
      <c r="T57" s="11" t="n">
        <f aca="false">IF(COUNT(I57,K57,M57,O57,Q57,S57)=0,"",MIN(I57,K57,M57,O57,Q57,S57))</f>
        <v>40.9</v>
      </c>
      <c r="U57" s="42" t="n">
        <f aca="false">IF(OR(D57="",T57=""),"",D57/T57-1)</f>
        <v>-0.738630806845966</v>
      </c>
      <c r="V57" s="43" t="str">
        <f aca="false">IF(OR(F57="",T57=""),"",F57/T57-1)</f>
        <v/>
      </c>
      <c r="W57" s="41" t="s">
        <v>276</v>
      </c>
    </row>
    <row r="58" customFormat="false" ht="41.25" hidden="false" customHeight="true" outlineLevel="0" collapsed="false">
      <c r="A58" s="1" t="s">
        <v>225</v>
      </c>
      <c r="B58" s="1" t="s">
        <v>139</v>
      </c>
      <c r="C58" s="41" t="s">
        <v>140</v>
      </c>
      <c r="D58" s="11" t="n">
        <f aca="false">'RSEA vs Quoted Comparison'!F59</f>
        <v>2.89</v>
      </c>
      <c r="E58" s="11" t="n">
        <f aca="false">'RSEA vs Quoted Comparison'!G59</f>
        <v>3.179</v>
      </c>
      <c r="F58" s="11" t="str">
        <f aca="false">IF('RSEA vs Quoted Comparison'!H59="","",'RSEA vs Quoted Comparison'!H59)</f>
        <v/>
      </c>
      <c r="G58" s="11" t="str">
        <f aca="false">IF('RSEA vs Quoted Comparison'!I59="","",'RSEA vs Quoted Comparison'!I59)</f>
        <v/>
      </c>
      <c r="H58" s="11" t="n">
        <f aca="false">'RSEA vs Quoted Comparison'!D59</f>
        <v>32.99</v>
      </c>
      <c r="I58" s="11" t="n">
        <f aca="false">'RSEA vs Quoted Comparison'!E59</f>
        <v>29.9909090909091</v>
      </c>
      <c r="T58" s="11" t="n">
        <f aca="false">IF(COUNT(I58,K58,M58,O58,Q58,S58)=0,"",MIN(I58,K58,M58,O58,Q58,S58))</f>
        <v>29.9909090909091</v>
      </c>
      <c r="U58" s="42" t="n">
        <f aca="false">IF(OR(D58="",T58=""),"",D58/T58-1)</f>
        <v>-0.903637465898757</v>
      </c>
      <c r="V58" s="43" t="str">
        <f aca="false">IF(OR(F58="",T58=""),"",F58/T58-1)</f>
        <v/>
      </c>
      <c r="W58" s="41" t="s">
        <v>276</v>
      </c>
    </row>
    <row r="59" customFormat="false" ht="41.25" hidden="false" customHeight="true" outlineLevel="0" collapsed="false">
      <c r="A59" s="1" t="s">
        <v>225</v>
      </c>
      <c r="B59" s="1" t="s">
        <v>143</v>
      </c>
      <c r="C59" s="41" t="s">
        <v>144</v>
      </c>
      <c r="D59" s="11" t="n">
        <f aca="false">'RSEA vs Quoted Comparison'!F60</f>
        <v>1.94</v>
      </c>
      <c r="E59" s="11" t="n">
        <f aca="false">'RSEA vs Quoted Comparison'!G60</f>
        <v>2.134</v>
      </c>
      <c r="F59" s="11" t="str">
        <f aca="false">IF('RSEA vs Quoted Comparison'!H60="","",'RSEA vs Quoted Comparison'!H60)</f>
        <v/>
      </c>
      <c r="G59" s="11" t="str">
        <f aca="false">IF('RSEA vs Quoted Comparison'!I60="","",'RSEA vs Quoted Comparison'!I60)</f>
        <v/>
      </c>
      <c r="H59" s="11" t="n">
        <f aca="false">'RSEA vs Quoted Comparison'!D60</f>
        <v>49.99</v>
      </c>
      <c r="I59" s="11" t="n">
        <f aca="false">'RSEA vs Quoted Comparison'!E60</f>
        <v>45.4454545454545</v>
      </c>
      <c r="T59" s="11" t="n">
        <f aca="false">IF(COUNT(I59,K59,M59,O59,Q59,S59)=0,"",MIN(I59,K59,M59,O59,Q59,S59))</f>
        <v>45.4454545454545</v>
      </c>
      <c r="U59" s="42" t="n">
        <f aca="false">IF(OR(D59="",T59=""),"",D59/T59-1)</f>
        <v>-0.957311462292458</v>
      </c>
      <c r="V59" s="43" t="str">
        <f aca="false">IF(OR(F59="",T59=""),"",F59/T59-1)</f>
        <v/>
      </c>
      <c r="W59" s="41" t="s">
        <v>276</v>
      </c>
    </row>
    <row r="60" customFormat="false" ht="41.25" hidden="false" customHeight="true" outlineLevel="0" collapsed="false">
      <c r="A60" s="1" t="s">
        <v>225</v>
      </c>
      <c r="B60" s="1" t="s">
        <v>149</v>
      </c>
      <c r="C60" s="41" t="s">
        <v>150</v>
      </c>
      <c r="D60" s="11" t="n">
        <f aca="false">'RSEA vs Quoted Comparison'!F61</f>
        <v>10.69</v>
      </c>
      <c r="E60" s="11" t="n">
        <f aca="false">'RSEA vs Quoted Comparison'!G61</f>
        <v>11.759</v>
      </c>
      <c r="F60" s="11" t="str">
        <f aca="false">IF('RSEA vs Quoted Comparison'!H61="","",'RSEA vs Quoted Comparison'!H61)</f>
        <v/>
      </c>
      <c r="G60" s="11" t="str">
        <f aca="false">IF('RSEA vs Quoted Comparison'!I61="","",'RSEA vs Quoted Comparison'!I61)</f>
        <v/>
      </c>
      <c r="H60" s="11" t="n">
        <f aca="false">'RSEA vs Quoted Comparison'!D61</f>
        <v>49.99</v>
      </c>
      <c r="I60" s="11" t="n">
        <f aca="false">'RSEA vs Quoted Comparison'!E61</f>
        <v>45.4454545454545</v>
      </c>
      <c r="T60" s="11" t="n">
        <f aca="false">IF(COUNT(I60,K60,M60,O60,Q60,S60)=0,"",MIN(I60,K60,M60,O60,Q60,S60))</f>
        <v>45.4454545454545</v>
      </c>
      <c r="U60" s="42" t="n">
        <f aca="false">IF(OR(D60="",T60=""),"",D60/T60-1)</f>
        <v>-0.764772954590918</v>
      </c>
      <c r="V60" s="43" t="str">
        <f aca="false">IF(OR(F60="",T60=""),"",F60/T60-1)</f>
        <v/>
      </c>
      <c r="W60" s="41" t="s">
        <v>276</v>
      </c>
    </row>
    <row r="61" customFormat="false" ht="41.25" hidden="false" customHeight="true" outlineLevel="0" collapsed="false">
      <c r="A61" s="1" t="s">
        <v>225</v>
      </c>
      <c r="B61" s="1" t="s">
        <v>155</v>
      </c>
      <c r="C61" s="41" t="s">
        <v>156</v>
      </c>
      <c r="D61" s="11" t="n">
        <f aca="false">'RSEA vs Quoted Comparison'!F62</f>
        <v>3.201</v>
      </c>
      <c r="E61" s="11" t="n">
        <f aca="false">'RSEA vs Quoted Comparison'!G62</f>
        <v>3.5211</v>
      </c>
      <c r="F61" s="11" t="str">
        <f aca="false">IF('RSEA vs Quoted Comparison'!H62="","",'RSEA vs Quoted Comparison'!H62)</f>
        <v/>
      </c>
      <c r="G61" s="11" t="str">
        <f aca="false">IF('RSEA vs Quoted Comparison'!I62="","",'RSEA vs Quoted Comparison'!I62)</f>
        <v/>
      </c>
      <c r="H61" s="11" t="n">
        <f aca="false">'RSEA vs Quoted Comparison'!D62</f>
        <v>32.99</v>
      </c>
      <c r="I61" s="11" t="n">
        <f aca="false">'RSEA vs Quoted Comparison'!E62</f>
        <v>29.9909090909091</v>
      </c>
      <c r="T61" s="11" t="n">
        <f aca="false">IF(COUNT(I61,K61,M61,O61,Q61,S61)=0,"",MIN(I61,K61,M61,O61,Q61,S61))</f>
        <v>29.9909090909091</v>
      </c>
      <c r="U61" s="42" t="n">
        <f aca="false">IF(OR(D61="",T61=""),"",D61/T61-1)</f>
        <v>-0.893267656865717</v>
      </c>
      <c r="V61" s="43" t="str">
        <f aca="false">IF(OR(F61="",T61=""),"",F61/T61-1)</f>
        <v/>
      </c>
      <c r="W61" s="41" t="s">
        <v>276</v>
      </c>
    </row>
    <row r="62" customFormat="false" ht="41.25" hidden="false" customHeight="true" outlineLevel="0" collapsed="false">
      <c r="A62" s="1" t="s">
        <v>225</v>
      </c>
      <c r="B62" s="1" t="s">
        <v>157</v>
      </c>
      <c r="C62" s="41" t="s">
        <v>158</v>
      </c>
      <c r="D62" s="11" t="n">
        <f aca="false">'RSEA vs Quoted Comparison'!F63</f>
        <v>5.35</v>
      </c>
      <c r="E62" s="11" t="n">
        <f aca="false">'RSEA vs Quoted Comparison'!G63</f>
        <v>5.885</v>
      </c>
      <c r="F62" s="11" t="str">
        <f aca="false">IF('RSEA vs Quoted Comparison'!H63="","",'RSEA vs Quoted Comparison'!H63)</f>
        <v/>
      </c>
      <c r="G62" s="11" t="str">
        <f aca="false">IF('RSEA vs Quoted Comparison'!I63="","",'RSEA vs Quoted Comparison'!I63)</f>
        <v/>
      </c>
      <c r="H62" s="11" t="n">
        <f aca="false">'RSEA vs Quoted Comparison'!D63</f>
        <v>32.99</v>
      </c>
      <c r="I62" s="11" t="n">
        <f aca="false">'RSEA vs Quoted Comparison'!E63</f>
        <v>29.9909090909091</v>
      </c>
      <c r="T62" s="11" t="n">
        <f aca="false">IF(COUNT(I62,K62,M62,O62,Q62,S62)=0,"",MIN(I62,K62,M62,O62,Q62,S62))</f>
        <v>29.9909090909091</v>
      </c>
      <c r="U62" s="42" t="n">
        <f aca="false">IF(OR(D62="",T62=""),"",D62/T62-1)</f>
        <v>-0.821612609881782</v>
      </c>
      <c r="V62" s="43" t="str">
        <f aca="false">IF(OR(F62="",T62=""),"",F62/T62-1)</f>
        <v/>
      </c>
      <c r="W62" s="41" t="s">
        <v>276</v>
      </c>
    </row>
    <row r="63" customFormat="false" ht="41.25" hidden="false" customHeight="true" outlineLevel="0" collapsed="false">
      <c r="A63" s="1" t="s">
        <v>225</v>
      </c>
      <c r="B63" s="1" t="s">
        <v>161</v>
      </c>
      <c r="C63" s="41" t="s">
        <v>162</v>
      </c>
      <c r="D63" s="11" t="n">
        <f aca="false">'RSEA vs Quoted Comparison'!F64</f>
        <v>2.67</v>
      </c>
      <c r="E63" s="11" t="n">
        <f aca="false">'RSEA vs Quoted Comparison'!G64</f>
        <v>2.937</v>
      </c>
      <c r="F63" s="11" t="str">
        <f aca="false">IF('RSEA vs Quoted Comparison'!H64="","",'RSEA vs Quoted Comparison'!H64)</f>
        <v/>
      </c>
      <c r="G63" s="11" t="str">
        <f aca="false">IF('RSEA vs Quoted Comparison'!I64="","",'RSEA vs Quoted Comparison'!I64)</f>
        <v/>
      </c>
      <c r="H63" s="11" t="n">
        <f aca="false">'RSEA vs Quoted Comparison'!D64</f>
        <v>32.99</v>
      </c>
      <c r="I63" s="11" t="n">
        <f aca="false">'RSEA vs Quoted Comparison'!E64</f>
        <v>29.9909090909091</v>
      </c>
      <c r="T63" s="11" t="n">
        <f aca="false">IF(COUNT(I63,K63,M63,O63,Q63,S63)=0,"",MIN(I63,K63,M63,O63,Q63,S63))</f>
        <v>29.9909090909091</v>
      </c>
      <c r="U63" s="42" t="n">
        <f aca="false">IF(OR(D63="",T63=""),"",D63/T63-1)</f>
        <v>-0.910973022127918</v>
      </c>
      <c r="V63" s="43" t="str">
        <f aca="false">IF(OR(F63="",T63=""),"",F63/T63-1)</f>
        <v/>
      </c>
      <c r="W63" s="41" t="s">
        <v>276</v>
      </c>
    </row>
    <row r="64" customFormat="false" ht="81.75" hidden="false" customHeight="true" outlineLevel="0" collapsed="false">
      <c r="A64" s="1" t="s">
        <v>225</v>
      </c>
      <c r="B64" s="1" t="s">
        <v>163</v>
      </c>
      <c r="C64" s="41" t="s">
        <v>164</v>
      </c>
      <c r="D64" s="11" t="n">
        <f aca="false">'RSEA vs Quoted Comparison'!F65</f>
        <v>10.69</v>
      </c>
      <c r="E64" s="11" t="n">
        <f aca="false">'RSEA vs Quoted Comparison'!G65</f>
        <v>11.759</v>
      </c>
      <c r="F64" s="11" t="str">
        <f aca="false">IF('RSEA vs Quoted Comparison'!H65="","",'RSEA vs Quoted Comparison'!H65)</f>
        <v/>
      </c>
      <c r="G64" s="11" t="str">
        <f aca="false">IF('RSEA vs Quoted Comparison'!I65="","",'RSEA vs Quoted Comparison'!I65)</f>
        <v/>
      </c>
      <c r="H64" s="11" t="n">
        <f aca="false">'RSEA vs Quoted Comparison'!D65</f>
        <v>32.99</v>
      </c>
      <c r="I64" s="11" t="n">
        <f aca="false">'RSEA vs Quoted Comparison'!E65</f>
        <v>29.9909090909091</v>
      </c>
      <c r="J64" s="11" t="n">
        <v>30</v>
      </c>
      <c r="K64" s="11" t="n">
        <f aca="false">J64/1.1</f>
        <v>27.2727272727273</v>
      </c>
      <c r="L64" s="11" t="n">
        <v>33.19</v>
      </c>
      <c r="M64" s="11" t="n">
        <f aca="false">L64/1.1</f>
        <v>30.1727272727273</v>
      </c>
      <c r="N64" s="11" t="n">
        <v>36.5</v>
      </c>
      <c r="O64" s="11" t="n">
        <f aca="false">N64/1.1</f>
        <v>33.1818181818182</v>
      </c>
      <c r="P64" s="11" t="n">
        <v>40.59</v>
      </c>
      <c r="Q64" s="11" t="n">
        <f aca="false">P64/1.1</f>
        <v>36.9</v>
      </c>
      <c r="R64" s="11" t="n">
        <v>35.06</v>
      </c>
      <c r="S64" s="11" t="n">
        <f aca="false">R64/1.1</f>
        <v>31.8727272727273</v>
      </c>
      <c r="T64" s="11" t="n">
        <f aca="false">IF(COUNT(I64,K64,M64,O64,Q64,S64)=0,"",MIN(I64,K64,M64,O64,Q64,S64))</f>
        <v>27.2727272727273</v>
      </c>
      <c r="U64" s="42" t="n">
        <f aca="false">IF(OR(D64="",T64=""),"",D64/T64-1)</f>
        <v>-0.608033333333333</v>
      </c>
      <c r="V64" s="43" t="str">
        <f aca="false">IF(OR(F64="",T64=""),"",F64/T64-1)</f>
        <v/>
      </c>
      <c r="W64" s="41" t="s">
        <v>346</v>
      </c>
    </row>
    <row r="66" customFormat="false" ht="15" hidden="false" customHeight="true" outlineLevel="0" collapsed="false">
      <c r="A66" s="44" t="s">
        <v>226</v>
      </c>
    </row>
    <row r="67" customFormat="false" ht="15" hidden="false" customHeight="true" outlineLevel="0" collapsed="false">
      <c r="A67" s="35" t="s">
        <v>287</v>
      </c>
      <c r="B67" s="35"/>
      <c r="C67" s="35"/>
      <c r="D67" s="45" t="n">
        <f aca="false">COUNTA(B5:B64)</f>
        <v>60</v>
      </c>
    </row>
    <row r="68" customFormat="false" ht="15" hidden="false" customHeight="true" outlineLevel="0" collapsed="false">
      <c r="A68" s="35" t="s">
        <v>347</v>
      </c>
      <c r="B68" s="35"/>
      <c r="C68" s="35"/>
      <c r="D68" s="45" t="n">
        <f aca="false">COUNT(K5:K64)+COUNT(M5:M64)+COUNT(O5:O64)+COUNT(Q5:Q64)+COUNT(S5:S64)</f>
        <v>135</v>
      </c>
    </row>
    <row r="69" customFormat="false" ht="15" hidden="false" customHeight="true" outlineLevel="0" collapsed="false">
      <c r="A69" s="35" t="s">
        <v>289</v>
      </c>
      <c r="B69" s="35"/>
      <c r="C69" s="35"/>
      <c r="D69" s="45" t="n">
        <f aca="false">COUNTIF(U5:U64,"&lt;0")</f>
        <v>53</v>
      </c>
    </row>
    <row r="70" customFormat="false" ht="15" hidden="false" customHeight="true" outlineLevel="0" collapsed="false">
      <c r="A70" s="35" t="s">
        <v>290</v>
      </c>
      <c r="B70" s="35"/>
      <c r="C70" s="35"/>
      <c r="D70" s="45" t="n">
        <f aca="false">COUNTIF(U5:U64,"&gt;0")</f>
        <v>7</v>
      </c>
    </row>
    <row r="71" customFormat="false" ht="15" hidden="false" customHeight="true" outlineLevel="0" collapsed="false">
      <c r="A71" s="35" t="s">
        <v>291</v>
      </c>
      <c r="B71" s="35"/>
      <c r="C71" s="35"/>
      <c r="D71" s="46" t="n">
        <f aca="false">AVERAGE(U5:U64)</f>
        <v>-0.519185577856903</v>
      </c>
    </row>
    <row r="72" customFormat="false" ht="15" hidden="false" customHeight="true" outlineLevel="0" collapsed="false">
      <c r="A72" s="35" t="s">
        <v>292</v>
      </c>
      <c r="B72" s="35"/>
      <c r="C72" s="35"/>
      <c r="D72" s="46" t="n">
        <f aca="false">MEDIAN(U5:U64)</f>
        <v>-0.578387096774194</v>
      </c>
    </row>
    <row r="73" customFormat="false" ht="15" hidden="false" customHeight="false" outlineLevel="0" collapsed="false">
      <c r="A73" s="47" t="s">
        <v>293</v>
      </c>
      <c r="B73" s="47"/>
      <c r="C73" s="47"/>
      <c r="D73" s="48" t="n">
        <f aca="false">COUNTIF(V5:V64,"&lt;0")</f>
        <v>15</v>
      </c>
    </row>
    <row r="74" customFormat="false" ht="15" hidden="false" customHeight="false" outlineLevel="0" collapsed="false">
      <c r="A74" s="47" t="s">
        <v>294</v>
      </c>
      <c r="B74" s="47"/>
      <c r="C74" s="47"/>
      <c r="D74" s="48" t="n">
        <f aca="false">COUNTIF(V5:V64,"&gt;0")</f>
        <v>7</v>
      </c>
    </row>
    <row r="75" customFormat="false" ht="15" hidden="false" customHeight="false" outlineLevel="0" collapsed="false">
      <c r="A75" s="47" t="s">
        <v>295</v>
      </c>
      <c r="B75" s="47"/>
      <c r="C75" s="47"/>
      <c r="D75" s="49" t="n">
        <f aca="false">AVERAGE(V5:V64)</f>
        <v>-0.223317997504827</v>
      </c>
    </row>
    <row r="76" customFormat="false" ht="15" hidden="false" customHeight="false" outlineLevel="0" collapsed="false">
      <c r="A76" s="47" t="s">
        <v>296</v>
      </c>
      <c r="B76" s="47"/>
      <c r="C76" s="47"/>
      <c r="D76" s="49" t="n">
        <f aca="false">MEDIAN(V5:V64)</f>
        <v>-0.395165191932336</v>
      </c>
    </row>
  </sheetData>
  <mergeCells count="13">
    <mergeCell ref="A1:V1"/>
    <mergeCell ref="A2:V2"/>
    <mergeCell ref="A3:V3"/>
    <mergeCell ref="A67:C67"/>
    <mergeCell ref="A68:C68"/>
    <mergeCell ref="A69:C69"/>
    <mergeCell ref="A70:C70"/>
    <mergeCell ref="A71:C71"/>
    <mergeCell ref="A72:C72"/>
    <mergeCell ref="A73:C73"/>
    <mergeCell ref="A74:C74"/>
    <mergeCell ref="A75:C75"/>
    <mergeCell ref="A76:C7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
  <dc:description/>
  <dc:language>en-US</dc:language>
  <cp:lastModifiedBy>Jonathan Sum</cp:lastModifiedBy>
  <dcterms:modified xsi:type="dcterms:W3CDTF">2026-10-14T22:28:43Z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