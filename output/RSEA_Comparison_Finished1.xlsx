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Confirmed)" sheetId="7" state="visible" r:id="rId9"/>
    <sheet name="Market Comparison (Assume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<sst xmlns="http://schemas.openxmlformats.org/spreadsheetml/2006/main" count="1049" uniqueCount="346">
  <si>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</si>
  <si>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</si>
  <si>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</si>
  <si>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</si>
  <si>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</si>
  <si>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</si>
  <si>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</si>
  <si>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</si>
  <si>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</si>
  <si>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</si>
  <si>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</si>
  <si>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</si>
  <si>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</si>
  <si>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</si>
  <si>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</si>
  <si>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</si>
  <si>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</si>
  <si>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</si>
  <si>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</si>
  <si>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</si>
  <si>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</si>
  <si>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</si>
  <si>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</si>
  <si>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</si>
  <si>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</si>
  <si>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</si>
  <si>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</si>
  <si>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</si>
  <si>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</si>
  <si>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</si>
  <si>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</si>
  <si>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</si>
  <si>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</si>
  <si>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</si>
  <si>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</si>
  <si>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</si>
  <si>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</si>
  <si>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</si>
  <si>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</si>
  <si>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</si>
  <si>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</si>
  <si>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</si>
  <si>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</si>
  <si>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</si>
  <si>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</si>
  <si>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</si>
  <si>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</si>
  <si>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</si>
  <si>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</si>
  <si>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</si>
  <si>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</si>
  <si>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</si>
  <si>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</si>
  <si>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</si>
  <si>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</si>
  <si>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</si>
  <si>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</si>
  <si>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</si>
  <si>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</si>
  <si>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</si>
  <si>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</si>
  <si>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</si>
  <si>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</si>
  <si>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</si>
  <si>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</si>
  <si>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</si>
  <si>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</si>
  <si>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</si>
  <si>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</si>
  <si>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</si>
  <si>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</si>
  <si>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</si>
  <si>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</si>
  <si>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</si>
  <si>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</si>
  <si>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</si>
  <si>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</si>
  <si>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</si>
  <si>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</si>
  <si>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</si>
  <si>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</si>
  <si>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</si>
  <si>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</si>
  <si>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</si>
  <si>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</si>
  <si>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</si>
  <si>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</si>
  <si>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</si>
  <si>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</si>
  <si>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</si>
  <si>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</si>
  <si>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</si>
  <si>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</si>
  <si>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</si>
  <si>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</si>
  <si>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</si>
  <si>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</si>
  <si>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</si>
  <si>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</si>
  <si>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</si>
  <si>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</si>
  <si>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</si>
  <si>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</si>
  <si>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</si>
  <si>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</si>
  <si>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</si>
  <si>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</si>
  <si>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</si>
  <si>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</si>
  <si>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</si>
  <si>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</si>
  <si>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</si>
  <si>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</si>
  <si>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</si>
  <si>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</si>
  <si>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</si>
  <si>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</si>
  <si>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</si>
  <si>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</si>
  <si>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</si>
  <si>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</si>
  <si>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</si>
  <si>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</si>
  <si>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</si>
  <si>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</si>
  <si>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</si>
  <si>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</si>
  <si>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</si>
  <si>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</si>
  <si>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</si>
  <si>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</si>
  <si>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</si>
  <si>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</si>
  <si>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</si>
  <si>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</si>
  <si>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</si>
  <si>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</si>
  <si>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</si>
  <si>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</si>
  <si>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</si>
  <si>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</si>
  <si>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</si>
  <si>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</si>
  <si>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</si>
  <si>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</si>
  <si>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</si>
  <si>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</si>
  <si>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</si>
  <si>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</si>
  <si>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</si>
  <si>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</si>
  <si>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</si>
  <si>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</si>
  <si>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</si>
  <si>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</si>
  <si>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</si>
  <si>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</si>
  <si>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</si>
  <si>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</si>
  <si>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</si>
  <si>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</si>
  <si>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</si>
  <si>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</si>
  <si>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</si>
  <si>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</si>
  <si>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</si>
  <si>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</si>
  <si>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</si>
  <si>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</si>
  <si>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</si>
  <si>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</si>
  <si>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</si>
  <si>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</si>
  <si>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</si>
  <si>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</si>
  <si>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</si>
  <si>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</si>
  <si>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</si>
  <si>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</si>
  <si>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</si>
  <si>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</si>
  <si>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</si>
  <si>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</si>
  <si>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</si>
  <si>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</si>
  <si>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</si>
  <si>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</si>
  <si>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</si>
  <si>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</si>
  <si>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</si>
  <si>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</si>
  <si>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</si>
  <si>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</si>
  <si>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</si>
  <si>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</si>
  <si>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</si>
  <si>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</si>
  <si>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</si>
  <si>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</si>
  <si>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</si>
  <si>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</si>
  <si>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</si>
  <si>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</si>
  <si>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</si>
  <si>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</si>
  <si>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</si>
  <si>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</si>
  <si>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</si>
  <si>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</si>
  <si>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</si>
  <si>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</si>
  <si>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</si>
  <si>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</si>
  <si>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</si>
  <si>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</si>
  <si>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</si>
  <si>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</si>
  <si>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</si>
  <si>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</si>
  <si>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</si>
  <si>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</si>
  <si>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</si>
  <si>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</si>
  <si>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</si>
  <si>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</si>
  <si>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</si>
  <si>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</si>
  <si>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</si>
  <si>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</si>
  <si>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</si>
  <si>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Retailers With a CONFIRMED GST Basis</t>
  </si>
  <si>
    <t xml:space="preserve">Methodology: this sheet only includes retailers whose product pages explicitly state (or unambiguously imply) whether their displayed price is inc or ex GST, so every figure below can be safely converted to the opposite basis and compared like-for-like. HiVis (hivis.com) states its prices EX GST. Jaybro and eSafety Supplies state their prices INC GST with the ex-GST figure also shown on-page. All Trades Group marks its prices "Tax included", treated here as INC GST. Our Quoted Price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</si>
  <si>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Blank cells mean that retailer does not appear to carry a comparable product. See the 'Market Comparison (Assumed)' sheet for the five retailers whose GST basis is not stated — deliberately kept separate so confirmed and assumed figures are never mixed. Sources: hivis.com/collections/signage · jaybro.com.au/road-traffic/permanent-signs/regulatory-signs/ · alltradesgroup.net.au/collections/site-safety-signage-roads-traffic-signs · esafetysupplies.com.au/collections/traffic-road-safety-sign</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</si>
  <si>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</si>
  <si>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</si>
  <si>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</si>
  <si>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</si>
  <si>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</si>
  <si>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</si>
  <si>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</si>
  <si>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</si>
  <si>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Cheapest of RSEA +
4 Competitors (ex GST)</t>
  </si>
  <si>
    <t xml:space="preserve">Our Quote vs Cheapest
(ex GST; negative = we're cheaper)</t>
  </si>
  <si>
    <t xml:space="preserve">Notes / Match Basis</t>
  </si>
  <si>
    <t xml:space="preserve">All Trades Group: 300x225 poly or 600x450; no exact 450x300 | eSafety Supplies: 600x450 also stocked</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</si>
  <si>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</si>
  <si>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t>
  </si>
  <si>
    <t xml:space="preserve">HiVis: 750/900/1200mm | Jaybro: 750x750 exact | All Trades Group: 750mm triangular | eSafety Supplies: 750mm triangle</t>
  </si>
  <si>
    <t xml:space="preserve">HiVis: 300x400/450x600/600x800 | Jaybro: 450x600 exact | All Trades Group: 600x450mm | eSafety Supplies: 450x600 exact, sale price (was 86.65)</t>
  </si>
  <si>
    <t xml:space="preserve">HiVis: 600/750/900mm | Jaybro: 600mm exact | All Trades Group: 600x600 or 750x750 (W6-1, size differs from 600mm round) | eSafety Supplies: 600mm exact</t>
  </si>
  <si>
    <t xml:space="preserve">HiVis: 10km/h, 450x600/600x800/900x1200 | Jaybro: 10km/h, 450x600 exact | All Trades Group: 10km/h, 300x225 or 600x450 | eSafety Supplies: 10km/h, 450x600 exact</t>
  </si>
  <si>
    <t xml:space="preserve">HiVis: 450x750, size differs from 450x450 | Jaybro: 450x450 exact | All Trades Group: 600x450, size differs | eSafety Supplies: 450x450 exact</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</si>
  <si>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</si>
  <si>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</si>
  <si>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</si>
  <si>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t>
  </si>
  <si>
    <t xml:space="preserve">HiVis: 10km/h SKU reused, size differs (600x800 etc not 600x400) | All Trades Group: 10km/h SKU reused, size differs | eSafety Supplies: 10km/h, 450x600 (combined with item 5), not 600x400</t>
  </si>
  <si>
    <t xml:space="preserve">HiVis: 225x450, size differs from 450x300 | Jaybro: 225x450, size differs | All Trades Group: 300x225, size differs | eSafety Supplies: 225x450, closest size</t>
  </si>
  <si>
    <t xml:space="preserve">HiVis: 225x450, much smaller than 600x450 target | Jaybro: 225x450, size differs | All Trades Group: 225x450, size differs | eSafety Supplies: 300x450 shown / 600x450 also stocked</t>
  </si>
  <si>
    <t xml:space="preserve">Jaybro: 225x450, size differs from 300x450 | All Trades Group: 'No Stopping' dual arrow closest wording, 225x450 | eSafety Supplies: 300x450 exact</t>
  </si>
  <si>
    <t xml:space="preserve">HiVis: 225x450, close to 450x300 | Jaybro: 225x450, close | All Trades Group: 225x450, same SKU as 686503 | eSafety Supplies: 300x450, close</t>
  </si>
  <si>
    <t xml:space="preserve">Jaybro: Found differently-worded 'No Entry Authorised Prohibition' 600x450 $39.58inc/$35.98ex - size differs, see notes | All Trades Group: 450x300 exact size option available | eSafety Supplies: 300x450, 600x450 also stocked</t>
  </si>
  <si>
    <t xml:space="preserve">869339</t>
  </si>
  <si>
    <t xml:space="preserve">Jaybro: Not found | All Trades Group: 450x300 exact size option | eSafety Supplies: 300x450, 3mm ACP</t>
  </si>
  <si>
    <t xml:space="preserve">HiVis: Not stocked (no 5km/h plate) | Jaybro: Not found separately | All Trades Group: Generic 5km/h reused, CL1 reflective not confirmed | eSafety Supplies: 5km/h, confirmed '1.6mm aluminium Class1 reflective' - good match</t>
  </si>
  <si>
    <t xml:space="preserve">HiVis: 20km/h, SKU reused across speeds | Jaybro: 20km/h, 450x600 exact | All Trades Group: 20km/h, 600x450 dedicated item | eSafety Supplies: 20km/h, 450x600 dedicated item</t>
  </si>
  <si>
    <t xml:space="preserve">HiVis: 1800x600, Boxed Edge STEEL not corflute - material/size differ | Jaybro: Not found (only POA corflute detour sign on site) | All Trades Group: Only $199.50 swing-stand version, not flat panel | eSafety Supplies: Not found</t>
  </si>
  <si>
    <t xml:space="preserve">eSafety Supplies: Not found</t>
  </si>
  <si>
    <t xml:space="preserve">HiVis: 1200x900, Boxed Edge STEEL 'Workmen Ahead Digger Man' not corflute | All Trades Group: Only swing-stand version exists</t>
  </si>
  <si>
    <t xml:space="preserve">HiVis: 900x1200, Boxed Edge STEEL '40,60km/h Roadwork' not corflute</t>
  </si>
  <si>
    <t xml:space="preserve">HiVis: 900x1200, Boxed Edge STEEL, same SKU as 60km item</t>
  </si>
  <si>
    <t xml:space="preserve">HiVis: From; 900x600/1200x900, Boxed Edge STEEL not corflute</t>
  </si>
  <si>
    <t xml:space="preserve">HiVis: From; 1800x600/2400x900, Boxed Edge STEEL not corflute | All Trades Group: 600x600, confirmed 6mm corflute, size differs from 1200x300</t>
  </si>
  <si>
    <t xml:space="preserve">No comparable product found at any of the 9 researched retailers - likely generic site-safety signage outside their core road/traffic-sign range.</t>
  </si>
  <si>
    <t xml:space="preserve">HiVis: 1800x300, Boxed Edge STEEL not corflute</t>
  </si>
  <si>
    <t xml:space="preserve">HiVis: From; 1200x300/1800x450, material likely alu/boxed-edge not corflute | All Trades Group: 1200x300 Class1, 'boxed edge' material not confirmed as corflute</t>
  </si>
  <si>
    <t xml:space="preserve">HiVis: From; same as left-arrow SKU | All Trades Group: same note as detour left</t>
  </si>
  <si>
    <t xml:space="preserve">HiVis: 1200x300, 3mm aluminium Class400, not corflute but same size | eSafety Supplies: 1200x300, steel 3M Class1, NOT corflute</t>
  </si>
  <si>
    <t xml:space="preserve">Jaybro: 300x225 exact | All Trades Group: two fetches disagreed (42.50 vs 28.30); 300x225/450x300/600x450 avail | eSafety Supplies: 300x450, closest size</t>
  </si>
  <si>
    <t xml:space="preserve">Jaybro: 600x450 exact | All Trades Group: 600x450 exact | eSafety Supplies: 600x450 exact</t>
  </si>
  <si>
    <t xml:space="preserve">Jaybro: wording lacks 'By Permit'</t>
  </si>
  <si>
    <t xml:space="preserve">Jaybro: 225x300, size differs from 450x300 | All Trades Group: 450x300 exact size | eSafety Supplies: 300x450, size differs slightly, polypropylene</t>
  </si>
  <si>
    <t xml:space="preserve">Jaybro: 150x150, size differs from 225x225 | All Trades Group: 150x225, size differs | eSafety Supplies: 300x450, closest, '600x450 also stocked'</t>
  </si>
  <si>
    <t xml:space="preserve">All Trades Group: 900x600 corflute, size differs (larger)</t>
  </si>
  <si>
    <t xml:space="preserve">Items compared (60 total line items)</t>
  </si>
  <si>
    <t xml:space="preserve">Total price points captured across these 4 retailers (ex GST columns)</t>
  </si>
  <si>
    <t xml:space="preserve">Items where our quote is cheaper than the cheapest of RSEA/competitors</t>
  </si>
  <si>
    <t xml:space="preserve">Items where RSEA or a competitor undercuts our quote</t>
  </si>
  <si>
    <t xml:space="preserve">Average of (our quote ÷ cheapest of RSEA/competitors − 1), ex GST — negative means our quote is cheaper</t>
  </si>
  <si>
    <t xml:space="preserve">Median of (our quote ÷ cheapest of RSEA/competitors − 1), ex GST — negative means our quote is cheaper</t>
  </si>
  <si>
    <t xml:space="preserve">Market-Wide Price Comparison — Retailers With an ASSUMED (Unconfirmed) GST Basis</t>
  </si>
  <si>
    <t xml:space="preserve">Methodology: none of these five retailers state anywhere on their product pages, cart, or FAQ whether displayed prices are inc or ex GST (checked multiple product pages and, where available, each site's Shipping/FAQ pages). To give this sheet the SAME column structure as 'Market Comparison (Confirmed)', every price captured here is ASSUMED to be INC GST — the standard default for Australian consumer-facing retail — and the ex-GST figure is calculated as (price ÷ 1.1). This is an assumption, not a confirmed fact: every price and every column on this sheet is marked ASSUMED, and all totals/percentages below inherit that uncertainty.</t>
  </si>
  <si>
    <t xml:space="preserve">Do not treat this sheet's figures with the same confidence as the Confirmed sheet — verify GST treatment at checkout on the retailer's own site before using these numbers commercially. Seton (seton.net.au) additionally blocked direct automated access (403/bot protection), so its figures were recovered only from search-engine cache and are further flagged LOW CONFIDENCE in the Notes column — several Seton rows showed conflicting cached prices. Sources: safetysigns.com.au/collections/road-car-park-signs · safetyxpress.com.au/traffic-signs/ · trafficcontrolproducts.com.au/collections/road-signs-traffic · nationalsafetysigns.com.au/product-category/road-and-traffic-signs/road-signs/ · seton.net.au. Captured 14 October 2026.</t>
  </si>
  <si>
    <t xml:space="preserve">Safety Signs Australia
(inc GST, ASSUMED)</t>
  </si>
  <si>
    <t xml:space="preserve">Safety Signs Australia
(ex GST, calc., ASSUMED)</t>
  </si>
  <si>
    <t xml:space="preserve">SafetyXpress
(inc GST, ASSUMED)</t>
  </si>
  <si>
    <t xml:space="preserve">SafetyXpress
(ex GST, calc., ASSUMED)</t>
  </si>
  <si>
    <t xml:space="preserve">Traffic Control Products
(inc GST, ASSUMED)</t>
  </si>
  <si>
    <t xml:space="preserve">Traffic Control Products
(ex GST, calc., ASSUMED)</t>
  </si>
  <si>
    <t xml:space="preserve">National Safety Signs
(inc GST, ASSUMED)</t>
  </si>
  <si>
    <t xml:space="preserve">National Safety Signs
(ex GST, calc., ASSUMED)</t>
  </si>
  <si>
    <t xml:space="preserve">Seton
(inc GST, ASSUMED)</t>
  </si>
  <si>
    <t xml:space="preserve">Seton
(ex GST, calc., ASSUMED)</t>
  </si>
  <si>
    <t xml:space="preserve">Cheapest of RSEA +
5 Competitors (ex GST)</t>
  </si>
  <si>
    <t xml:space="preserve">Safety Signs Australia: 450x600, size differs | SafetyXpress: 3 sizes incl 300x450 | National Safety Signs: From, S2870 | Seton: LOW conf; 'Video Surveillance In Use', 300-450mm range | GST basis ASSUMED, not confirmed by retailer</t>
  </si>
  <si>
    <t xml:space="preserve">Swing-stand temporary traffic-control sign - no comparable product found at any of the 9 researched retailers. | GST basis ASSUMED, not confirmed by retailer</t>
  </si>
  <si>
    <t xml:space="preserve">Safety Signs Australia: 600x600 Class1 refl alu | SafetyXpress: range 84.67-127.50, midpoint used | Traffic Control Products: 600x600 'Hexagonal' CL1X (alt 750x750=$75) | National Safety Signs: From, 600x600 or 750x750 | Seton: LOW conf - conflicting cache (also 183.95/169.50) | GST basis ASSUMED, not confirmed by retailer</t>
  </si>
  <si>
    <t xml:space="preserve">Safety Signs Australia: 750mm | SafetyXpress: 750mm | Traffic Control Products: 750mm | National Safety Signs: From, 750 or 900mm | Seton: LOW conf - 6-pack bulk tier price, single-unit unconfirmed | GST basis ASSUMED, not confirmed by retailer</t>
  </si>
  <si>
    <t xml:space="preserve">Safety Signs Australia: 450x600 | SafetyXpress: 450x600 | Traffic Control Products: 450x600 | National Safety Signs: From, 400x300/600x450/800x600 | Seton: MEDIUM conf, 450x600 | GST basis ASSUMED, not confirmed by retailer</t>
  </si>
  <si>
    <t xml:space="preserve">Safety Signs Australia: 600mm dia | SafetyXpress: 600mm dia | Traffic Control Products: 600mm dia | National Safety Signs: From, 600 or 750mm round | Seton: MEDIUM conf, 600mm dia | GST basis ASSUMED, not confirmed by retailer</t>
  </si>
  <si>
    <t xml:space="preserve">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GST basis ASSUMED, not confirmed by retailer</t>
  </si>
  <si>
    <t xml:space="preserve">Safety Signs Australia: 450x450 exact | SafetyXpress: range 72.28-80.84, 450x450 exact | Traffic Control Products: 450x750, size differs | National Safety Signs: From, 450x450 avail | Seton: MEDIUM conf, 750x750 (not 450x450) | GST basis ASSUMED, not confirmed by retailer</t>
  </si>
  <si>
    <t xml:space="preserve">Generic site/warehouse danger sign - no comparable product found at any of the 9 researched retailers (out of scope: these retailers focus on road/traffic signage). | GST basis ASSUMED, not confirmed by retailer</t>
  </si>
  <si>
    <t xml:space="preserve">No metal-sign equivalent found at the 9 researched retailers for this specific size/material. See RSEA 685265 (Poly, Confined Space Entry By Permit) below for comparable market data. | GST basis ASSUMED, not confirmed by retailer</t>
  </si>
  <si>
    <t xml:space="preserve">Generic site/warehouse safety sign - no comparable product found at any of the 9 researched retailers. | GST basis ASSUMED, not confirmed by retailer</t>
  </si>
  <si>
    <t xml:space="preserve">Safety Signs Australia: 5km/h, 450x600, not 600x400 | SafetyXpress: 5km/h plain metal, 450x600 | Traffic Control Products: Not stocked | National Safety Signs: From; shared custom-text speed sign | Seton: Not confirmed | GST basis ASSUMED, not confirmed by retailer</t>
  </si>
  <si>
    <t xml:space="preserve">Safety Signs Australia: 10km/h SKU reused, size differs | SafetyXpress: 10km/h, size differs | Traffic Control Products: Not stocked | National Safety Signs: From; shared custom-text speed sign | GST basis ASSUMED, not confirmed by retailer</t>
  </si>
  <si>
    <t xml:space="preserve">Safety Signs Australia: 300x450, size differs | SafetyXpress: 300x450, size differs | Traffic Control Products: Not found | National Safety Signs: From | Seton: From, inc GST, 300x450 | GST basis ASSUMED, not confirmed by retailer</t>
  </si>
  <si>
    <t xml:space="preserve">Safety Signs Australia: Not found - only 300x450 exists | SafetyXpress: 600x450 variant, exact size | Traffic Control Products: Only directional-arrow variants stocked | National Safety Signs: From, generic RD124 | GST basis ASSUMED, not confirmed by retailer</t>
  </si>
  <si>
    <t xml:space="preserve">Safety Signs Australia: 300x450 exact | SafetyXpress: 300x450 exact (upper of range) | Traffic Control Products: Not found | National Safety Signs: From, 'Bi-Directional' closest to double arrow | Seton: LOW conf - promo pricing, 300x450 exact | GST basis ASSUMED, not confirmed by retailer</t>
  </si>
  <si>
    <t xml:space="preserve">Safety Signs Australia: 300x450, close | SafetyXpress: 300x450, close | Traffic Control Products: Not found | National Safety Signs: From, shared with 686503 | GST basis ASSUMED, not confirmed by retailer</t>
  </si>
  <si>
    <t xml:space="preserve">Safety Signs Australia: 450x600, size differs | SafetyXpress: range 33.19-35.73, no exact 450x300 | Traffic Control Products: 450x300 exact, poly | National Safety Signs: From, R2543 'Restricted Area Do Not Enter' | GST basis ASSUMED, not confirmed by retailer</t>
  </si>
  <si>
    <t xml:space="preserve">Safety Signs Australia: 300x450, close | SafetyXpress: 300x450, close | Traffic Control Products: Not found | National Safety Signs: From | Seton: From, inc GST, 300x450 | GST basis ASSUMED, not confirmed by retailer</t>
  </si>
  <si>
    <t xml:space="preserve">Safety Signs Australia: Generic 5km/h reused, size/spec differs | SafetyXpress: CL1/400 reflective alu, 450x600 - good match | Traffic Control Products: Not stocked | National Safety Signs: From; shared custom-text speed sign | GST basis ASSUMED, not confirmed by retailer</t>
  </si>
  <si>
    <t xml:space="preserve">Safety Signs Australia: 20km/h, 450x600 | SafetyXpress: CL1/400 reflective, range 98.07-130.08, midpoint | Traffic Control Products: Not stocked | National Safety Signs: From; shared custom-text speed sign | GST basis ASSUMED, not confirmed by retailer</t>
  </si>
  <si>
    <t xml:space="preserve">Safety Signs Australia: 300x1200, 6mm Corflute Class1 - exact match | SafetyXpress: 1200x300 corflute - good match | Traffic Control Products: 1200x300 corflute, SOLD OUT at capture | National Safety Signs: Not found | GST basis ASSUMED, not confirmed by retailer</t>
  </si>
  <si>
    <t xml:space="preserve">Safety Signs Australia: 600x600, 6mm Corflute Class1 - exact match (confirms Jess's size assumption) | SafetyXpress: range 30.24-64.03 incl 600x600 | Traffic Control Products: Not found separately | National Safety Signs: From, was 70.65, 600x600 MM981, yellow colour not confirmed | GST basis ASSUMED, not confirmed by retailer</t>
  </si>
  <si>
    <t xml:space="preserve">Safety Signs Australia: 600x600, 'Workmen' closest wording, 6mm Corflute | SafetyXpress: range 58.84-114.86 incl 600x600 | Traffic Control Products: 600x600, 'Digger Workman' corflute MMS - good match | National Safety Signs: Not found (closest is different boxed-edge sign) | GST basis ASSUMED, not confirmed by retailer</t>
  </si>
  <si>
    <t xml:space="preserve">Safety Signs Australia: 600x600, '60 KM' 6mm Corflute - exact match | SafetyXpress: 600x600 corflute - exact match | Traffic Control Products: Not found (TCP only has 40/END40, no plain 60) | National Safety Signs: From, was 70.65, MM916 '60 kph' 600x600 | GST basis ASSUMED, not confirmed by retailer</t>
  </si>
  <si>
    <t xml:space="preserve">Safety Signs Australia: 600x600, '40 KM' 6mm Corflute - exact match | SafetyXpress: 600x600 corflute - exact match | Traffic Control Products: 600x600, '40 (Speed)' corflute MMS - exact match | National Safety Signs: From, was 70.65, MM915 '40 kph' 600x600 | GST basis ASSUMED, not confirmed by retailer</t>
  </si>
  <si>
    <t xml:space="preserve">Safety Signs Australia: 300x1200, 6mm Corflute - exact size &amp; material | SafetyXpress: range 58.84-59.26, 600x600 or 1200x300 corflute | Traffic Control Products: 600x600, 'PTS' corflute MMS, size differs from 1200x300 | National Safety Signs: From, was 70.65, MM914, 600x600, size differs | GST basis ASSUMED, not confirmed by retailer</t>
  </si>
  <si>
    <t xml:space="preserve">Safety Signs Australia: 300x1200, 6mm Corflute - exact match | SafetyXpress: range 57.75-90.17 incl 1200x300 | Traffic Control Products: 1200x300, corflute MMS reflective - exact match | National Safety Signs: From, was 70.65, MM920, 600x600, size differs | GST basis ASSUMED, not confirmed by retailer</t>
  </si>
  <si>
    <t xml:space="preserve">Safety Signs Australia: 300x1200, 6mm Corflute - exact match | SafetyXpress: 1200x300 corflute - exact match | Traffic Control Products: 1200x300, 'White on Blue' corflute MMS - exact match | National Safety Signs: Not found | GST basis ASSUMED, not confirmed by retailer</t>
  </si>
  <si>
    <t xml:space="preserve">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 | GST basis ASSUMED, not confirmed by retailer</t>
  </si>
  <si>
    <t xml:space="preserve">Safety Signs Australia: 300x1200, 6mm Corflute - exact match | SafetyXpress: 1200x300 corflute - exact match | Traffic Control Products: Only alu Boxed Edge ~$109.65, not corflute | National Safety Signs: INC GST; T5-1BL boxed-edge ALU not corflute, ~900x600 size differs | GST basis ASSUMED, not confirmed by retailer</t>
  </si>
  <si>
    <t xml:space="preserve">Safety Signs Australia: 300x1200, 6mm Corflute - exact match | SafetyXpress: 1200x300 corflute - exact match | Traffic Control Products: Only alu Boxed Edge ~$109.65, not corflute | National Safety Signs: INC GST; T5-1BR boxed-edge ALU not corflute | GST basis ASSUMED, not confirmed by retailer</t>
  </si>
  <si>
    <t xml:space="preserve">Safety Signs Australia: 300x1200, 6mm Corflute - exact match | SafetyXpress: 1200x300 MMS board, corflute | Traffic Control Products: 1200x300, Boxed Edge, NOT corflute | National Safety Signs: From, was 70.65, MM905 right variant, 600x600, size differs | GST basis ASSUMED, not confirmed by retailer</t>
  </si>
  <si>
    <t xml:space="preserve">Safety Signs Australia: 300x1200, 6mm Corflute - exact match | SafetyXpress: 1200x300 MMS board, corflute | Traffic Control Products: 1200x300 corflute, SOLD OUT at capture | National Safety Signs: From, was 70.65, MM905 left variant, 600x600, size differs | GST basis ASSUMED, not confirmed by retailer</t>
  </si>
  <si>
    <t xml:space="preserve">No comparable product found at any of the 9 researched retailers - likely generic site-safety signage outside their core road/traffic-sign range. | GST basis ASSUMED, not confirmed by retailer</t>
  </si>
  <si>
    <t xml:space="preserve">Safety Signs Australia: Not found - no exact wording/size/material match | SafetyXpress: 225x300, close | Traffic Control Products: Not found | National Safety Signs: From, M1890 | Seton: LOW conf, bulk tier range 31.16-34.28, 300x225 poly | GST basis ASSUMED, not confirmed by retailer</t>
  </si>
  <si>
    <t xml:space="preserve">Safety Signs Australia: 18.00(corflute)/33.50(metal) avg, 450x600 size differs slightly | SafetyXpress: Not found - only differently-worded 'Construction Site Office' sign | Traffic Control Products: 600x450 exact, poly | National Safety Signs: Not found (only differently-worded 'All Vehicles Report') | GST basis ASSUMED, not confirmed by retailer</t>
  </si>
  <si>
    <t xml:space="preserve">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GST basis ASSUMED, not confirmed by retailer</t>
  </si>
  <si>
    <t xml:space="preserve">Safety Signs Australia: 300x450 poly, size differs slightly | SafetyXpress: range 25.15-44.87 incl 300x450 | Traffic Control Products: 19.50/26.50 two sizes (300x225/450x600), no exact 450x300 | National Safety Signs: From, E1217 | GST basis ASSUMED, not confirmed by retailer</t>
  </si>
  <si>
    <t xml:space="preserve">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 | GST basis ASSUMED, not confirmed by retailer</t>
  </si>
  <si>
    <t xml:space="preserve">Safety Signs Australia: 450x600 poly EXACT | SafetyXpress: 450x600 metal EXACT size, material differs | Traffic Control Products: 600x450, 'Danger Crane Working Overhead' - different wording, poly | National Safety Signs: From, D10279 | Seton: LOW conf, bulk tier range 33.21-36.91, 600x450 Flute | GST basis ASSUMED, not confirmed by retailer</t>
  </si>
  <si>
    <t xml:space="preserve">Total price points captured across these 5 retailers (ex GST columns)</t>
  </si>
</sst>
</file>

<file path=xl/styles.xml><?xml version="1.0" encoding="utf-8"?>
<styleSheet xmlns="http://schemas.openxmlformats.org/spreadsheetml/2006/main">
  <numFmts count="6">
    <numFmt numFmtId="164" formatCode="General"/>
    <numFmt numFmtId="165" formatCode="\$#,##0.00"/>
    <numFmt numFmtId="166" formatCode="\$#,##0.00_);[RED]&quot;($&quot;#,##0.00\)"/>
    <numFmt numFmtId="167" formatCode="0.0%"/>
    <numFmt numFmtId="168" formatCode="0"/>
    <numFmt numFmtId="169" formatCode="\$#,##0.00"/>
  </numFmts>
  <fonts count="18">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2"/>
      <color rgb="FF17365D"/>
      <name val="Calibri"/>
      <family val="0"/>
      <charset val="1"/>
    </font>
    <font>
      <b val="true"/>
      <sz val="11"/>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8"/>
      </left>
      <right/>
      <top style="thin">
        <color theme="4" tint="0.3998"/>
      </top>
      <bottom style="thin">
        <color theme="4" tint="0.3998"/>
      </bottom>
      <diagonal/>
    </border>
    <border diagonalUp="false" diagonalDown="false">
      <left/>
      <right/>
      <top style="thin">
        <color theme="4" tint="0.3998"/>
      </top>
      <bottom style="thin">
        <color theme="4" tint="0.3998"/>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7"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7"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6B1E1"/>
      <rgbColor rgb="FF99CC00"/>
      <rgbColor rgb="FFFFCC00"/>
      <rgbColor rgb="FFFF9900"/>
      <rgbColor rgb="FFFF6600"/>
      <rgbColor rgb="FF595959"/>
      <rgbColor rgb="FF969696"/>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408600</xdr:colOff>
      <xdr:row>57</xdr:row>
      <xdr:rowOff>264960</xdr:rowOff>
    </xdr:to>
    <xdr:pic>
      <xdr:nvPicPr>
        <xdr:cNvPr id="0" name="Picture 1" descr=""/>
        <xdr:cNvPicPr/>
      </xdr:nvPicPr>
      <xdr:blipFill>
        <a:blip r:embed="rId1"/>
        <a:stretch/>
      </xdr:blipFill>
      <xdr:spPr>
        <a:xfrm>
          <a:off x="17428680" y="22115880"/>
          <a:ext cx="2196360" cy="234252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0" width="15"/>
    <col collapsed="false" customWidth="true" hidden="false" outlineLevel="0" max="2" min="2" style="0" width="55"/>
    <col collapsed="false" customWidth="true" hidden="false" outlineLevel="0" max="3" min="3" style="0" width="20"/>
    <col collapsed="false" customWidth="true" hidden="false" outlineLevel="0" max="4" min="4" style="0" width="48"/>
    <col collapsed="false" customWidth="true" hidden="false" outlineLevel="0" max="5" min="5" style="0" width="72.83"/>
  </cols>
  <sheetData>
    <row r="1" customFormat="false" ht="15" hidden="false" customHeight="true" outlineLevel="0" collapsed="false">
      <c r="A1" s="1" t="s">
        <v>0</v>
      </c>
      <c r="B1" s="1" t="s">
        <v>1</v>
      </c>
      <c r="C1" s="1" t="s">
        <v>2</v>
      </c>
      <c r="D1" s="1" t="s">
        <v>3</v>
      </c>
    </row>
    <row r="2" customFormat="false" ht="33.75" hidden="false" customHeight="true" outlineLevel="0" collapsed="false">
      <c r="A2" s="0" t="s">
        <v>4</v>
      </c>
      <c r="B2" s="2" t="s">
        <v>5</v>
      </c>
      <c r="C2" s="3" t="n">
        <v>37.99</v>
      </c>
      <c r="D2" s="2" t="s">
        <v>6</v>
      </c>
    </row>
    <row r="3" customFormat="false" ht="33.75" hidden="false" customHeight="true" outlineLevel="0" collapsed="false">
      <c r="A3" s="0" t="s">
        <v>7</v>
      </c>
      <c r="B3" s="2" t="s">
        <v>8</v>
      </c>
      <c r="C3" s="3" t="n">
        <v>42.99</v>
      </c>
      <c r="D3" s="2" t="s">
        <v>6</v>
      </c>
    </row>
    <row r="4" customFormat="false" ht="33.75" hidden="false" customHeight="true" outlineLevel="0" collapsed="false">
      <c r="A4" s="0" t="s">
        <v>9</v>
      </c>
      <c r="B4" s="2" t="s">
        <v>10</v>
      </c>
      <c r="C4" s="3" t="n">
        <v>134.99</v>
      </c>
      <c r="D4" s="2" t="s">
        <v>6</v>
      </c>
    </row>
    <row r="5" customFormat="false" ht="33.75" hidden="false" customHeight="true" outlineLevel="0" collapsed="false">
      <c r="A5" s="0" t="s">
        <v>11</v>
      </c>
      <c r="B5" s="2" t="s">
        <v>12</v>
      </c>
      <c r="C5" s="3" t="n">
        <v>167.99</v>
      </c>
      <c r="D5" s="2" t="s">
        <v>6</v>
      </c>
    </row>
    <row r="6" customFormat="false" ht="33.75" hidden="false" customHeight="true" outlineLevel="0" collapsed="false">
      <c r="A6" s="0" t="s">
        <v>13</v>
      </c>
      <c r="B6" s="2" t="s">
        <v>14</v>
      </c>
      <c r="C6" s="3" t="n">
        <v>147.99</v>
      </c>
      <c r="D6" s="2" t="s">
        <v>6</v>
      </c>
    </row>
    <row r="7" customFormat="false" ht="33.75" hidden="false" customHeight="true" outlineLevel="0" collapsed="false">
      <c r="A7" s="0" t="s">
        <v>15</v>
      </c>
      <c r="B7" s="2" t="s">
        <v>16</v>
      </c>
      <c r="C7" s="3" t="n">
        <v>167.99</v>
      </c>
      <c r="D7" s="2" t="s">
        <v>6</v>
      </c>
    </row>
    <row r="8" customFormat="false" ht="33.75" hidden="false" customHeight="true" outlineLevel="0" collapsed="false">
      <c r="A8" s="0" t="s">
        <v>17</v>
      </c>
      <c r="B8" s="2" t="s">
        <v>18</v>
      </c>
      <c r="C8" s="3" t="n">
        <v>142.99</v>
      </c>
      <c r="D8" s="2" t="s">
        <v>6</v>
      </c>
    </row>
    <row r="9" customFormat="false" ht="33.75" hidden="false" customHeight="true" outlineLevel="0" collapsed="false">
      <c r="A9" s="0" t="s">
        <v>19</v>
      </c>
      <c r="B9" s="2" t="s">
        <v>20</v>
      </c>
      <c r="C9" s="3" t="n">
        <v>157.99</v>
      </c>
      <c r="D9" s="2" t="s">
        <v>6</v>
      </c>
    </row>
    <row r="10" customFormat="false" ht="33.75" hidden="false" customHeight="true" outlineLevel="0" collapsed="false">
      <c r="A10" s="0" t="s">
        <v>21</v>
      </c>
      <c r="B10" s="2" t="s">
        <v>22</v>
      </c>
      <c r="C10" s="3" t="n">
        <v>132.99</v>
      </c>
      <c r="D10" s="2" t="s">
        <v>6</v>
      </c>
    </row>
    <row r="11" customFormat="false" ht="33.75" hidden="false" customHeight="true" outlineLevel="0" collapsed="false">
      <c r="A11" s="0" t="s">
        <v>23</v>
      </c>
      <c r="B11" s="2" t="s">
        <v>24</v>
      </c>
      <c r="C11" s="3" t="n">
        <v>57.99</v>
      </c>
      <c r="D11" s="2" t="s">
        <v>6</v>
      </c>
    </row>
    <row r="12" customFormat="false" ht="33.75" hidden="false" customHeight="true" outlineLevel="0" collapsed="false">
      <c r="A12" s="0" t="s">
        <v>25</v>
      </c>
      <c r="B12" s="2" t="s">
        <v>26</v>
      </c>
      <c r="C12" s="3" t="n">
        <v>52.99</v>
      </c>
      <c r="D12" s="2" t="s">
        <v>6</v>
      </c>
    </row>
    <row r="13" customFormat="false" ht="33.75" hidden="false" customHeight="true" outlineLevel="0" collapsed="false">
      <c r="A13" s="0" t="s">
        <v>27</v>
      </c>
      <c r="B13" s="2" t="s">
        <v>28</v>
      </c>
      <c r="C13" s="3" t="n">
        <v>9.99</v>
      </c>
      <c r="D13" s="2" t="s">
        <v>6</v>
      </c>
    </row>
    <row r="14" customFormat="false" ht="33.75" hidden="false" customHeight="true" outlineLevel="0" collapsed="false">
      <c r="A14" s="0" t="s">
        <v>29</v>
      </c>
      <c r="B14" s="2" t="s">
        <v>30</v>
      </c>
      <c r="C14" s="3" t="n">
        <v>12.99</v>
      </c>
      <c r="D14" s="2" t="s">
        <v>6</v>
      </c>
    </row>
    <row r="15" customFormat="false" ht="33.75" hidden="false" customHeight="true" outlineLevel="0" collapsed="false">
      <c r="A15" s="0" t="s">
        <v>31</v>
      </c>
      <c r="B15" s="2" t="s">
        <v>32</v>
      </c>
      <c r="C15" s="3" t="n">
        <v>57.99</v>
      </c>
      <c r="D15" s="2" t="s">
        <v>6</v>
      </c>
    </row>
    <row r="16" customFormat="false" ht="33.75" hidden="false" customHeight="true" outlineLevel="0" collapsed="false">
      <c r="A16" s="0" t="s">
        <v>33</v>
      </c>
      <c r="B16" s="2" t="s">
        <v>34</v>
      </c>
      <c r="C16" s="3" t="n">
        <v>57.99</v>
      </c>
      <c r="D16" s="2" t="s">
        <v>6</v>
      </c>
    </row>
    <row r="17" customFormat="false" ht="33.75" hidden="false" customHeight="true" outlineLevel="0" collapsed="false">
      <c r="A17" s="0" t="s">
        <v>35</v>
      </c>
      <c r="B17" s="2" t="s">
        <v>36</v>
      </c>
      <c r="C17" s="3" t="n">
        <v>57.99</v>
      </c>
      <c r="D17" s="2" t="s">
        <v>6</v>
      </c>
    </row>
    <row r="18" customFormat="false" ht="33.75" hidden="false" customHeight="true" outlineLevel="0" collapsed="false">
      <c r="A18" s="0" t="s">
        <v>37</v>
      </c>
      <c r="B18" s="2" t="s">
        <v>38</v>
      </c>
      <c r="C18" s="3" t="n">
        <v>59.99</v>
      </c>
      <c r="D18" s="2" t="s">
        <v>6</v>
      </c>
    </row>
    <row r="19" customFormat="false" ht="33.75" hidden="false" customHeight="true" outlineLevel="0" collapsed="false">
      <c r="A19" s="0" t="s">
        <v>39</v>
      </c>
      <c r="B19" s="2" t="s">
        <v>40</v>
      </c>
      <c r="C19" s="3" t="n">
        <v>132.99</v>
      </c>
      <c r="D19" s="2" t="s">
        <v>6</v>
      </c>
    </row>
    <row r="20" customFormat="false" ht="33.75" hidden="false" customHeight="true" outlineLevel="0" collapsed="false">
      <c r="A20" s="0" t="s">
        <v>41</v>
      </c>
      <c r="B20" s="2" t="s">
        <v>42</v>
      </c>
      <c r="C20" s="3" t="n">
        <v>167.99</v>
      </c>
      <c r="D20" s="2" t="s">
        <v>6</v>
      </c>
    </row>
    <row r="21" customFormat="false" ht="33.75" hidden="false" customHeight="true" outlineLevel="0" collapsed="false">
      <c r="A21" s="0" t="s">
        <v>43</v>
      </c>
      <c r="B21" s="2" t="s">
        <v>44</v>
      </c>
      <c r="C21" s="3" t="n">
        <v>167.99</v>
      </c>
      <c r="D21" s="2" t="s">
        <v>6</v>
      </c>
    </row>
    <row r="22" customFormat="false" ht="33.75" hidden="false" customHeight="true" outlineLevel="0" collapsed="false">
      <c r="A22" s="0" t="s">
        <v>45</v>
      </c>
      <c r="B22" s="2" t="s">
        <v>46</v>
      </c>
      <c r="C22" s="3" t="n">
        <v>134.99</v>
      </c>
      <c r="D22" s="2" t="s">
        <v>6</v>
      </c>
    </row>
    <row r="23" customFormat="false" ht="33.75" hidden="false" customHeight="true" outlineLevel="0" collapsed="false">
      <c r="A23" s="0" t="s">
        <v>47</v>
      </c>
      <c r="B23" s="2" t="s">
        <v>48</v>
      </c>
      <c r="C23" s="3" t="n">
        <v>57.99</v>
      </c>
      <c r="D23" s="2" t="s">
        <v>6</v>
      </c>
    </row>
    <row r="24" customFormat="false" ht="33.75" hidden="false" customHeight="true" outlineLevel="0" collapsed="false">
      <c r="A24" s="0" t="s">
        <v>49</v>
      </c>
      <c r="B24" s="2" t="s">
        <v>50</v>
      </c>
      <c r="C24" s="3" t="n">
        <v>57.99</v>
      </c>
      <c r="D24" s="2" t="s">
        <v>6</v>
      </c>
    </row>
    <row r="25" customFormat="false" ht="33.75" hidden="false" customHeight="true" outlineLevel="0" collapsed="false">
      <c r="A25" s="0" t="s">
        <v>51</v>
      </c>
      <c r="B25" s="2" t="s">
        <v>52</v>
      </c>
      <c r="C25" s="3" t="n">
        <v>44.99</v>
      </c>
      <c r="D25" s="2" t="s">
        <v>6</v>
      </c>
    </row>
    <row r="26" customFormat="false" ht="33.75" hidden="false" customHeight="true" outlineLevel="0" collapsed="false">
      <c r="A26" s="0" t="s">
        <v>53</v>
      </c>
      <c r="B26" s="2" t="s">
        <v>54</v>
      </c>
      <c r="C26" s="3" t="n">
        <v>52.99</v>
      </c>
      <c r="D26" s="2" t="s">
        <v>6</v>
      </c>
    </row>
    <row r="27" customFormat="false" ht="33.75" hidden="false" customHeight="true" outlineLevel="0" collapsed="false">
      <c r="A27" s="0" t="s">
        <v>55</v>
      </c>
      <c r="B27" s="2" t="s">
        <v>56</v>
      </c>
      <c r="C27" s="3" t="n">
        <v>57.99</v>
      </c>
      <c r="D27" s="2" t="s">
        <v>6</v>
      </c>
    </row>
    <row r="28" customFormat="false" ht="33.75" hidden="false" customHeight="true" outlineLevel="0" collapsed="false">
      <c r="A28" s="0" t="s">
        <v>57</v>
      </c>
      <c r="B28" s="2" t="s">
        <v>58</v>
      </c>
      <c r="C28" s="3" t="n">
        <v>57.99</v>
      </c>
      <c r="D28" s="2" t="s">
        <v>6</v>
      </c>
    </row>
    <row r="29" customFormat="false" ht="33.75" hidden="false" customHeight="true" outlineLevel="0" collapsed="false">
      <c r="A29" s="0" t="s">
        <v>59</v>
      </c>
      <c r="B29" s="2" t="s">
        <v>60</v>
      </c>
      <c r="C29" s="3" t="n">
        <v>57.99</v>
      </c>
      <c r="D29" s="2" t="s">
        <v>6</v>
      </c>
    </row>
    <row r="30" customFormat="false" ht="33.75" hidden="false" customHeight="true" outlineLevel="0" collapsed="false">
      <c r="A30" s="0" t="s">
        <v>61</v>
      </c>
      <c r="B30" s="2" t="s">
        <v>62</v>
      </c>
      <c r="C30" s="3" t="n">
        <v>57.99</v>
      </c>
      <c r="D30" s="2" t="s">
        <v>6</v>
      </c>
    </row>
    <row r="31" customFormat="false" ht="33.75" hidden="false" customHeight="true" outlineLevel="0" collapsed="false">
      <c r="A31" s="0" t="s">
        <v>63</v>
      </c>
      <c r="B31" s="2" t="s">
        <v>64</v>
      </c>
      <c r="C31" s="3" t="n">
        <v>59.99</v>
      </c>
      <c r="D31" s="2" t="s">
        <v>6</v>
      </c>
    </row>
    <row r="32" customFormat="false" ht="33.75" hidden="false" customHeight="true" outlineLevel="0" collapsed="false">
      <c r="A32" s="0" t="s">
        <v>65</v>
      </c>
      <c r="B32" s="2" t="s">
        <v>66</v>
      </c>
      <c r="C32" s="3" t="n">
        <v>57.99</v>
      </c>
      <c r="D32" s="2" t="s">
        <v>6</v>
      </c>
    </row>
    <row r="33" customFormat="false" ht="33.75" hidden="false" customHeight="true" outlineLevel="0" collapsed="false">
      <c r="A33" s="0" t="s">
        <v>67</v>
      </c>
      <c r="B33" s="2" t="s">
        <v>68</v>
      </c>
      <c r="C33" s="3" t="n">
        <v>57.99</v>
      </c>
      <c r="D33" s="2" t="s">
        <v>6</v>
      </c>
    </row>
    <row r="34" customFormat="false" ht="33.75" hidden="false" customHeight="true" outlineLevel="0" collapsed="false">
      <c r="A34" s="0" t="s">
        <v>69</v>
      </c>
      <c r="B34" s="2" t="s">
        <v>70</v>
      </c>
      <c r="C34" s="3" t="n">
        <v>57.99</v>
      </c>
      <c r="D34" s="2" t="s">
        <v>6</v>
      </c>
    </row>
    <row r="35" customFormat="false" ht="33.75" hidden="false" customHeight="true" outlineLevel="0" collapsed="false">
      <c r="A35" s="0" t="s">
        <v>71</v>
      </c>
      <c r="B35" s="2" t="s">
        <v>72</v>
      </c>
      <c r="C35" s="3" t="n">
        <v>57.99</v>
      </c>
      <c r="D35" s="2" t="s">
        <v>6</v>
      </c>
    </row>
    <row r="36" customFormat="false" ht="33.75" hidden="false" customHeight="true" outlineLevel="0" collapsed="false">
      <c r="A36" s="0" t="s">
        <v>73</v>
      </c>
      <c r="B36" s="2" t="s">
        <v>74</v>
      </c>
      <c r="C36" s="3" t="n">
        <v>57.99</v>
      </c>
      <c r="D36" s="2" t="s">
        <v>6</v>
      </c>
    </row>
    <row r="37" customFormat="false" ht="33.75" hidden="false" customHeight="true" outlineLevel="0" collapsed="false">
      <c r="A37" s="0" t="s">
        <v>75</v>
      </c>
      <c r="B37" s="2" t="s">
        <v>76</v>
      </c>
      <c r="C37" s="3" t="n">
        <v>152.99</v>
      </c>
      <c r="D37" s="2" t="s">
        <v>6</v>
      </c>
    </row>
    <row r="38" customFormat="false" ht="33.75" hidden="false" customHeight="true" outlineLevel="0" collapsed="false">
      <c r="A38" s="0" t="s">
        <v>77</v>
      </c>
      <c r="B38" s="2" t="s">
        <v>78</v>
      </c>
      <c r="C38" s="3" t="n">
        <v>144.99</v>
      </c>
      <c r="D38" s="2" t="s">
        <v>6</v>
      </c>
    </row>
    <row r="39" customFormat="false" ht="33.75" hidden="false" customHeight="true" outlineLevel="0" collapsed="false">
      <c r="A39" s="0" t="s">
        <v>79</v>
      </c>
      <c r="B39" s="2" t="s">
        <v>80</v>
      </c>
      <c r="C39" s="3" t="n">
        <v>142.99</v>
      </c>
      <c r="D39" s="2" t="s">
        <v>6</v>
      </c>
    </row>
    <row r="40" customFormat="false" ht="33.75" hidden="false" customHeight="true" outlineLevel="0" collapsed="false">
      <c r="A40" s="0" t="s">
        <v>81</v>
      </c>
      <c r="B40" s="2" t="s">
        <v>82</v>
      </c>
      <c r="C40" s="3" t="n">
        <v>112.99</v>
      </c>
      <c r="D40" s="2" t="s">
        <v>6</v>
      </c>
    </row>
    <row r="41" customFormat="false" ht="33.75" hidden="false" customHeight="true" outlineLevel="0" collapsed="false">
      <c r="A41" s="0" t="s">
        <v>83</v>
      </c>
      <c r="B41" s="2" t="s">
        <v>84</v>
      </c>
      <c r="C41" s="3" t="n">
        <v>147.99</v>
      </c>
      <c r="D41" s="2" t="s">
        <v>6</v>
      </c>
    </row>
    <row r="42" customFormat="false" ht="33.75" hidden="false" customHeight="true" outlineLevel="0" collapsed="false">
      <c r="A42" s="0" t="s">
        <v>85</v>
      </c>
      <c r="B42" s="2" t="s">
        <v>86</v>
      </c>
      <c r="C42" s="3" t="n">
        <v>139.99</v>
      </c>
      <c r="D42" s="2" t="s">
        <v>6</v>
      </c>
    </row>
    <row r="43" customFormat="false" ht="33.75" hidden="false" customHeight="true" outlineLevel="0" collapsed="false">
      <c r="A43" s="0" t="s">
        <v>87</v>
      </c>
      <c r="B43" s="2" t="s">
        <v>88</v>
      </c>
      <c r="C43" s="3" t="n">
        <v>129.99</v>
      </c>
      <c r="D43" s="2" t="s">
        <v>6</v>
      </c>
    </row>
    <row r="44" customFormat="false" ht="33.75" hidden="false" customHeight="true" outlineLevel="0" collapsed="false">
      <c r="A44" s="0" t="s">
        <v>89</v>
      </c>
      <c r="B44" s="2" t="s">
        <v>90</v>
      </c>
      <c r="C44" s="3" t="n">
        <v>57.99</v>
      </c>
      <c r="D44" s="2" t="s">
        <v>6</v>
      </c>
    </row>
    <row r="45" customFormat="false" ht="33.75" hidden="false" customHeight="true" outlineLevel="0" collapsed="false">
      <c r="A45" s="0" t="s">
        <v>91</v>
      </c>
      <c r="B45" s="2" t="s">
        <v>92</v>
      </c>
      <c r="C45" s="3" t="n">
        <v>62.99</v>
      </c>
      <c r="D45" s="2" t="s">
        <v>6</v>
      </c>
    </row>
    <row r="46" customFormat="false" ht="33.75" hidden="false" customHeight="true" outlineLevel="0" collapsed="false">
      <c r="A46" s="0" t="s">
        <v>93</v>
      </c>
      <c r="B46" s="2" t="s">
        <v>94</v>
      </c>
      <c r="C46" s="3" t="n">
        <v>4.99</v>
      </c>
      <c r="D46" s="2" t="s">
        <v>6</v>
      </c>
    </row>
    <row r="47" customFormat="false" ht="33.75" hidden="false" customHeight="true" outlineLevel="0" collapsed="false">
      <c r="A47" s="0" t="s">
        <v>95</v>
      </c>
      <c r="B47" s="2" t="s">
        <v>96</v>
      </c>
      <c r="C47" s="3" t="n">
        <v>24.99</v>
      </c>
      <c r="D47" s="2" t="s">
        <v>6</v>
      </c>
    </row>
    <row r="48" customFormat="false" ht="33.75" hidden="false" customHeight="true" outlineLevel="0" collapsed="false">
      <c r="A48" s="0" t="s">
        <v>97</v>
      </c>
      <c r="B48" s="2" t="s">
        <v>98</v>
      </c>
      <c r="C48" s="3" t="n">
        <v>44.99</v>
      </c>
      <c r="D48" s="2" t="s">
        <v>6</v>
      </c>
    </row>
    <row r="49" customFormat="false" ht="33.75" hidden="false" customHeight="true" outlineLevel="0" collapsed="false">
      <c r="A49" s="0" t="s">
        <v>99</v>
      </c>
      <c r="B49" s="2" t="s">
        <v>100</v>
      </c>
      <c r="C49" s="3" t="n">
        <v>24.99</v>
      </c>
      <c r="D49" s="2" t="s">
        <v>6</v>
      </c>
    </row>
    <row r="50" customFormat="false" ht="33.75" hidden="false" customHeight="true" outlineLevel="0" collapsed="false">
      <c r="A50" s="0" t="s">
        <v>101</v>
      </c>
      <c r="B50" s="2" t="s">
        <v>102</v>
      </c>
      <c r="C50" s="3" t="n">
        <v>32.99</v>
      </c>
      <c r="D50" s="2" t="s">
        <v>6</v>
      </c>
    </row>
    <row r="51" customFormat="false" ht="33.75" hidden="false" customHeight="true" outlineLevel="0" collapsed="false">
      <c r="A51" s="0" t="s">
        <v>103</v>
      </c>
      <c r="B51" s="2" t="s">
        <v>104</v>
      </c>
      <c r="C51" s="3" t="n">
        <v>44.99</v>
      </c>
      <c r="D51" s="2" t="s">
        <v>6</v>
      </c>
    </row>
    <row r="52" customFormat="false" ht="33.75" hidden="false" customHeight="true" outlineLevel="0" collapsed="false">
      <c r="A52" s="0" t="s">
        <v>105</v>
      </c>
      <c r="B52" s="2" t="s">
        <v>106</v>
      </c>
      <c r="C52" s="3" t="n">
        <v>44.99</v>
      </c>
      <c r="D52" s="2" t="s">
        <v>6</v>
      </c>
    </row>
    <row r="53" customFormat="false" ht="33.75" hidden="false" customHeight="true" outlineLevel="0" collapsed="false">
      <c r="A53" s="0" t="s">
        <v>107</v>
      </c>
      <c r="B53" s="2" t="s">
        <v>108</v>
      </c>
      <c r="C53" s="3" t="n">
        <v>44.99</v>
      </c>
      <c r="D53" s="2" t="s">
        <v>6</v>
      </c>
    </row>
    <row r="54" customFormat="false" ht="33.75" hidden="false" customHeight="true" outlineLevel="0" collapsed="false">
      <c r="A54" s="0" t="s">
        <v>109</v>
      </c>
      <c r="B54" s="2" t="s">
        <v>110</v>
      </c>
      <c r="C54" s="3" t="n">
        <v>32.99</v>
      </c>
      <c r="D54" s="2" t="s">
        <v>6</v>
      </c>
    </row>
    <row r="55" customFormat="false" ht="33.75" hidden="false" customHeight="true" outlineLevel="0" collapsed="false">
      <c r="A55" s="0" t="s">
        <v>111</v>
      </c>
      <c r="B55" s="2" t="s">
        <v>112</v>
      </c>
      <c r="C55" s="3" t="n">
        <v>49.99</v>
      </c>
      <c r="D55" s="2" t="s">
        <v>6</v>
      </c>
    </row>
    <row r="56" customFormat="false" ht="33.75" hidden="false" customHeight="true" outlineLevel="0" collapsed="false">
      <c r="A56" s="0" t="s">
        <v>113</v>
      </c>
      <c r="B56" s="2" t="s">
        <v>114</v>
      </c>
      <c r="C56" s="3" t="n">
        <v>49.99</v>
      </c>
      <c r="D56" s="2" t="s">
        <v>6</v>
      </c>
    </row>
    <row r="57" customFormat="false" ht="33.75" hidden="false" customHeight="true" outlineLevel="0" collapsed="false">
      <c r="A57" s="0" t="s">
        <v>115</v>
      </c>
      <c r="B57" s="2" t="s">
        <v>116</v>
      </c>
      <c r="C57" s="3" t="n">
        <v>27.99</v>
      </c>
      <c r="D57" s="2" t="s">
        <v>6</v>
      </c>
    </row>
    <row r="58" customFormat="false" ht="33.75" hidden="false" customHeight="true" outlineLevel="0" collapsed="false">
      <c r="A58" s="0" t="s">
        <v>117</v>
      </c>
      <c r="B58" s="2" t="s">
        <v>118</v>
      </c>
      <c r="C58" s="3" t="n">
        <v>32.99</v>
      </c>
      <c r="D58" s="2" t="s">
        <v>6</v>
      </c>
    </row>
    <row r="59" customFormat="false" ht="33.75" hidden="false" customHeight="true" outlineLevel="0" collapsed="false">
      <c r="A59" s="0" t="s">
        <v>119</v>
      </c>
      <c r="B59" s="2" t="s">
        <v>120</v>
      </c>
      <c r="C59" s="3" t="n">
        <v>44.99</v>
      </c>
      <c r="D59" s="2" t="s">
        <v>6</v>
      </c>
    </row>
    <row r="60" customFormat="false" ht="33.75" hidden="false" customHeight="true" outlineLevel="0" collapsed="false">
      <c r="A60" s="0" t="s">
        <v>121</v>
      </c>
      <c r="B60" s="2" t="s">
        <v>122</v>
      </c>
      <c r="C60" s="3" t="n">
        <v>49.99</v>
      </c>
      <c r="D60" s="2" t="s">
        <v>6</v>
      </c>
    </row>
    <row r="61" customFormat="false" ht="33.75" hidden="false" customHeight="true" outlineLevel="0" collapsed="false">
      <c r="A61" s="0" t="s">
        <v>123</v>
      </c>
      <c r="B61" s="2" t="s">
        <v>124</v>
      </c>
      <c r="C61" s="3" t="n">
        <v>32.99</v>
      </c>
      <c r="D61" s="2" t="s">
        <v>6</v>
      </c>
    </row>
    <row r="62" customFormat="false" ht="33.75" hidden="false" customHeight="true" outlineLevel="0" collapsed="false">
      <c r="A62" s="0" t="s">
        <v>125</v>
      </c>
      <c r="B62" s="2" t="s">
        <v>126</v>
      </c>
      <c r="C62" s="3" t="n">
        <v>37.99</v>
      </c>
      <c r="D62" s="2" t="s">
        <v>6</v>
      </c>
    </row>
    <row r="63" customFormat="false" ht="33.75" hidden="false" customHeight="true" outlineLevel="0" collapsed="false">
      <c r="A63" s="0" t="s">
        <v>127</v>
      </c>
      <c r="B63" s="2" t="s">
        <v>128</v>
      </c>
      <c r="C63" s="3" t="n">
        <v>69.99</v>
      </c>
      <c r="D63" s="2" t="s">
        <v>6</v>
      </c>
    </row>
    <row r="64" customFormat="false" ht="33.75" hidden="false" customHeight="true" outlineLevel="0" collapsed="false">
      <c r="A64" s="0" t="s">
        <v>129</v>
      </c>
      <c r="B64" s="2" t="s">
        <v>130</v>
      </c>
      <c r="C64" s="3" t="n">
        <v>37.99</v>
      </c>
      <c r="D64" s="2" t="s">
        <v>6</v>
      </c>
    </row>
    <row r="65" customFormat="false" ht="33.75" hidden="false" customHeight="true" outlineLevel="0" collapsed="false">
      <c r="A65" s="0" t="s">
        <v>131</v>
      </c>
      <c r="B65" s="2" t="s">
        <v>132</v>
      </c>
      <c r="C65" s="3" t="n">
        <v>84.99</v>
      </c>
      <c r="D65" s="2" t="s">
        <v>6</v>
      </c>
    </row>
    <row r="66" customFormat="false" ht="33.75" hidden="false" customHeight="true" outlineLevel="0" collapsed="false">
      <c r="A66" s="0" t="s">
        <v>133</v>
      </c>
      <c r="B66" s="2" t="s">
        <v>134</v>
      </c>
      <c r="C66" s="3" t="n">
        <v>37.99</v>
      </c>
      <c r="D66" s="2" t="s">
        <v>6</v>
      </c>
    </row>
    <row r="67" customFormat="false" ht="33.75" hidden="false" customHeight="true" outlineLevel="0" collapsed="false">
      <c r="A67" s="0" t="s">
        <v>135</v>
      </c>
      <c r="B67" s="2" t="s">
        <v>136</v>
      </c>
      <c r="C67" s="3" t="n">
        <v>44.99</v>
      </c>
      <c r="D67" s="2" t="s">
        <v>6</v>
      </c>
    </row>
    <row r="68" customFormat="false" ht="33.75" hidden="false" customHeight="true" outlineLevel="0" collapsed="false">
      <c r="A68" s="0" t="s">
        <v>137</v>
      </c>
      <c r="B68" s="2" t="s">
        <v>138</v>
      </c>
      <c r="C68" s="3" t="n">
        <v>44.99</v>
      </c>
      <c r="D68" s="2" t="s">
        <v>6</v>
      </c>
    </row>
    <row r="69" customFormat="false" ht="33.75" hidden="false" customHeight="true" outlineLevel="0" collapsed="false">
      <c r="A69" s="0" t="s">
        <v>139</v>
      </c>
      <c r="B69" s="2" t="s">
        <v>140</v>
      </c>
      <c r="C69" s="3" t="n">
        <v>32.99</v>
      </c>
      <c r="D69" s="2" t="s">
        <v>6</v>
      </c>
    </row>
    <row r="70" customFormat="false" ht="33.75" hidden="false" customHeight="true" outlineLevel="0" collapsed="false">
      <c r="A70" s="0" t="s">
        <v>141</v>
      </c>
      <c r="B70" s="2" t="s">
        <v>142</v>
      </c>
      <c r="C70" s="3" t="n">
        <v>64.99</v>
      </c>
      <c r="D70" s="2" t="s">
        <v>6</v>
      </c>
    </row>
    <row r="71" customFormat="false" ht="33.75" hidden="false" customHeight="true" outlineLevel="0" collapsed="false">
      <c r="A71" s="0" t="s">
        <v>143</v>
      </c>
      <c r="B71" s="2" t="s">
        <v>144</v>
      </c>
      <c r="C71" s="3" t="n">
        <v>49.99</v>
      </c>
      <c r="D71" s="2" t="s">
        <v>6</v>
      </c>
    </row>
    <row r="72" customFormat="false" ht="33.75" hidden="false" customHeight="true" outlineLevel="0" collapsed="false">
      <c r="A72" s="0" t="s">
        <v>145</v>
      </c>
      <c r="B72" s="2" t="s">
        <v>146</v>
      </c>
      <c r="C72" s="3" t="n">
        <v>17.99</v>
      </c>
      <c r="D72" s="2" t="s">
        <v>6</v>
      </c>
    </row>
    <row r="73" customFormat="false" ht="33.75" hidden="false" customHeight="true" outlineLevel="0" collapsed="false">
      <c r="A73" s="0" t="s">
        <v>147</v>
      </c>
      <c r="B73" s="2" t="s">
        <v>148</v>
      </c>
      <c r="C73" s="3" t="n">
        <v>44.99</v>
      </c>
      <c r="D73" s="2" t="s">
        <v>6</v>
      </c>
    </row>
    <row r="74" customFormat="false" ht="33.75" hidden="false" customHeight="true" outlineLevel="0" collapsed="false">
      <c r="A74" s="0" t="s">
        <v>149</v>
      </c>
      <c r="B74" s="2" t="s">
        <v>150</v>
      </c>
      <c r="C74" s="3" t="n">
        <v>49.99</v>
      </c>
      <c r="D74" s="2" t="s">
        <v>6</v>
      </c>
    </row>
    <row r="75" customFormat="false" ht="33.75" hidden="false" customHeight="true" outlineLevel="0" collapsed="false">
      <c r="A75" s="0" t="s">
        <v>151</v>
      </c>
      <c r="B75" s="2" t="s">
        <v>152</v>
      </c>
      <c r="C75" s="3" t="n">
        <v>49.99</v>
      </c>
      <c r="D75" s="2" t="s">
        <v>6</v>
      </c>
    </row>
    <row r="76" customFormat="false" ht="33.75" hidden="false" customHeight="true" outlineLevel="0" collapsed="false">
      <c r="A76" s="0" t="s">
        <v>153</v>
      </c>
      <c r="B76" s="2" t="s">
        <v>154</v>
      </c>
      <c r="C76" s="3" t="n">
        <v>37.99</v>
      </c>
      <c r="D76" s="2" t="s">
        <v>6</v>
      </c>
    </row>
    <row r="77" customFormat="false" ht="33.75" hidden="false" customHeight="true" outlineLevel="0" collapsed="false">
      <c r="A77" s="0" t="s">
        <v>155</v>
      </c>
      <c r="B77" s="2" t="s">
        <v>156</v>
      </c>
      <c r="C77" s="3" t="n">
        <v>32.99</v>
      </c>
      <c r="D77" s="2" t="s">
        <v>6</v>
      </c>
    </row>
    <row r="78" customFormat="false" ht="33.75" hidden="false" customHeight="true" outlineLevel="0" collapsed="false">
      <c r="A78" s="0" t="s">
        <v>157</v>
      </c>
      <c r="B78" s="2" t="s">
        <v>158</v>
      </c>
      <c r="C78" s="3" t="n">
        <v>32.99</v>
      </c>
      <c r="D78" s="2" t="s">
        <v>6</v>
      </c>
    </row>
    <row r="79" customFormat="false" ht="33.75" hidden="false" customHeight="true" outlineLevel="0" collapsed="false">
      <c r="A79" s="0" t="s">
        <v>159</v>
      </c>
      <c r="B79" s="2" t="s">
        <v>160</v>
      </c>
      <c r="C79" s="3" t="n">
        <v>49.99</v>
      </c>
      <c r="D79" s="2" t="s">
        <v>6</v>
      </c>
    </row>
    <row r="80" customFormat="false" ht="33.75" hidden="false" customHeight="true" outlineLevel="0" collapsed="false">
      <c r="A80" s="0" t="s">
        <v>161</v>
      </c>
      <c r="B80" s="2" t="s">
        <v>162</v>
      </c>
      <c r="C80" s="3" t="n">
        <v>32.99</v>
      </c>
      <c r="D80" s="2" t="s">
        <v>6</v>
      </c>
    </row>
    <row r="81" customFormat="false" ht="33.75" hidden="false" customHeight="true" outlineLevel="0" collapsed="false">
      <c r="A81" s="0" t="s">
        <v>163</v>
      </c>
      <c r="B81" s="2" t="s">
        <v>164</v>
      </c>
      <c r="C81" s="3" t="n">
        <v>32.99</v>
      </c>
      <c r="D81" s="2" t="s">
        <v>6</v>
      </c>
    </row>
    <row r="82" customFormat="false" ht="33.75" hidden="false" customHeight="true" outlineLevel="0" collapsed="false">
      <c r="A82" s="0" t="s">
        <v>165</v>
      </c>
      <c r="B82" s="2" t="s">
        <v>166</v>
      </c>
      <c r="C82" s="3" t="n">
        <v>32.99</v>
      </c>
      <c r="D82" s="2" t="s">
        <v>6</v>
      </c>
    </row>
    <row r="83" customFormat="false" ht="33.75" hidden="false" customHeight="true" outlineLevel="0" collapsed="false">
      <c r="A83" s="0" t="s">
        <v>167</v>
      </c>
      <c r="B83" s="2" t="s">
        <v>168</v>
      </c>
      <c r="C83" s="3" t="n">
        <v>142.99</v>
      </c>
      <c r="D83" s="2" t="s">
        <v>6</v>
      </c>
    </row>
    <row r="84" customFormat="false" ht="33.75" hidden="false" customHeight="true" outlineLevel="0" collapsed="false">
      <c r="A84" s="0" t="s">
        <v>169</v>
      </c>
      <c r="B84" s="2" t="s">
        <v>170</v>
      </c>
      <c r="C84" s="3" t="n">
        <v>27.99</v>
      </c>
      <c r="D84" s="2" t="s">
        <v>6</v>
      </c>
    </row>
    <row r="85" customFormat="false" ht="33.75" hidden="false" customHeight="true" outlineLevel="0" collapsed="false">
      <c r="A85" s="0" t="s">
        <v>171</v>
      </c>
      <c r="B85" s="2" t="s">
        <v>172</v>
      </c>
      <c r="C85" s="3" t="n">
        <v>44.99</v>
      </c>
      <c r="D85" s="2" t="s">
        <v>6</v>
      </c>
    </row>
    <row r="86" customFormat="false" ht="33.75" hidden="false" customHeight="true" outlineLevel="0" collapsed="false">
      <c r="A86" s="0" t="n">
        <v>869339</v>
      </c>
      <c r="B86" s="2" t="s">
        <v>173</v>
      </c>
      <c r="C86" s="3" t="n">
        <v>44.99</v>
      </c>
      <c r="D86" s="2" t="s">
        <v>6</v>
      </c>
    </row>
    <row r="87" customFormat="false" ht="33.75" hidden="false" customHeight="true" outlineLevel="0" collapsed="false">
      <c r="A87" s="0" t="s">
        <v>174</v>
      </c>
      <c r="B87" s="2" t="s">
        <v>175</v>
      </c>
      <c r="C87" s="3" t="n">
        <v>142.99</v>
      </c>
      <c r="D87" s="2" t="s">
        <v>6</v>
      </c>
    </row>
    <row r="88" customFormat="false" ht="33.75" hidden="false" customHeight="true" outlineLevel="0" collapsed="false">
      <c r="A88" s="0" t="s">
        <v>176</v>
      </c>
      <c r="B88" s="2" t="s">
        <v>177</v>
      </c>
      <c r="C88" s="3" t="n">
        <v>167.99</v>
      </c>
      <c r="D88" s="2" t="s">
        <v>6</v>
      </c>
    </row>
    <row r="89" customFormat="false" ht="33.75" hidden="false" customHeight="true" outlineLevel="0" collapsed="false">
      <c r="A89" s="0" t="s">
        <v>178</v>
      </c>
      <c r="B89" s="2" t="s">
        <v>179</v>
      </c>
      <c r="C89" s="3" t="n">
        <v>167.99</v>
      </c>
      <c r="D89" s="2" t="s">
        <v>6</v>
      </c>
    </row>
    <row r="90" customFormat="false" ht="33.75" hidden="false" customHeight="true" outlineLevel="0" collapsed="false">
      <c r="A90" s="0" t="s">
        <v>180</v>
      </c>
      <c r="B90" s="2" t="s">
        <v>181</v>
      </c>
      <c r="C90" s="3" t="n">
        <v>167.99</v>
      </c>
      <c r="D90" s="2" t="s">
        <v>6</v>
      </c>
    </row>
    <row r="91" customFormat="false" ht="33.75" hidden="false" customHeight="true" outlineLevel="0" collapsed="false">
      <c r="A91" s="0" t="s">
        <v>182</v>
      </c>
      <c r="B91" s="2" t="s">
        <v>183</v>
      </c>
      <c r="C91" s="3" t="n">
        <v>167.99</v>
      </c>
      <c r="D91" s="2" t="s">
        <v>6</v>
      </c>
    </row>
    <row r="92" customFormat="false" ht="33.75" hidden="false" customHeight="true" outlineLevel="0" collapsed="false">
      <c r="A92" s="0" t="s">
        <v>184</v>
      </c>
      <c r="B92" s="2" t="s">
        <v>185</v>
      </c>
      <c r="C92" s="3" t="n">
        <v>167.99</v>
      </c>
      <c r="D92" s="2" t="s">
        <v>6</v>
      </c>
    </row>
    <row r="93" customFormat="false" ht="33.75" hidden="false" customHeight="true" outlineLevel="0" collapsed="false">
      <c r="A93" s="0" t="s">
        <v>186</v>
      </c>
      <c r="B93" s="2" t="s">
        <v>187</v>
      </c>
      <c r="C93" s="3" t="n">
        <v>122.99</v>
      </c>
      <c r="D93" s="2"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22"/>
    <col collapsed="false" customWidth="true" hidden="false" outlineLevel="0" max="2" min="2" style="0" width="80"/>
  </cols>
  <sheetData>
    <row r="1" customFormat="false" ht="15.75" hidden="false" customHeight="true" outlineLevel="0" collapsed="false">
      <c r="A1" s="4" t="s">
        <v>188</v>
      </c>
      <c r="B1" s="5" t="s">
        <v>189</v>
      </c>
    </row>
    <row r="2" customFormat="false" ht="15" hidden="false" customHeight="true" outlineLevel="0" collapsed="false">
      <c r="A2" s="0" t="s">
        <v>3</v>
      </c>
      <c r="B2" s="2" t="s">
        <v>6</v>
      </c>
    </row>
    <row r="3" customFormat="false" ht="15" hidden="false" customHeight="true" outlineLevel="0" collapsed="false">
      <c r="A3" s="0" t="s">
        <v>190</v>
      </c>
      <c r="B3" s="2" t="s">
        <v>191</v>
      </c>
    </row>
    <row r="4" customFormat="false" ht="15" hidden="false" customHeight="true" outlineLevel="0" collapsed="false">
      <c r="A4" s="0" t="s">
        <v>192</v>
      </c>
      <c r="B4" s="2"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0" width="29.33"/>
    <col collapsed="false" customWidth="true" hidden="false" outlineLevel="0" max="3" min="3" style="0" width="24"/>
    <col collapsed="false" customWidth="true" hidden="false" outlineLevel="0" max="4" min="4" style="0" width="45.33"/>
    <col collapsed="false" customWidth="true" hidden="false" outlineLevel="0" max="5" min="5" style="0" width="32.34"/>
    <col collapsed="false" customWidth="true" hidden="false" outlineLevel="0" max="6" min="6" style="0" width="32.16"/>
  </cols>
  <sheetData>
    <row r="1" customFormat="false" ht="40.5" hidden="false" customHeight="true" outlineLevel="0" collapsed="false">
      <c r="A1" s="6" t="s">
        <v>7</v>
      </c>
      <c r="B1" s="7" t="s">
        <v>8</v>
      </c>
      <c r="C1" s="8" t="n">
        <v>42.99</v>
      </c>
      <c r="D1" s="9" t="n">
        <v>16.71</v>
      </c>
      <c r="E1" s="0" t="s">
        <v>194</v>
      </c>
    </row>
    <row r="2" customFormat="false" ht="72.75" hidden="false" customHeight="true" outlineLevel="0" collapsed="false">
      <c r="A2" s="10" t="s">
        <v>9</v>
      </c>
      <c r="B2" s="11" t="s">
        <v>10</v>
      </c>
      <c r="C2" s="12" t="n">
        <v>134.99</v>
      </c>
      <c r="D2" s="13" t="n">
        <v>66.83</v>
      </c>
      <c r="E2" s="14" t="s">
        <v>195</v>
      </c>
    </row>
    <row r="3" customFormat="false" ht="84" hidden="false" customHeight="true" outlineLevel="0" collapsed="false">
      <c r="A3" s="6" t="s">
        <v>11</v>
      </c>
      <c r="B3" s="7" t="s">
        <v>12</v>
      </c>
      <c r="C3" s="8" t="n">
        <v>167.99</v>
      </c>
      <c r="D3" s="9" t="n">
        <v>44.55</v>
      </c>
      <c r="E3" s="14" t="s">
        <v>195</v>
      </c>
    </row>
    <row r="4" customFormat="false" ht="50.25" hidden="false" customHeight="true" outlineLevel="0" collapsed="false">
      <c r="A4" s="10" t="s">
        <v>13</v>
      </c>
      <c r="B4" s="11" t="s">
        <v>14</v>
      </c>
      <c r="C4" s="12" t="n">
        <v>147.99</v>
      </c>
      <c r="D4" s="13" t="n">
        <v>44.55</v>
      </c>
      <c r="E4" s="14" t="s">
        <v>196</v>
      </c>
    </row>
    <row r="5" customFormat="false" ht="50.25" hidden="false" customHeight="true" outlineLevel="0" collapsed="false">
      <c r="A5" s="6" t="s">
        <v>15</v>
      </c>
      <c r="B5" s="7" t="s">
        <v>16</v>
      </c>
      <c r="C5" s="8" t="n">
        <v>167.99</v>
      </c>
      <c r="D5" s="9" t="n">
        <v>69.61</v>
      </c>
      <c r="E5" s="14" t="s">
        <v>197</v>
      </c>
    </row>
    <row r="6" customFormat="false" ht="50.25" hidden="false" customHeight="true" outlineLevel="0" collapsed="false">
      <c r="A6" s="10" t="s">
        <v>17</v>
      </c>
      <c r="B6" s="11" t="s">
        <v>18</v>
      </c>
      <c r="C6" s="12" t="n">
        <v>142.99</v>
      </c>
      <c r="D6" s="13" t="n">
        <v>33.41</v>
      </c>
      <c r="E6" s="14" t="s">
        <v>198</v>
      </c>
    </row>
    <row r="7" customFormat="false" ht="50.25" hidden="false" customHeight="true" outlineLevel="0" collapsed="false">
      <c r="A7" s="6" t="s">
        <v>19</v>
      </c>
      <c r="B7" s="7" t="s">
        <v>20</v>
      </c>
      <c r="C7" s="8" t="n">
        <v>157.99</v>
      </c>
      <c r="D7" s="9" t="n">
        <v>44.55</v>
      </c>
      <c r="E7" s="14" t="s">
        <v>199</v>
      </c>
    </row>
    <row r="8" customFormat="false" ht="50.25" hidden="false" customHeight="true" outlineLevel="0" collapsed="false">
      <c r="A8" s="6" t="s">
        <v>79</v>
      </c>
      <c r="B8" s="7" t="s">
        <v>80</v>
      </c>
      <c r="C8" s="8" t="n">
        <v>142.99</v>
      </c>
      <c r="D8" s="9" t="n">
        <v>33.41</v>
      </c>
      <c r="E8" s="14" t="s">
        <v>200</v>
      </c>
    </row>
    <row r="9" customFormat="false" ht="50.25" hidden="false" customHeight="true" outlineLevel="0" collapsed="false">
      <c r="A9" s="10" t="s">
        <v>81</v>
      </c>
      <c r="B9" s="11" t="s">
        <v>82</v>
      </c>
      <c r="C9" s="12" t="n">
        <v>112.99</v>
      </c>
      <c r="D9" s="13" t="n">
        <v>25.06</v>
      </c>
      <c r="E9" s="14" t="s">
        <v>201</v>
      </c>
    </row>
    <row r="10" customFormat="false" ht="50.25" hidden="false" customHeight="true" outlineLevel="0" collapsed="false">
      <c r="A10" s="10" t="s">
        <v>101</v>
      </c>
      <c r="B10" s="11" t="s">
        <v>102</v>
      </c>
      <c r="C10" s="12" t="n">
        <v>32.99</v>
      </c>
      <c r="D10" s="13" t="n">
        <v>8.35</v>
      </c>
      <c r="E10" s="0" t="s">
        <v>194</v>
      </c>
    </row>
    <row r="11" customFormat="false" ht="33.75" hidden="false" customHeight="true" outlineLevel="0" collapsed="false">
      <c r="A11" s="6" t="n">
        <v>685264</v>
      </c>
      <c r="B11" s="7" t="s">
        <v>108</v>
      </c>
      <c r="C11" s="8" t="n">
        <v>44.99</v>
      </c>
      <c r="D11" s="9" t="n">
        <v>15.59</v>
      </c>
      <c r="E11" s="0" t="s">
        <v>194</v>
      </c>
    </row>
    <row r="12" customFormat="false" ht="33.75" hidden="false" customHeight="true" outlineLevel="0" collapsed="false">
      <c r="A12" s="10" t="s">
        <v>117</v>
      </c>
      <c r="B12" s="11" t="s">
        <v>118</v>
      </c>
      <c r="C12" s="12" t="n">
        <v>32.99</v>
      </c>
      <c r="D12" s="13" t="n">
        <v>8.35</v>
      </c>
      <c r="E12" s="0" t="s">
        <v>194</v>
      </c>
    </row>
    <row r="13" customFormat="false" ht="66.75" hidden="false" customHeight="true" outlineLevel="0" collapsed="false">
      <c r="A13" s="6" t="s">
        <v>127</v>
      </c>
      <c r="B13" s="7" t="s">
        <v>128</v>
      </c>
      <c r="C13" s="8" t="n">
        <v>69.99</v>
      </c>
      <c r="D13" s="9" t="n">
        <v>29.7</v>
      </c>
      <c r="E13" s="2" t="s">
        <v>202</v>
      </c>
    </row>
    <row r="14" customFormat="false" ht="66.75" hidden="false" customHeight="true" outlineLevel="0" collapsed="false">
      <c r="A14" s="6" t="s">
        <v>131</v>
      </c>
      <c r="B14" s="7" t="s">
        <v>132</v>
      </c>
      <c r="C14" s="8" t="n">
        <v>84.99</v>
      </c>
      <c r="D14" s="9" t="n">
        <v>29.7</v>
      </c>
      <c r="E14" s="2" t="s">
        <v>202</v>
      </c>
    </row>
    <row r="15" customFormat="false" ht="33.75" hidden="false" customHeight="true" outlineLevel="0" collapsed="false">
      <c r="A15" s="10" t="s">
        <v>137</v>
      </c>
      <c r="B15" s="11" t="s">
        <v>138</v>
      </c>
      <c r="C15" s="12" t="n">
        <v>44.99</v>
      </c>
      <c r="D15" s="13" t="n">
        <v>16.71</v>
      </c>
      <c r="E15" s="0" t="s">
        <v>203</v>
      </c>
    </row>
    <row r="16" customFormat="false" ht="33.75" hidden="false" customHeight="true" outlineLevel="0" collapsed="false">
      <c r="A16" s="10" t="s">
        <v>141</v>
      </c>
      <c r="B16" s="11" t="s">
        <v>142</v>
      </c>
      <c r="C16" s="12" t="n">
        <v>64.99</v>
      </c>
      <c r="D16" s="13" t="n">
        <v>33.41</v>
      </c>
      <c r="E16" s="0" t="s">
        <v>203</v>
      </c>
    </row>
    <row r="17" customFormat="false" ht="50.25" hidden="false" customHeight="true" outlineLevel="0" collapsed="false">
      <c r="A17" s="6" t="s">
        <v>147</v>
      </c>
      <c r="B17" s="7" t="s">
        <v>148</v>
      </c>
      <c r="C17" s="8" t="n">
        <v>44.99</v>
      </c>
      <c r="D17" s="9" t="n">
        <v>11.81</v>
      </c>
      <c r="E17" s="0" t="s">
        <v>203</v>
      </c>
    </row>
    <row r="18" customFormat="false" ht="33.75" hidden="false" customHeight="true" outlineLevel="0" collapsed="false">
      <c r="A18" s="6" t="s">
        <v>151</v>
      </c>
      <c r="B18" s="7" t="s">
        <v>152</v>
      </c>
      <c r="C18" s="8" t="n">
        <v>49.99</v>
      </c>
      <c r="D18" s="9" t="n">
        <v>11.81</v>
      </c>
      <c r="E18" s="0" t="s">
        <v>203</v>
      </c>
    </row>
    <row r="19" customFormat="false" ht="50.25" hidden="false" customHeight="true" outlineLevel="0" collapsed="false">
      <c r="A19" s="10" t="s">
        <v>153</v>
      </c>
      <c r="B19" s="11" t="s">
        <v>154</v>
      </c>
      <c r="C19" s="12" t="n">
        <v>37.99</v>
      </c>
      <c r="D19" s="13" t="n">
        <v>5.9</v>
      </c>
      <c r="E19" s="0" t="s">
        <v>204</v>
      </c>
    </row>
    <row r="20" customFormat="false" ht="50.25" hidden="false" customHeight="true" outlineLevel="0" collapsed="false">
      <c r="A20" s="6" t="s">
        <v>159</v>
      </c>
      <c r="B20" s="7" t="s">
        <v>160</v>
      </c>
      <c r="C20" s="8" t="n">
        <v>49.99</v>
      </c>
      <c r="D20" s="9" t="n">
        <v>11.81</v>
      </c>
      <c r="E20" s="0" t="s">
        <v>204</v>
      </c>
    </row>
    <row r="21" customFormat="false" ht="50.25" hidden="false" customHeight="true" outlineLevel="0" collapsed="false">
      <c r="A21" s="6" t="s">
        <v>171</v>
      </c>
      <c r="B21" s="7" t="s">
        <v>172</v>
      </c>
      <c r="C21" s="8" t="n">
        <v>44.99</v>
      </c>
      <c r="D21" s="9" t="n">
        <v>11.81</v>
      </c>
      <c r="E21" s="0" t="s">
        <v>204</v>
      </c>
    </row>
    <row r="22" customFormat="false" ht="33.75" hidden="false" customHeight="true" outlineLevel="0" collapsed="false">
      <c r="A22" s="10" t="n">
        <v>869339</v>
      </c>
      <c r="B22" s="11" t="s">
        <v>173</v>
      </c>
      <c r="C22" s="12" t="n">
        <v>44.99</v>
      </c>
      <c r="D22" s="9" t="n">
        <v>11.81</v>
      </c>
      <c r="E22" s="0" t="s">
        <v>203</v>
      </c>
    </row>
    <row r="23" customFormat="false" ht="50.25" hidden="false" customHeight="true" outlineLevel="0" collapsed="false">
      <c r="A23" s="6" t="s">
        <v>167</v>
      </c>
      <c r="B23" s="7" t="s">
        <v>168</v>
      </c>
      <c r="C23" s="8" t="n">
        <v>142.99</v>
      </c>
      <c r="D23" s="9" t="n">
        <v>33.41</v>
      </c>
      <c r="E23" s="2" t="s">
        <v>205</v>
      </c>
    </row>
    <row r="24" customFormat="false" ht="50.25" hidden="false" customHeight="true" outlineLevel="0" collapsed="false">
      <c r="A24" s="6" t="s">
        <v>174</v>
      </c>
      <c r="B24" s="7" t="s">
        <v>175</v>
      </c>
      <c r="C24" s="8" t="n">
        <v>142.99</v>
      </c>
      <c r="D24" s="9" t="n">
        <v>33.41</v>
      </c>
      <c r="E24" s="2" t="s">
        <v>206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0" width="53.83"/>
    <col collapsed="false" customWidth="true" hidden="false" outlineLevel="0" max="3" min="3" style="0" width="11.83"/>
    <col collapsed="false" customWidth="true" hidden="false" outlineLevel="0" max="4" min="4" style="0" width="25.16"/>
    <col collapsed="false" customWidth="true" hidden="false" outlineLevel="0" max="5" min="5" style="0" width="14.51"/>
  </cols>
  <sheetData>
    <row r="1" customFormat="false" ht="33.75" hidden="false" customHeight="true" outlineLevel="0" collapsed="false">
      <c r="A1" s="10" t="s">
        <v>49</v>
      </c>
      <c r="B1" s="11" t="s">
        <v>50</v>
      </c>
      <c r="C1" s="12" t="n">
        <v>57.99</v>
      </c>
      <c r="D1" s="15" t="n">
        <v>13.07</v>
      </c>
    </row>
    <row r="2" customFormat="false" ht="16.5" hidden="false" customHeight="true" outlineLevel="0" collapsed="false">
      <c r="A2" s="6" t="s">
        <v>51</v>
      </c>
      <c r="B2" s="7" t="s">
        <v>52</v>
      </c>
      <c r="C2" s="8" t="n">
        <v>44.99</v>
      </c>
      <c r="D2" s="0" t="s">
        <v>207</v>
      </c>
    </row>
    <row r="3" customFormat="false" ht="16.5" hidden="false" customHeight="true" outlineLevel="0" collapsed="false">
      <c r="A3" s="10" t="s">
        <v>53</v>
      </c>
      <c r="B3" s="11" t="s">
        <v>54</v>
      </c>
      <c r="C3" s="12" t="n">
        <v>52.99</v>
      </c>
      <c r="D3" s="16" t="n">
        <v>16.04</v>
      </c>
    </row>
    <row r="4" customFormat="false" ht="16.5" hidden="false" customHeight="true" outlineLevel="0" collapsed="false">
      <c r="A4" s="6" t="s">
        <v>55</v>
      </c>
      <c r="B4" s="7" t="s">
        <v>56</v>
      </c>
      <c r="C4" s="8" t="n">
        <v>57.99</v>
      </c>
      <c r="D4" s="15" t="n">
        <v>16.04</v>
      </c>
    </row>
    <row r="5" customFormat="false" ht="16.5" hidden="false" customHeight="true" outlineLevel="0" collapsed="false">
      <c r="A5" s="10" t="s">
        <v>57</v>
      </c>
      <c r="B5" s="11" t="s">
        <v>58</v>
      </c>
      <c r="C5" s="12" t="n">
        <v>57.99</v>
      </c>
      <c r="D5" s="15" t="n">
        <v>16.04</v>
      </c>
    </row>
    <row r="6" customFormat="false" ht="16.5" hidden="false" customHeight="true" outlineLevel="0" collapsed="false">
      <c r="A6" s="6" t="s">
        <v>59</v>
      </c>
      <c r="B6" s="7" t="s">
        <v>60</v>
      </c>
      <c r="C6" s="8" t="n">
        <v>57.99</v>
      </c>
      <c r="D6" s="15" t="n">
        <v>16.04</v>
      </c>
    </row>
    <row r="7" customFormat="false" ht="16.5" hidden="false" customHeight="true" outlineLevel="0" collapsed="false">
      <c r="A7" s="10" t="s">
        <v>61</v>
      </c>
      <c r="B7" s="11" t="s">
        <v>62</v>
      </c>
      <c r="C7" s="12" t="n">
        <v>57.99</v>
      </c>
      <c r="D7" s="15" t="n">
        <v>13.07</v>
      </c>
    </row>
    <row r="8" customFormat="false" ht="16.5" hidden="false" customHeight="true" outlineLevel="0" collapsed="false">
      <c r="A8" s="6" t="s">
        <v>63</v>
      </c>
      <c r="B8" s="7" t="s">
        <v>64</v>
      </c>
      <c r="C8" s="8" t="n">
        <v>59.99</v>
      </c>
      <c r="D8" s="15" t="n">
        <v>16.04</v>
      </c>
    </row>
    <row r="9" customFormat="false" ht="16.5" hidden="false" customHeight="true" outlineLevel="0" collapsed="false">
      <c r="A9" s="10" t="s">
        <v>65</v>
      </c>
      <c r="B9" s="11" t="s">
        <v>66</v>
      </c>
      <c r="C9" s="12" t="n">
        <v>57.99</v>
      </c>
      <c r="D9" s="15" t="n">
        <v>13.07</v>
      </c>
    </row>
    <row r="10" customFormat="false" ht="16.5" hidden="false" customHeight="true" outlineLevel="0" collapsed="false">
      <c r="A10" s="6" t="s">
        <v>67</v>
      </c>
      <c r="B10" s="7" t="s">
        <v>68</v>
      </c>
      <c r="C10" s="8" t="n">
        <v>57.99</v>
      </c>
      <c r="D10" s="15" t="n">
        <v>13.07</v>
      </c>
    </row>
    <row r="11" customFormat="false" ht="16.5" hidden="false" customHeight="true" outlineLevel="0" collapsed="false">
      <c r="A11" s="10" t="s">
        <v>69</v>
      </c>
      <c r="B11" s="11" t="s">
        <v>70</v>
      </c>
      <c r="C11" s="12" t="n">
        <v>57.99</v>
      </c>
      <c r="D11" s="15" t="n">
        <v>13.07</v>
      </c>
    </row>
    <row r="12" customFormat="false" ht="33.75" hidden="false" customHeight="true" outlineLevel="0" collapsed="false">
      <c r="A12" s="6" t="s">
        <v>71</v>
      </c>
      <c r="B12" s="7" t="s">
        <v>72</v>
      </c>
      <c r="C12" s="8" t="n">
        <v>57.99</v>
      </c>
      <c r="D12" s="15" t="n">
        <v>13.07</v>
      </c>
    </row>
    <row r="13" customFormat="false" ht="33.75" hidden="false" customHeight="true" outlineLevel="0" collapsed="false">
      <c r="A13" s="10" t="s">
        <v>73</v>
      </c>
      <c r="B13" s="11" t="s">
        <v>74</v>
      </c>
      <c r="C13" s="12" t="n">
        <v>57.99</v>
      </c>
      <c r="D13" s="15"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0" width="80.5"/>
    <col collapsed="false" customWidth="true" hidden="false" outlineLevel="0" max="6" min="6" style="0" width="40.67"/>
  </cols>
  <sheetData>
    <row r="1" customFormat="false" ht="31.5" hidden="false" customHeight="true" outlineLevel="0" collapsed="false">
      <c r="A1" s="10" t="s">
        <v>4</v>
      </c>
      <c r="B1" s="11" t="s">
        <v>5</v>
      </c>
      <c r="C1" s="12" t="n">
        <v>37.99</v>
      </c>
      <c r="D1" s="15" t="n">
        <v>5.35</v>
      </c>
      <c r="F1" s="17" t="s">
        <v>208</v>
      </c>
    </row>
    <row r="2" customFormat="false" ht="16.5" hidden="false" customHeight="true" outlineLevel="0" collapsed="false">
      <c r="A2" s="6" t="s">
        <v>95</v>
      </c>
      <c r="B2" s="7" t="s">
        <v>96</v>
      </c>
      <c r="C2" s="8" t="n">
        <v>24.99</v>
      </c>
      <c r="D2" s="15" t="n">
        <v>2.67</v>
      </c>
    </row>
    <row r="3" customFormat="false" ht="16.5" hidden="false" customHeight="true" outlineLevel="0" collapsed="false">
      <c r="A3" s="10" t="s">
        <v>97</v>
      </c>
      <c r="B3" s="11" t="s">
        <v>98</v>
      </c>
      <c r="C3" s="12" t="n">
        <v>44.99</v>
      </c>
      <c r="D3" s="15" t="n">
        <v>10.69</v>
      </c>
    </row>
    <row r="4" customFormat="false" ht="16.5" hidden="false" customHeight="true" outlineLevel="0" collapsed="false">
      <c r="A4" s="6" t="s">
        <v>99</v>
      </c>
      <c r="B4" s="7" t="s">
        <v>100</v>
      </c>
      <c r="C4" s="8" t="n">
        <v>24.99</v>
      </c>
      <c r="D4" s="15" t="n">
        <v>2.67</v>
      </c>
    </row>
    <row r="5" customFormat="false" ht="16.5" hidden="false" customHeight="true" outlineLevel="0" collapsed="false">
      <c r="A5" s="6" t="s">
        <v>103</v>
      </c>
      <c r="B5" s="7" t="s">
        <v>104</v>
      </c>
      <c r="C5" s="8" t="n">
        <v>44.99</v>
      </c>
      <c r="D5" s="15" t="n">
        <v>9.5</v>
      </c>
    </row>
    <row r="6" customFormat="false" ht="16.5" hidden="false" customHeight="true" outlineLevel="0" collapsed="false">
      <c r="A6" s="10" t="s">
        <v>105</v>
      </c>
      <c r="B6" s="11" t="s">
        <v>106</v>
      </c>
      <c r="C6" s="12" t="n">
        <v>44.99</v>
      </c>
      <c r="D6" s="15" t="n">
        <v>10.69</v>
      </c>
    </row>
    <row r="7" customFormat="false" ht="16.5" hidden="false" customHeight="true" outlineLevel="0" collapsed="false">
      <c r="A7" s="10" t="s">
        <v>109</v>
      </c>
      <c r="B7" s="11" t="s">
        <v>110</v>
      </c>
      <c r="C7" s="12" t="n">
        <v>32.99</v>
      </c>
      <c r="D7" s="15" t="n">
        <v>5.35</v>
      </c>
    </row>
    <row r="8" customFormat="false" ht="16.5" hidden="false" customHeight="true" outlineLevel="0" collapsed="false">
      <c r="A8" s="6" t="s">
        <v>111</v>
      </c>
      <c r="B8" s="7" t="s">
        <v>112</v>
      </c>
      <c r="C8" s="8" t="n">
        <v>49.99</v>
      </c>
      <c r="D8" s="15" t="n">
        <v>5.35</v>
      </c>
    </row>
    <row r="9" customFormat="false" ht="16.5" hidden="false" customHeight="true" outlineLevel="0" collapsed="false">
      <c r="A9" s="6" t="s">
        <v>115</v>
      </c>
      <c r="B9" s="7" t="s">
        <v>116</v>
      </c>
      <c r="C9" s="8" t="n">
        <v>27.99</v>
      </c>
      <c r="D9" s="15" t="n">
        <v>2.67</v>
      </c>
    </row>
    <row r="10" customFormat="false" ht="16.5" hidden="false" customHeight="true" outlineLevel="0" collapsed="false">
      <c r="A10" s="6" t="s">
        <v>119</v>
      </c>
      <c r="B10" s="7" t="s">
        <v>120</v>
      </c>
      <c r="C10" s="8" t="n">
        <v>44.99</v>
      </c>
      <c r="D10" s="15" t="n">
        <v>9.5</v>
      </c>
    </row>
    <row r="11" customFormat="false" ht="16.5" hidden="false" customHeight="true" outlineLevel="0" collapsed="false">
      <c r="A11" s="10" t="s">
        <v>121</v>
      </c>
      <c r="B11" s="11" t="s">
        <v>122</v>
      </c>
      <c r="C11" s="12" t="n">
        <v>49.99</v>
      </c>
      <c r="D11" s="15" t="n">
        <v>2</v>
      </c>
    </row>
    <row r="12" customFormat="false" ht="16.5" hidden="false" customHeight="true" outlineLevel="0" collapsed="false">
      <c r="A12" s="6" t="s">
        <v>123</v>
      </c>
      <c r="B12" s="7" t="s">
        <v>124</v>
      </c>
      <c r="C12" s="8" t="n">
        <v>32.99</v>
      </c>
      <c r="D12" s="15" t="n">
        <v>2.67</v>
      </c>
    </row>
    <row r="13" customFormat="false" ht="16.5" hidden="false" customHeight="true" outlineLevel="0" collapsed="false">
      <c r="A13" s="10" t="s">
        <v>125</v>
      </c>
      <c r="B13" s="11" t="s">
        <v>126</v>
      </c>
      <c r="C13" s="12" t="n">
        <v>37.99</v>
      </c>
      <c r="D13" s="15" t="n">
        <v>4.01</v>
      </c>
    </row>
    <row r="14" customFormat="false" ht="16.5" hidden="false" customHeight="true" outlineLevel="0" collapsed="false">
      <c r="A14" s="10" t="s">
        <v>129</v>
      </c>
      <c r="B14" s="11" t="s">
        <v>130</v>
      </c>
      <c r="C14" s="12" t="n">
        <v>37.99</v>
      </c>
      <c r="D14" s="15" t="n">
        <v>10.69</v>
      </c>
    </row>
    <row r="15" customFormat="false" ht="16.5" hidden="false" customHeight="true" outlineLevel="0" collapsed="false">
      <c r="A15" s="10" t="s">
        <v>133</v>
      </c>
      <c r="B15" s="11" t="s">
        <v>134</v>
      </c>
      <c r="C15" s="12" t="n">
        <v>37.99</v>
      </c>
      <c r="D15" s="15" t="n">
        <v>10.69</v>
      </c>
    </row>
    <row r="16" customFormat="false" ht="16.5" hidden="false" customHeight="true" outlineLevel="0" collapsed="false">
      <c r="A16" s="6" t="s">
        <v>135</v>
      </c>
      <c r="B16" s="7" t="s">
        <v>136</v>
      </c>
      <c r="C16" s="8" t="n">
        <v>44.99</v>
      </c>
      <c r="D16" s="15" t="n">
        <v>10.69</v>
      </c>
    </row>
    <row r="17" customFormat="false" ht="16.5" hidden="false" customHeight="true" outlineLevel="0" collapsed="false">
      <c r="A17" s="6" t="s">
        <v>139</v>
      </c>
      <c r="B17" s="7" t="s">
        <v>140</v>
      </c>
      <c r="C17" s="8" t="n">
        <v>32.99</v>
      </c>
      <c r="D17" s="15" t="n">
        <v>2.89</v>
      </c>
    </row>
    <row r="18" customFormat="false" ht="16.5" hidden="false" customHeight="true" outlineLevel="0" collapsed="false">
      <c r="A18" s="6" t="s">
        <v>143</v>
      </c>
      <c r="B18" s="7" t="s">
        <v>144</v>
      </c>
      <c r="C18" s="8" t="n">
        <v>49.99</v>
      </c>
      <c r="D18" s="15" t="n">
        <v>1.94</v>
      </c>
    </row>
    <row r="19" customFormat="false" ht="16.5" hidden="false" customHeight="true" outlineLevel="0" collapsed="false">
      <c r="A19" s="10" t="s">
        <v>149</v>
      </c>
      <c r="B19" s="11" t="s">
        <v>150</v>
      </c>
      <c r="C19" s="12" t="n">
        <v>49.99</v>
      </c>
      <c r="D19" s="15" t="n">
        <v>10.69</v>
      </c>
    </row>
    <row r="20" customFormat="false" ht="16.5" hidden="false" customHeight="true" outlineLevel="0" collapsed="false">
      <c r="A20" s="6" t="s">
        <v>155</v>
      </c>
      <c r="B20" s="7" t="s">
        <v>156</v>
      </c>
      <c r="C20" s="8" t="n">
        <v>32.99</v>
      </c>
      <c r="D20" s="18" t="n">
        <f aca="false">D18*1.65</f>
        <v>3.201</v>
      </c>
    </row>
    <row r="21" customFormat="false" ht="16.5" hidden="false" customHeight="true" outlineLevel="0" collapsed="false">
      <c r="A21" s="10" t="s">
        <v>157</v>
      </c>
      <c r="B21" s="11" t="s">
        <v>158</v>
      </c>
      <c r="C21" s="12" t="n">
        <v>32.99</v>
      </c>
      <c r="D21" s="15" t="n">
        <v>5.35</v>
      </c>
    </row>
    <row r="22" customFormat="false" ht="16.5" hidden="false" customHeight="true" outlineLevel="0" collapsed="false">
      <c r="A22" s="10" t="s">
        <v>161</v>
      </c>
      <c r="B22" s="11" t="s">
        <v>162</v>
      </c>
      <c r="C22" s="12" t="n">
        <v>32.99</v>
      </c>
      <c r="D22" s="15" t="n">
        <v>2.67</v>
      </c>
    </row>
    <row r="23" customFormat="false" ht="16.5" hidden="false" customHeight="true" outlineLevel="0" collapsed="false">
      <c r="A23" s="6" t="s">
        <v>163</v>
      </c>
      <c r="B23" s="7" t="s">
        <v>164</v>
      </c>
      <c r="C23" s="8" t="n">
        <v>32.99</v>
      </c>
      <c r="D23" s="15"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0" width="15"/>
    <col collapsed="false" customWidth="true" hidden="false" outlineLevel="0" max="2" min="2" style="0" width="13"/>
    <col collapsed="false" customWidth="true" hidden="false" outlineLevel="0" max="3" min="3" style="0" width="48"/>
    <col collapsed="false" customWidth="true" hidden="false" outlineLevel="0" max="7" min="4" style="0" width="15"/>
    <col collapsed="false" customWidth="true" hidden="false" outlineLevel="0" max="8" min="8" style="0" width="16"/>
    <col collapsed="false" customWidth="true" hidden="false" outlineLevel="0" max="9" min="9" style="0" width="14"/>
    <col collapsed="false" customWidth="true" hidden="false" outlineLevel="0" max="10" min="10" style="0" width="42"/>
  </cols>
  <sheetData>
    <row r="1" customFormat="false" ht="18.75" hidden="false" customHeight="true" outlineLevel="0" collapsed="false">
      <c r="A1" s="19" t="s">
        <v>209</v>
      </c>
    </row>
    <row r="2" customFormat="false" ht="30" hidden="false" customHeight="true" outlineLevel="0" collapsed="false">
      <c r="A2" s="20" t="s">
        <v>210</v>
      </c>
      <c r="B2" s="20"/>
      <c r="C2" s="20"/>
      <c r="D2" s="20"/>
      <c r="E2" s="20"/>
      <c r="F2" s="20"/>
      <c r="G2" s="20"/>
      <c r="H2" s="20"/>
      <c r="I2" s="20"/>
      <c r="J2" s="20"/>
    </row>
    <row r="3" customFormat="false" ht="30" hidden="false" customHeight="true" outlineLevel="0" collapsed="false">
      <c r="A3" s="20" t="s">
        <v>211</v>
      </c>
      <c r="B3" s="20"/>
      <c r="C3" s="20"/>
      <c r="D3" s="20"/>
      <c r="E3" s="20"/>
      <c r="F3" s="20"/>
      <c r="G3" s="20"/>
      <c r="H3" s="20"/>
      <c r="I3" s="20"/>
      <c r="J3" s="20"/>
    </row>
    <row r="5" customFormat="false" ht="48.75" hidden="false" customHeight="true" outlineLevel="0" collapsed="false">
      <c r="A5" s="21" t="s">
        <v>212</v>
      </c>
      <c r="B5" s="21" t="s">
        <v>0</v>
      </c>
      <c r="C5" s="21" t="s">
        <v>1</v>
      </c>
      <c r="D5" s="21" t="s">
        <v>213</v>
      </c>
      <c r="E5" s="21" t="s">
        <v>214</v>
      </c>
      <c r="F5" s="21" t="s">
        <v>215</v>
      </c>
      <c r="G5" s="21" t="s">
        <v>216</v>
      </c>
      <c r="H5" s="21" t="s">
        <v>217</v>
      </c>
      <c r="I5" s="21" t="s">
        <v>218</v>
      </c>
      <c r="J5" s="21" t="s">
        <v>219</v>
      </c>
    </row>
    <row r="6" customFormat="false" ht="31.5" hidden="false" customHeight="true" outlineLevel="0" collapsed="false">
      <c r="A6" s="22" t="s">
        <v>220</v>
      </c>
      <c r="B6" s="22" t="str">
        <f aca="false">'1.6 AL ON WEBSITE'!A1</f>
        <v>114090</v>
      </c>
      <c r="C6" s="23" t="str">
        <f aca="false">'1.6 AL ON WEBSITE'!B1</f>
        <v>Security Sign This Area Is Under 24 Hour Surv Metal 450x300 SW023LSM</v>
      </c>
      <c r="D6" s="24" t="n">
        <f aca="false">'1.6 AL ON WEBSITE'!C1</f>
        <v>42.99</v>
      </c>
      <c r="E6" s="24" t="n">
        <f aca="false">D6/1.1</f>
        <v>39.0818181818182</v>
      </c>
      <c r="F6" s="24" t="n">
        <f aca="false">'1.6 AL ON WEBSITE'!D1</f>
        <v>16.71</v>
      </c>
      <c r="G6" s="24" t="n">
        <f aca="false">F6*1.1</f>
        <v>18.381</v>
      </c>
      <c r="H6" s="24" t="n">
        <f aca="false">E6-F6</f>
        <v>22.3718181818182</v>
      </c>
      <c r="I6" s="25" t="n">
        <f aca="false">IFERROR(E6/F6-1,"")</f>
        <v>1.33882813775094</v>
      </c>
      <c r="J6" s="23" t="str">
        <f aca="false">IF('1.6 AL ON WEBSITE'!E1="","",'1.6 AL ON WEBSITE'!E1)</f>
        <v>Site/Warehouse safety sign </v>
      </c>
    </row>
    <row r="7" customFormat="false" ht="48" hidden="false" customHeight="true" outlineLevel="0" collapsed="false">
      <c r="A7" s="22" t="s">
        <v>220</v>
      </c>
      <c r="B7" s="22" t="str">
        <f aca="false">'1.6 AL ON WEBSITE'!A2</f>
        <v>201032</v>
      </c>
      <c r="C7" s="23" t="str">
        <f aca="false">'1.6 AL ON WEBSITE'!B2</f>
        <v>Uniform Safety Flat Plate Swing Stand Reduce Speed Metal SG519-ALUM</v>
      </c>
      <c r="D7" s="24" t="n">
        <f aca="false">'1.6 AL ON WEBSITE'!C2</f>
        <v>134.99</v>
      </c>
      <c r="E7" s="24" t="n">
        <f aca="false">D7/1.1</f>
        <v>122.718181818182</v>
      </c>
      <c r="F7" s="24" t="n">
        <f aca="false">'1.6 AL ON WEBSITE'!D2</f>
        <v>66.83</v>
      </c>
      <c r="G7" s="24" t="n">
        <f aca="false">F7*1.1</f>
        <v>73.513</v>
      </c>
      <c r="H7" s="24" t="n">
        <f aca="false">E7-F7</f>
        <v>55.8881818181818</v>
      </c>
      <c r="I7" s="25" t="n">
        <f aca="false">IFERROR(E7/F7-1,"")</f>
        <v>0.836273856324732</v>
      </c>
      <c r="J7" s="23" t="str">
        <f aca="false">IF('1.6 AL ON WEBSITE'!E2="","",'1.6 AL ON WEBSITE'!E2)</f>
        <v>Traffic control temp signage assuming this is 900x600 no sizes provided, more used for gardnening or side road works. Swing stand holes required </v>
      </c>
    </row>
    <row r="8" customFormat="false" ht="48" hidden="false" customHeight="true" outlineLevel="0" collapsed="false">
      <c r="A8" s="22" t="s">
        <v>220</v>
      </c>
      <c r="B8" s="22" t="str">
        <f aca="false">'1.6 AL ON WEBSITE'!A3</f>
        <v>201033</v>
      </c>
      <c r="C8" s="23" t="str">
        <f aca="false">'1.6 AL ON WEBSITE'!B3</f>
        <v>Unifrom Safety Sign Flate Plat Swing Stand End Roadwork Metal SG501-ALUM</v>
      </c>
      <c r="D8" s="24" t="n">
        <f aca="false">'1.6 AL ON WEBSITE'!C3</f>
        <v>167.99</v>
      </c>
      <c r="E8" s="24" t="n">
        <f aca="false">D8/1.1</f>
        <v>152.718181818182</v>
      </c>
      <c r="F8" s="24" t="n">
        <f aca="false">'1.6 AL ON WEBSITE'!D3</f>
        <v>44.55</v>
      </c>
      <c r="G8" s="24" t="n">
        <f aca="false">F8*1.1</f>
        <v>49.005</v>
      </c>
      <c r="H8" s="24" t="n">
        <f aca="false">E8-F8</f>
        <v>108.168181818182</v>
      </c>
      <c r="I8" s="25" t="n">
        <f aca="false">IFERROR(E8/F8-1,"")</f>
        <v>2.42801754922967</v>
      </c>
      <c r="J8" s="23" t="str">
        <f aca="false">IF('1.6 AL ON WEBSITE'!E3="","",'1.6 AL ON WEBSITE'!E3)</f>
        <v>Traffic control temp signage assuming this is 900x600 no sizes provided, more used for gardnening or side road works. Swing stand holes required </v>
      </c>
    </row>
    <row r="9" customFormat="false" ht="31.5" hidden="false" customHeight="true" outlineLevel="0" collapsed="false">
      <c r="A9" s="22" t="s">
        <v>220</v>
      </c>
      <c r="B9" s="22" t="str">
        <f aca="false">'1.6 AL ON WEBSITE'!A4</f>
        <v>60268</v>
      </c>
      <c r="C9" s="23" t="str">
        <f aca="false">'1.6 AL ON WEBSITE'!B4</f>
        <v>Stop 600mm Octagonal Metal Traffic Sign R1-1A-1X</v>
      </c>
      <c r="D9" s="24" t="n">
        <f aca="false">'1.6 AL ON WEBSITE'!C4</f>
        <v>147.99</v>
      </c>
      <c r="E9" s="24" t="n">
        <f aca="false">D9/1.1</f>
        <v>134.536363636364</v>
      </c>
      <c r="F9" s="24" t="n">
        <f aca="false">'1.6 AL ON WEBSITE'!D4</f>
        <v>44.55</v>
      </c>
      <c r="G9" s="24" t="n">
        <f aca="false">F9*1.1</f>
        <v>49.005</v>
      </c>
      <c r="H9" s="24" t="n">
        <f aca="false">E9-F9</f>
        <v>89.9863636363636</v>
      </c>
      <c r="I9" s="25" t="n">
        <f aca="false">IFERROR(E9/F9-1,"")</f>
        <v>2.01989592898684</v>
      </c>
      <c r="J9" s="23" t="str">
        <f aca="false">IF('1.6 AL ON WEBSITE'!E4="","",'1.6 AL ON WEBSITE'!E4)</f>
        <v>Traffic signage, STOP sign, only sold in one size at RSEA, comes in 3 different standard sizes. </v>
      </c>
    </row>
    <row r="10" customFormat="false" ht="31.5" hidden="false" customHeight="true" outlineLevel="0" collapsed="false">
      <c r="A10" s="22" t="s">
        <v>220</v>
      </c>
      <c r="B10" s="22" t="str">
        <f aca="false">'1.6 AL ON WEBSITE'!A5</f>
        <v>60273</v>
      </c>
      <c r="C10" s="23" t="str">
        <f aca="false">'1.6 AL ON WEBSITE'!B5</f>
        <v>Give Way 750mm Triangle Metal Traffic Sign R1-2A</v>
      </c>
      <c r="D10" s="24" t="n">
        <f aca="false">'1.6 AL ON WEBSITE'!C5</f>
        <v>167.99</v>
      </c>
      <c r="E10" s="24" t="n">
        <f aca="false">D10/1.1</f>
        <v>152.718181818182</v>
      </c>
      <c r="F10" s="24" t="n">
        <f aca="false">'1.6 AL ON WEBSITE'!D5</f>
        <v>69.61</v>
      </c>
      <c r="G10" s="24" t="n">
        <f aca="false">F10*1.1</f>
        <v>76.571</v>
      </c>
      <c r="H10" s="24" t="n">
        <f aca="false">E10-F10</f>
        <v>83.1081818181818</v>
      </c>
      <c r="I10" s="25" t="n">
        <f aca="false">IFERROR(E10/F10-1,"")</f>
        <v>1.19391153308694</v>
      </c>
      <c r="J10" s="23" t="str">
        <f aca="false">IF('1.6 AL ON WEBSITE'!E5="","",'1.6 AL ON WEBSITE'!E5)</f>
        <v>Traffic signage, GIVE WAY sign, only sold in one size at RSEA comes in 4 different standard sizes</v>
      </c>
    </row>
    <row r="11" customFormat="false" ht="31.5" hidden="false" customHeight="true" outlineLevel="0" collapsed="false">
      <c r="A11" s="22" t="s">
        <v>220</v>
      </c>
      <c r="B11" s="22" t="str">
        <f aca="false">'1.6 AL ON WEBSITE'!A6</f>
        <v>60290</v>
      </c>
      <c r="C11" s="23" t="str">
        <f aca="false">'1.6 AL ON WEBSITE'!B6</f>
        <v>Keep Left Arrow 450x600mm Metal Traffic Sign R2-3AL</v>
      </c>
      <c r="D11" s="24" t="n">
        <f aca="false">'1.6 AL ON WEBSITE'!C6</f>
        <v>142.99</v>
      </c>
      <c r="E11" s="24" t="n">
        <f aca="false">D11/1.1</f>
        <v>129.990909090909</v>
      </c>
      <c r="F11" s="24" t="n">
        <f aca="false">'1.6 AL ON WEBSITE'!D6</f>
        <v>33.41</v>
      </c>
      <c r="G11" s="24" t="n">
        <f aca="false">F11*1.1</f>
        <v>36.751</v>
      </c>
      <c r="H11" s="24" t="n">
        <f aca="false">E11-F11</f>
        <v>96.5809090909091</v>
      </c>
      <c r="I11" s="25" t="n">
        <f aca="false">IFERROR(E11/F11-1,"")</f>
        <v>2.89077848221817</v>
      </c>
      <c r="J11" s="23" t="str">
        <f aca="false">IF('1.6 AL ON WEBSITE'!E6="","",'1.6 AL ON WEBSITE'!E6)</f>
        <v>Traffic signage, KEEP LEFT sign, only sold in one size at RSEA, comes in 3 different standard sizes </v>
      </c>
    </row>
    <row r="12" customFormat="false" ht="31.5" hidden="false" customHeight="true" outlineLevel="0" collapsed="false">
      <c r="A12" s="22" t="s">
        <v>220</v>
      </c>
      <c r="B12" s="22" t="str">
        <f aca="false">'1.6 AL ON WEBSITE'!A7</f>
        <v>60314</v>
      </c>
      <c r="C12" s="23" t="str">
        <f aca="false">'1.6 AL ON WEBSITE'!B7</f>
        <v>Lime Green Pedestrian Crossing Sign 600mm</v>
      </c>
      <c r="D12" s="24" t="n">
        <f aca="false">'1.6 AL ON WEBSITE'!C7</f>
        <v>157.99</v>
      </c>
      <c r="E12" s="24" t="n">
        <f aca="false">D12/1.1</f>
        <v>143.627272727273</v>
      </c>
      <c r="F12" s="24" t="n">
        <f aca="false">'1.6 AL ON WEBSITE'!D7</f>
        <v>44.55</v>
      </c>
      <c r="G12" s="24" t="n">
        <f aca="false">F12*1.1</f>
        <v>49.005</v>
      </c>
      <c r="H12" s="24" t="n">
        <f aca="false">E12-F12</f>
        <v>99.0772727272727</v>
      </c>
      <c r="I12" s="25" t="n">
        <f aca="false">IFERROR(E12/F12-1,"")</f>
        <v>2.22395673910825</v>
      </c>
      <c r="J12" s="23" t="str">
        <f aca="false">IF('1.6 AL ON WEBSITE'!E7="","",'1.6 AL ON WEBSITE'!E7)</f>
        <v>Traffic signage, PEDESTRIAN CROSSING sign, only sold in one size at RSEA, comes in 3 standard sizes. </v>
      </c>
    </row>
    <row r="13" customFormat="false" ht="31.5" hidden="false" customHeight="true" outlineLevel="0" collapsed="false">
      <c r="A13" s="22" t="s">
        <v>220</v>
      </c>
      <c r="B13" s="22" t="str">
        <f aca="false">'1.6 AL ON WEBSITE'!A8</f>
        <v>61041</v>
      </c>
      <c r="C13" s="23" t="str">
        <f aca="false">'1.6 AL ON WEBSITE'!B8</f>
        <v>Regulatory Sign Speed Restriction 10km 450x600mm Metal</v>
      </c>
      <c r="D13" s="24" t="n">
        <f aca="false">'1.6 AL ON WEBSITE'!C8</f>
        <v>142.99</v>
      </c>
      <c r="E13" s="24" t="n">
        <f aca="false">D13/1.1</f>
        <v>129.990909090909</v>
      </c>
      <c r="F13" s="24" t="n">
        <f aca="false">'1.6 AL ON WEBSITE'!D8</f>
        <v>33.41</v>
      </c>
      <c r="G13" s="24" t="n">
        <f aca="false">F13*1.1</f>
        <v>36.751</v>
      </c>
      <c r="H13" s="24" t="n">
        <f aca="false">E13-F13</f>
        <v>96.5809090909091</v>
      </c>
      <c r="I13" s="25" t="n">
        <f aca="false">IFERROR(E13/F13-1,"")</f>
        <v>2.89077848221817</v>
      </c>
      <c r="J13" s="23" t="str">
        <f aca="false">IF('1.6 AL ON WEBSITE'!E8="","",'1.6 AL ON WEBSITE'!E8)</f>
        <v>Traffic signage, 10KM SPEED sign, only sold in one size at RSEA. Comes in 4 standard sizes </v>
      </c>
    </row>
    <row r="14" customFormat="false" ht="31.5" hidden="false" customHeight="true" outlineLevel="0" collapsed="false">
      <c r="A14" s="22" t="s">
        <v>220</v>
      </c>
      <c r="B14" s="22" t="str">
        <f aca="false">'1.6 AL ON WEBSITE'!A9</f>
        <v>61138</v>
      </c>
      <c r="C14" s="23" t="str">
        <f aca="false">'1.6 AL ON WEBSITE'!B9</f>
        <v>Regulatory Sign No Entry Metal 450x450 R2-4A-1</v>
      </c>
      <c r="D14" s="24" t="n">
        <f aca="false">'1.6 AL ON WEBSITE'!C9</f>
        <v>112.99</v>
      </c>
      <c r="E14" s="24" t="n">
        <f aca="false">D14/1.1</f>
        <v>102.718181818182</v>
      </c>
      <c r="F14" s="24" t="n">
        <f aca="false">'1.6 AL ON WEBSITE'!D9</f>
        <v>25.06</v>
      </c>
      <c r="G14" s="24" t="n">
        <f aca="false">F14*1.1</f>
        <v>27.566</v>
      </c>
      <c r="H14" s="24" t="n">
        <f aca="false">E14-F14</f>
        <v>77.6581818181818</v>
      </c>
      <c r="I14" s="25" t="n">
        <f aca="false">IFERROR(E14/F14-1,"")</f>
        <v>3.09888993687876</v>
      </c>
      <c r="J14" s="23" t="str">
        <f aca="false">IF('1.6 AL ON WEBSITE'!E9="","",'1.6 AL ON WEBSITE'!E9)</f>
        <v>Traffic signage, NO ENTRY sign, only one size sold at RSEA. Comes in 5 standard sizes.</v>
      </c>
    </row>
    <row r="15" customFormat="false" ht="31.5" hidden="false" customHeight="true" outlineLevel="0" collapsed="false">
      <c r="A15" s="22" t="s">
        <v>220</v>
      </c>
      <c r="B15" s="22" t="str">
        <f aca="false">'1.6 AL ON WEBSITE'!A10</f>
        <v>685224</v>
      </c>
      <c r="C15" s="23" t="str">
        <f aca="false">'1.6 AL ON WEBSITE'!B10</f>
        <v>216MM 25D-LM Sign Danger Forklift Operating Area Metal 300x225</v>
      </c>
      <c r="D15" s="24" t="n">
        <f aca="false">'1.6 AL ON WEBSITE'!C10</f>
        <v>32.99</v>
      </c>
      <c r="E15" s="24" t="n">
        <f aca="false">D15/1.1</f>
        <v>29.9909090909091</v>
      </c>
      <c r="F15" s="24" t="n">
        <f aca="false">'1.6 AL ON WEBSITE'!D10</f>
        <v>8.35</v>
      </c>
      <c r="G15" s="24" t="n">
        <f aca="false">F15*1.1</f>
        <v>9.185</v>
      </c>
      <c r="H15" s="24" t="n">
        <f aca="false">E15-F15</f>
        <v>21.6409090909091</v>
      </c>
      <c r="I15" s="25" t="n">
        <f aca="false">IFERROR(E15/F15-1,"")</f>
        <v>2.59172563962983</v>
      </c>
      <c r="J15" s="23" t="str">
        <f aca="false">IF('1.6 AL ON WEBSITE'!E10="","",'1.6 AL ON WEBSITE'!E10)</f>
        <v>Site/Warehouse safety sign </v>
      </c>
    </row>
    <row r="16" customFormat="false" ht="31.5" hidden="false" customHeight="true" outlineLevel="0" collapsed="false">
      <c r="A16" s="22" t="s">
        <v>220</v>
      </c>
      <c r="B16" s="22" t="n">
        <f aca="false">'1.6 AL ON WEBSITE'!A11</f>
        <v>685264</v>
      </c>
      <c r="C16" s="23" t="str">
        <f aca="false">'1.6 AL ON WEBSITE'!B11</f>
        <v>Danger Confined Space Entry By Permit Metal Sign 450x300mm</v>
      </c>
      <c r="D16" s="24" t="n">
        <f aca="false">'1.6 AL ON WEBSITE'!C11</f>
        <v>44.99</v>
      </c>
      <c r="E16" s="24" t="n">
        <f aca="false">D16/1.1</f>
        <v>40.9</v>
      </c>
      <c r="F16" s="24" t="n">
        <f aca="false">'1.6 AL ON WEBSITE'!D11</f>
        <v>15.59</v>
      </c>
      <c r="G16" s="24" t="n">
        <f aca="false">F16*1.1</f>
        <v>17.149</v>
      </c>
      <c r="H16" s="24" t="n">
        <f aca="false">E16-F16</f>
        <v>25.31</v>
      </c>
      <c r="I16" s="25" t="n">
        <f aca="false">IFERROR(E16/F16-1,"")</f>
        <v>1.62347658755613</v>
      </c>
      <c r="J16" s="23" t="str">
        <f aca="false">IF('1.6 AL ON WEBSITE'!E11="","",'1.6 AL ON WEBSITE'!E11)</f>
        <v>Site/Warehouse safety sign </v>
      </c>
    </row>
    <row r="17" customFormat="false" ht="31.5" hidden="false" customHeight="true" outlineLevel="0" collapsed="false">
      <c r="A17" s="22" t="s">
        <v>220</v>
      </c>
      <c r="B17" s="22" t="str">
        <f aca="false">'1.6 AL ON WEBSITE'!A12</f>
        <v>685642</v>
      </c>
      <c r="C17" s="23" t="str">
        <f aca="false">'1.6 AL ON WEBSITE'!B12</f>
        <v>First Aid Emergency Eye Wash Metal Sign 300x225mm 506MM</v>
      </c>
      <c r="D17" s="24" t="n">
        <f aca="false">'1.6 AL ON WEBSITE'!C12</f>
        <v>32.99</v>
      </c>
      <c r="E17" s="24" t="n">
        <f aca="false">D17/1.1</f>
        <v>29.9909090909091</v>
      </c>
      <c r="F17" s="24" t="n">
        <f aca="false">'1.6 AL ON WEBSITE'!D12</f>
        <v>8.35</v>
      </c>
      <c r="G17" s="24" t="n">
        <f aca="false">F17*1.1</f>
        <v>9.185</v>
      </c>
      <c r="H17" s="24" t="n">
        <f aca="false">E17-F17</f>
        <v>21.6409090909091</v>
      </c>
      <c r="I17" s="25" t="n">
        <f aca="false">IFERROR(E17/F17-1,"")</f>
        <v>2.59172563962983</v>
      </c>
      <c r="J17" s="23" t="str">
        <f aca="false">IF('1.6 AL ON WEBSITE'!E12="","",'1.6 AL ON WEBSITE'!E12)</f>
        <v>Site/Warehouse safety sign </v>
      </c>
    </row>
    <row r="18" customFormat="false" ht="48" hidden="false" customHeight="true" outlineLevel="0" collapsed="false">
      <c r="A18" s="22" t="s">
        <v>220</v>
      </c>
      <c r="B18" s="22" t="str">
        <f aca="false">'1.6 AL ON WEBSITE'!A13</f>
        <v>685976</v>
      </c>
      <c r="C18" s="23" t="str">
        <f aca="false">'1.6 AL ON WEBSITE'!B13</f>
        <v>Speed 5km 600x400mm Metal Traffic Sign TC409LM</v>
      </c>
      <c r="D18" s="24" t="n">
        <f aca="false">'1.6 AL ON WEBSITE'!C13</f>
        <v>69.99</v>
      </c>
      <c r="E18" s="24" t="n">
        <f aca="false">D18/1.1</f>
        <v>63.6272727272727</v>
      </c>
      <c r="F18" s="24" t="n">
        <f aca="false">'1.6 AL ON WEBSITE'!D13</f>
        <v>29.7</v>
      </c>
      <c r="G18" s="24" t="n">
        <f aca="false">F18*1.1</f>
        <v>32.67</v>
      </c>
      <c r="H18" s="24" t="n">
        <f aca="false">E18-F18</f>
        <v>33.9272727272727</v>
      </c>
      <c r="I18" s="25" t="n">
        <f aca="false">IFERROR(E18/F18-1,"")</f>
        <v>1.14233241505969</v>
      </c>
      <c r="J18" s="23" t="str">
        <f aca="false">IF('1.6 AL ON WEBSITE'!E13="","",'1.6 AL ON WEBSITE'!E13)</f>
        <v>Site/Warehouse safety sign - Not to spec to be a traffic sign, incorrect sizes, used for warehouses or entrances into warehouse parking.</v>
      </c>
    </row>
    <row r="19" customFormat="false" ht="48" hidden="false" customHeight="true" outlineLevel="0" collapsed="false">
      <c r="A19" s="22" t="s">
        <v>220</v>
      </c>
      <c r="B19" s="22" t="str">
        <f aca="false">'1.6 AL ON WEBSITE'!A14</f>
        <v>685980</v>
      </c>
      <c r="C19" s="23" t="str">
        <f aca="false">'1.6 AL ON WEBSITE'!B14</f>
        <v>Speed 10km 600x400mm Metal Traffic Sign TC410LM</v>
      </c>
      <c r="D19" s="24" t="n">
        <f aca="false">'1.6 AL ON WEBSITE'!C14</f>
        <v>84.99</v>
      </c>
      <c r="E19" s="24" t="n">
        <f aca="false">D19/1.1</f>
        <v>77.2636363636364</v>
      </c>
      <c r="F19" s="24" t="n">
        <f aca="false">'1.6 AL ON WEBSITE'!D14</f>
        <v>29.7</v>
      </c>
      <c r="G19" s="24" t="n">
        <f aca="false">F19*1.1</f>
        <v>32.67</v>
      </c>
      <c r="H19" s="24" t="n">
        <f aca="false">E19-F19</f>
        <v>47.5636363636364</v>
      </c>
      <c r="I19" s="25" t="n">
        <f aca="false">IFERROR(E19/F19-1,"")</f>
        <v>1.60146923783287</v>
      </c>
      <c r="J19" s="23" t="str">
        <f aca="false">IF('1.6 AL ON WEBSITE'!E14="","",'1.6 AL ON WEBSITE'!E14)</f>
        <v>Site/Warehouse safety sign - Not to spec to be a traffic sign, incorrect sizes, used for warehouses or entrances into warehouse parking.</v>
      </c>
    </row>
    <row r="20" customFormat="false" ht="31.5" hidden="false" customHeight="true" outlineLevel="0" collapsed="false">
      <c r="A20" s="22" t="s">
        <v>220</v>
      </c>
      <c r="B20" s="22" t="str">
        <f aca="false">'1.6 AL ON WEBSITE'!A15</f>
        <v>686188</v>
      </c>
      <c r="C20" s="23" t="str">
        <f aca="false">'1.6 AL ON WEBSITE'!B15</f>
        <v>Disabled Parking 450x300mm Metal Traffic Sign TC420LSM</v>
      </c>
      <c r="D20" s="24" t="n">
        <f aca="false">'1.6 AL ON WEBSITE'!C15</f>
        <v>44.99</v>
      </c>
      <c r="E20" s="24" t="n">
        <f aca="false">D20/1.1</f>
        <v>40.9</v>
      </c>
      <c r="F20" s="24" t="n">
        <f aca="false">'1.6 AL ON WEBSITE'!D15</f>
        <v>16.71</v>
      </c>
      <c r="G20" s="24" t="n">
        <f aca="false">F20*1.1</f>
        <v>18.381</v>
      </c>
      <c r="H20" s="24" t="n">
        <f aca="false">E20-F20</f>
        <v>24.19</v>
      </c>
      <c r="I20" s="25" t="n">
        <f aca="false">IFERROR(E20/F20-1,"")</f>
        <v>1.44763614602035</v>
      </c>
      <c r="J20" s="23" t="str">
        <f aca="false">IF('1.6 AL ON WEBSITE'!E15="","",'1.6 AL ON WEBSITE'!E15)</f>
        <v>Private car park signage</v>
      </c>
    </row>
    <row r="21" customFormat="false" ht="31.5" hidden="false" customHeight="true" outlineLevel="0" collapsed="false">
      <c r="A21" s="22" t="s">
        <v>220</v>
      </c>
      <c r="B21" s="22" t="str">
        <f aca="false">'1.6 AL ON WEBSITE'!A16</f>
        <v>686503</v>
      </c>
      <c r="C21" s="23" t="str">
        <f aca="false">'1.6 AL ON WEBSITE'!B16</f>
        <v>Traffic Sign No Parking Metal 600x450 TC426LM</v>
      </c>
      <c r="D21" s="24" t="n">
        <f aca="false">'1.6 AL ON WEBSITE'!C16</f>
        <v>64.99</v>
      </c>
      <c r="E21" s="24" t="n">
        <f aca="false">D21/1.1</f>
        <v>59.0818181818182</v>
      </c>
      <c r="F21" s="24" t="n">
        <f aca="false">'1.6 AL ON WEBSITE'!D16</f>
        <v>33.41</v>
      </c>
      <c r="G21" s="24" t="n">
        <f aca="false">F21*1.1</f>
        <v>36.751</v>
      </c>
      <c r="H21" s="24" t="n">
        <f aca="false">E21-F21</f>
        <v>25.6718181818182</v>
      </c>
      <c r="I21" s="25" t="n">
        <f aca="false">IFERROR(E21/F21-1,"")</f>
        <v>0.768387254768578</v>
      </c>
      <c r="J21" s="23" t="str">
        <f aca="false">IF('1.6 AL ON WEBSITE'!E16="","",'1.6 AL ON WEBSITE'!E16)</f>
        <v>Private car park signage</v>
      </c>
    </row>
    <row r="22" customFormat="false" ht="31.5" hidden="false" customHeight="true" outlineLevel="0" collapsed="false">
      <c r="A22" s="22" t="s">
        <v>220</v>
      </c>
      <c r="B22" s="22" t="str">
        <f aca="false">'1.6 AL ON WEBSITE'!A17</f>
        <v>686829</v>
      </c>
      <c r="C22" s="23" t="str">
        <f aca="false">'1.6 AL ON WEBSITE'!B17</f>
        <v>No Standing Anytime Double Arrow Symbolic Metal 300 x 450mm</v>
      </c>
      <c r="D22" s="24" t="n">
        <f aca="false">'1.6 AL ON WEBSITE'!C17</f>
        <v>44.99</v>
      </c>
      <c r="E22" s="24" t="n">
        <f aca="false">D22/1.1</f>
        <v>40.9</v>
      </c>
      <c r="F22" s="24" t="n">
        <f aca="false">'1.6 AL ON WEBSITE'!D17</f>
        <v>11.81</v>
      </c>
      <c r="G22" s="24" t="n">
        <f aca="false">F22*1.1</f>
        <v>12.991</v>
      </c>
      <c r="H22" s="24" t="n">
        <f aca="false">E22-F22</f>
        <v>29.09</v>
      </c>
      <c r="I22" s="25" t="n">
        <f aca="false">IFERROR(E22/F22-1,"")</f>
        <v>2.46316680779001</v>
      </c>
      <c r="J22" s="23" t="str">
        <f aca="false">IF('1.6 AL ON WEBSITE'!E17="","",'1.6 AL ON WEBSITE'!E17)</f>
        <v>Private car park signage</v>
      </c>
    </row>
    <row r="23" customFormat="false" ht="31.5" hidden="false" customHeight="true" outlineLevel="0" collapsed="false">
      <c r="A23" s="22" t="s">
        <v>220</v>
      </c>
      <c r="B23" s="22" t="str">
        <f aca="false">'1.6 AL ON WEBSITE'!A18</f>
        <v>712752</v>
      </c>
      <c r="C23" s="23" t="str">
        <f aca="false">'1.6 AL ON WEBSITE'!B18</f>
        <v>840307 TC426LSM Sign No Parking Metal 450x300</v>
      </c>
      <c r="D23" s="24" t="n">
        <f aca="false">'1.6 AL ON WEBSITE'!C18</f>
        <v>49.99</v>
      </c>
      <c r="E23" s="24" t="n">
        <f aca="false">D23/1.1</f>
        <v>45.4454545454545</v>
      </c>
      <c r="F23" s="24" t="n">
        <f aca="false">'1.6 AL ON WEBSITE'!D18</f>
        <v>11.81</v>
      </c>
      <c r="G23" s="24" t="n">
        <f aca="false">F23*1.1</f>
        <v>12.991</v>
      </c>
      <c r="H23" s="24" t="n">
        <f aca="false">E23-F23</f>
        <v>33.6354545454545</v>
      </c>
      <c r="I23" s="25" t="n">
        <f aca="false">IFERROR(E23/F23-1,"")</f>
        <v>2.84804864906474</v>
      </c>
      <c r="J23" s="23" t="str">
        <f aca="false">IF('1.6 AL ON WEBSITE'!E18="","",'1.6 AL ON WEBSITE'!E18)</f>
        <v>Private car park signage</v>
      </c>
    </row>
    <row r="24" customFormat="false" ht="31.5" hidden="false" customHeight="true" outlineLevel="0" collapsed="false">
      <c r="A24" s="22" t="s">
        <v>220</v>
      </c>
      <c r="B24" s="22" t="str">
        <f aca="false">'1.6 AL ON WEBSITE'!A19</f>
        <v>713252</v>
      </c>
      <c r="C24" s="23" t="str">
        <f aca="false">'1.6 AL ON WEBSITE'!B19</f>
        <v>841090 415MM 112P-LM Sign Prohibition No Smoking In This Area Metal 300x225</v>
      </c>
      <c r="D24" s="24" t="n">
        <f aca="false">'1.6 AL ON WEBSITE'!C19</f>
        <v>37.99</v>
      </c>
      <c r="E24" s="24" t="n">
        <f aca="false">D24/1.1</f>
        <v>34.5363636363636</v>
      </c>
      <c r="F24" s="24" t="n">
        <f aca="false">'1.6 AL ON WEBSITE'!D19</f>
        <v>5.9</v>
      </c>
      <c r="G24" s="24" t="n">
        <f aca="false">F24*1.1</f>
        <v>6.49</v>
      </c>
      <c r="H24" s="24" t="n">
        <f aca="false">E24-F24</f>
        <v>28.6363636363636</v>
      </c>
      <c r="I24" s="25" t="n">
        <f aca="false">IFERROR(E24/F24-1,"")</f>
        <v>4.85362095531587</v>
      </c>
      <c r="J24" s="23" t="str">
        <f aca="false">IF('1.6 AL ON WEBSITE'!E19="","",'1.6 AL ON WEBSITE'!E19)</f>
        <v>Site/warehouse/office space signage </v>
      </c>
    </row>
    <row r="25" customFormat="false" ht="31.5" hidden="false" customHeight="true" outlineLevel="0" collapsed="false">
      <c r="A25" s="22" t="s">
        <v>220</v>
      </c>
      <c r="B25" s="22" t="str">
        <f aca="false">'1.6 AL ON WEBSITE'!A20</f>
        <v>716586</v>
      </c>
      <c r="C25" s="23" t="str">
        <f aca="false">'1.6 AL ON WEBSITE'!B20</f>
        <v>832221 892LSM Restricted Area Auth Personnel Only Metal 450x300</v>
      </c>
      <c r="D25" s="24" t="n">
        <f aca="false">'1.6 AL ON WEBSITE'!C20</f>
        <v>49.99</v>
      </c>
      <c r="E25" s="24" t="n">
        <f aca="false">D25/1.1</f>
        <v>45.4454545454545</v>
      </c>
      <c r="F25" s="24" t="n">
        <f aca="false">'1.6 AL ON WEBSITE'!D20</f>
        <v>11.81</v>
      </c>
      <c r="G25" s="24" t="n">
        <f aca="false">F25*1.1</f>
        <v>12.991</v>
      </c>
      <c r="H25" s="24" t="n">
        <f aca="false">E25-F25</f>
        <v>33.6354545454545</v>
      </c>
      <c r="I25" s="25" t="n">
        <f aca="false">IFERROR(E25/F25-1,"")</f>
        <v>2.84804864906474</v>
      </c>
      <c r="J25" s="23" t="str">
        <f aca="false">IF('1.6 AL ON WEBSITE'!E20="","",'1.6 AL ON WEBSITE'!E20)</f>
        <v>Site/warehouse/office space signage </v>
      </c>
    </row>
    <row r="26" customFormat="false" ht="31.5" hidden="false" customHeight="true" outlineLevel="0" collapsed="false">
      <c r="A26" s="22" t="s">
        <v>220</v>
      </c>
      <c r="B26" s="22" t="str">
        <f aca="false">'1.6 AL ON WEBSITE'!A21</f>
        <v>869327</v>
      </c>
      <c r="C26" s="23" t="str">
        <f aca="false">'1.6 AL ON WEBSITE'!B21</f>
        <v>Security Sign Elec Surveillance Protects Property SW022LSM Metal450x300</v>
      </c>
      <c r="D26" s="24" t="n">
        <f aca="false">'1.6 AL ON WEBSITE'!C21</f>
        <v>44.99</v>
      </c>
      <c r="E26" s="24" t="n">
        <f aca="false">D26/1.1</f>
        <v>40.9</v>
      </c>
      <c r="F26" s="24" t="n">
        <f aca="false">'1.6 AL ON WEBSITE'!D21</f>
        <v>11.81</v>
      </c>
      <c r="G26" s="24" t="n">
        <f aca="false">F26*1.1</f>
        <v>12.991</v>
      </c>
      <c r="H26" s="24" t="n">
        <f aca="false">E26-F26</f>
        <v>29.09</v>
      </c>
      <c r="I26" s="25" t="n">
        <f aca="false">IFERROR(E26/F26-1,"")</f>
        <v>2.46316680779001</v>
      </c>
      <c r="J26" s="23" t="str">
        <f aca="false">IF('1.6 AL ON WEBSITE'!E21="","",'1.6 AL ON WEBSITE'!E21)</f>
        <v>Site/warehouse/office space signage </v>
      </c>
    </row>
    <row r="27" customFormat="false" ht="31.5" hidden="false" customHeight="true" outlineLevel="0" collapsed="false">
      <c r="A27" s="22" t="s">
        <v>220</v>
      </c>
      <c r="B27" s="22" t="n">
        <f aca="false">'1.6 AL ON WEBSITE'!A22</f>
        <v>869339</v>
      </c>
      <c r="C27" s="23" t="str">
        <f aca="false">'1.6 AL ON WEBSITE'!B22</f>
        <v>Reverse Parking Only 450x300mm Metal Traffic Sign TC454LSM</v>
      </c>
      <c r="D27" s="24" t="n">
        <f aca="false">'1.6 AL ON WEBSITE'!C22</f>
        <v>44.99</v>
      </c>
      <c r="E27" s="24" t="n">
        <f aca="false">D27/1.1</f>
        <v>40.9</v>
      </c>
      <c r="F27" s="24" t="n">
        <f aca="false">'1.6 AL ON WEBSITE'!D22</f>
        <v>11.81</v>
      </c>
      <c r="G27" s="24" t="n">
        <f aca="false">F27*1.1</f>
        <v>12.991</v>
      </c>
      <c r="H27" s="24" t="n">
        <f aca="false">E27-F27</f>
        <v>29.09</v>
      </c>
      <c r="I27" s="25" t="n">
        <f aca="false">IFERROR(E27/F27-1,"")</f>
        <v>2.46316680779001</v>
      </c>
      <c r="J27" s="23" t="str">
        <f aca="false">IF('1.6 AL ON WEBSITE'!E22="","",'1.6 AL ON WEBSITE'!E22)</f>
        <v>Private car park signage</v>
      </c>
    </row>
    <row r="28" customFormat="false" ht="31.5" hidden="false" customHeight="true" outlineLevel="0" collapsed="false">
      <c r="A28" s="22" t="s">
        <v>220</v>
      </c>
      <c r="B28" s="22" t="str">
        <f aca="false">'1.6 AL ON WEBSITE'!A23</f>
        <v>869206</v>
      </c>
      <c r="C28" s="23" t="str">
        <f aca="false">'1.6 AL ON WEBSITE'!B23</f>
        <v>Regulatory Sign Speed 5km CL1 Aluminium 600x450 TC409C1</v>
      </c>
      <c r="D28" s="24" t="n">
        <f aca="false">'1.6 AL ON WEBSITE'!C23</f>
        <v>142.99</v>
      </c>
      <c r="E28" s="24" t="n">
        <f aca="false">D28/1.1</f>
        <v>129.990909090909</v>
      </c>
      <c r="F28" s="24" t="n">
        <f aca="false">'1.6 AL ON WEBSITE'!D23</f>
        <v>33.41</v>
      </c>
      <c r="G28" s="24" t="n">
        <f aca="false">F28*1.1</f>
        <v>36.751</v>
      </c>
      <c r="H28" s="24" t="n">
        <f aca="false">E28-F28</f>
        <v>96.5809090909091</v>
      </c>
      <c r="I28" s="25" t="n">
        <f aca="false">IFERROR(E28/F28-1,"")</f>
        <v>2.89077848221817</v>
      </c>
      <c r="J28" s="23" t="str">
        <f aca="false">IF('1.6 AL ON WEBSITE'!E23="","",'1.6 AL ON WEBSITE'!E23)</f>
        <v>Traffic signage, 5KM SPEED sign, RSEA stock one size comes in 4 standard sizes</v>
      </c>
    </row>
    <row r="29" customFormat="false" ht="31.5" hidden="false" customHeight="true" outlineLevel="0" collapsed="false">
      <c r="A29" s="22" t="s">
        <v>220</v>
      </c>
      <c r="B29" s="22" t="str">
        <f aca="false">'1.6 AL ON WEBSITE'!A24</f>
        <v>869668</v>
      </c>
      <c r="C29" s="23" t="str">
        <f aca="false">'1.6 AL ON WEBSITE'!B24</f>
        <v>Traffic Sign 20kmh Speed Limit CL1 Aluminium 600x450mm TC462C1</v>
      </c>
      <c r="D29" s="24" t="n">
        <f aca="false">'1.6 AL ON WEBSITE'!C24</f>
        <v>142.99</v>
      </c>
      <c r="E29" s="24" t="n">
        <f aca="false">D29/1.1</f>
        <v>129.990909090909</v>
      </c>
      <c r="F29" s="24" t="n">
        <f aca="false">'1.6 AL ON WEBSITE'!D24</f>
        <v>33.41</v>
      </c>
      <c r="G29" s="24" t="n">
        <f aca="false">F29*1.1</f>
        <v>36.751</v>
      </c>
      <c r="H29" s="24" t="n">
        <f aca="false">E29-F29</f>
        <v>96.5809090909091</v>
      </c>
      <c r="I29" s="25" t="n">
        <f aca="false">IFERROR(E29/F29-1,"")</f>
        <v>2.89077848221817</v>
      </c>
      <c r="J29" s="23" t="str">
        <f aca="false">IF('1.6 AL ON WEBSITE'!E24="","",'1.6 AL ON WEBSITE'!E24)</f>
        <v>Traffic signage, 20KM SPEED sign, RSEA stock one size comes in 4 standard sizes</v>
      </c>
    </row>
    <row r="30" customFormat="false" ht="31.5" hidden="false" customHeight="true" outlineLevel="0" collapsed="false">
      <c r="A30" s="22" t="s">
        <v>221</v>
      </c>
      <c r="B30" s="22" t="str">
        <f aca="false">'CORFLUTE 6MM ON WEBSITE'!A1</f>
        <v>60837</v>
      </c>
      <c r="C30" s="23" t="str">
        <f aca="false">'CORFLUTE 6MM ON WEBSITE'!B1</f>
        <v>6mm Corflute- 1200x300mm Class 1 Reflective On Side Road (B/Y)</v>
      </c>
      <c r="D30" s="24" t="n">
        <f aca="false">'CORFLUTE 6MM ON WEBSITE'!C1</f>
        <v>57.99</v>
      </c>
      <c r="E30" s="24" t="n">
        <f aca="false">D30/1.1</f>
        <v>52.7181818181818</v>
      </c>
      <c r="F30" s="24" t="n">
        <f aca="false">'CORFLUTE 6MM ON WEBSITE'!D1</f>
        <v>13.07</v>
      </c>
      <c r="G30" s="24" t="n">
        <f aca="false">F30*1.1</f>
        <v>14.377</v>
      </c>
      <c r="H30" s="24" t="n">
        <f aca="false">E30-F30</f>
        <v>39.6481818181818</v>
      </c>
      <c r="I30" s="25" t="n">
        <f aca="false">IFERROR(E30/F30-1,"")</f>
        <v>3.03352577032761</v>
      </c>
      <c r="J30" s="23"/>
    </row>
    <row r="31" customFormat="false" ht="63.75" hidden="false" customHeight="true" outlineLevel="0" collapsed="false">
      <c r="A31" s="26" t="s">
        <v>221</v>
      </c>
      <c r="B31" s="26" t="str">
        <f aca="false">'CORFLUTE 6MM ON WEBSITE'!A2</f>
        <v>60846</v>
      </c>
      <c r="C31" s="27" t="str">
        <f aca="false">'CORFLUTE 6MM ON WEBSITE'!B2</f>
        <v>UNISAF Corflute Multi Message Sign Blank Yellow T9-91</v>
      </c>
      <c r="D31" s="28" t="n">
        <f aca="false">'CORFLUTE 6MM ON WEBSITE'!C2</f>
        <v>44.99</v>
      </c>
      <c r="E31" s="28" t="n">
        <f aca="false">D31/1.1</f>
        <v>40.9</v>
      </c>
      <c r="F31" s="28" t="n">
        <v>13.07</v>
      </c>
      <c r="G31" s="28" t="n">
        <f aca="false">F31*1.1</f>
        <v>14.377</v>
      </c>
      <c r="H31" s="28" t="n">
        <f aca="false">E31-F31</f>
        <v>27.83</v>
      </c>
      <c r="I31" s="29" t="n">
        <f aca="false">IFERROR(E31/F31-1,"")</f>
        <v>2.12930374904361</v>
      </c>
      <c r="J31" s="27" t="s">
        <v>222</v>
      </c>
    </row>
    <row r="32" customFormat="false" ht="31.5" hidden="false" customHeight="true" outlineLevel="0" collapsed="false">
      <c r="A32" s="22" t="s">
        <v>221</v>
      </c>
      <c r="B32" s="22" t="str">
        <f aca="false">'CORFLUTE 6MM ON WEBSITE'!A3</f>
        <v>60877</v>
      </c>
      <c r="C32" s="23" t="str">
        <f aca="false">'CORFLUTE 6MM ON WEBSITE'!B3</f>
        <v>Symbolic Worker 600x600mm Multi-Message Sign CT284-40FR</v>
      </c>
      <c r="D32" s="24" t="n">
        <f aca="false">'CORFLUTE 6MM ON WEBSITE'!C3</f>
        <v>52.99</v>
      </c>
      <c r="E32" s="24" t="n">
        <f aca="false">D32/1.1</f>
        <v>48.1727272727273</v>
      </c>
      <c r="F32" s="24" t="n">
        <f aca="false">'CORFLUTE 6MM ON WEBSITE'!D3</f>
        <v>16.04</v>
      </c>
      <c r="G32" s="24" t="n">
        <f aca="false">F32*1.1</f>
        <v>17.644</v>
      </c>
      <c r="H32" s="24" t="n">
        <f aca="false">E32-F32</f>
        <v>32.1327272727273</v>
      </c>
      <c r="I32" s="25" t="n">
        <f aca="false">IFERROR(E32/F32-1,"")</f>
        <v>2.00328723645432</v>
      </c>
      <c r="J32" s="23"/>
    </row>
    <row r="33" customFormat="false" ht="15.75" hidden="false" customHeight="true" outlineLevel="0" collapsed="false">
      <c r="A33" s="22" t="s">
        <v>221</v>
      </c>
      <c r="B33" s="22" t="str">
        <f aca="false">'CORFLUTE 6MM ON WEBSITE'!A4</f>
        <v>60885</v>
      </c>
      <c r="C33" s="23" t="str">
        <f aca="false">'CORFLUTE 6MM ON WEBSITE'!B4</f>
        <v>Speed 60km 600x600mm Multi-Message Sign TC210</v>
      </c>
      <c r="D33" s="24" t="n">
        <f aca="false">'CORFLUTE 6MM ON WEBSITE'!C4</f>
        <v>57.99</v>
      </c>
      <c r="E33" s="24" t="n">
        <f aca="false">D33/1.1</f>
        <v>52.7181818181818</v>
      </c>
      <c r="F33" s="24" t="n">
        <f aca="false">'CORFLUTE 6MM ON WEBSITE'!D4</f>
        <v>16.04</v>
      </c>
      <c r="G33" s="24" t="n">
        <f aca="false">F33*1.1</f>
        <v>17.644</v>
      </c>
      <c r="H33" s="24" t="n">
        <f aca="false">E33-F33</f>
        <v>36.6781818181818</v>
      </c>
      <c r="I33" s="25" t="n">
        <f aca="false">IFERROR(E33/F33-1,"")</f>
        <v>2.28666968941283</v>
      </c>
      <c r="J33" s="23"/>
    </row>
    <row r="34" customFormat="false" ht="15.75" hidden="false" customHeight="true" outlineLevel="0" collapsed="false">
      <c r="A34" s="22" t="s">
        <v>221</v>
      </c>
      <c r="B34" s="22" t="str">
        <f aca="false">'CORFLUTE 6MM ON WEBSITE'!A5</f>
        <v>60886</v>
      </c>
      <c r="C34" s="23" t="str">
        <f aca="false">'CORFLUTE 6MM ON WEBSITE'!B5</f>
        <v>Speed 40km 600x600mm Multi-Message Sign CT284-24H</v>
      </c>
      <c r="D34" s="24" t="n">
        <f aca="false">'CORFLUTE 6MM ON WEBSITE'!C5</f>
        <v>57.99</v>
      </c>
      <c r="E34" s="24" t="n">
        <f aca="false">D34/1.1</f>
        <v>52.7181818181818</v>
      </c>
      <c r="F34" s="24" t="n">
        <f aca="false">'CORFLUTE 6MM ON WEBSITE'!D5</f>
        <v>16.04</v>
      </c>
      <c r="G34" s="24" t="n">
        <f aca="false">F34*1.1</f>
        <v>17.644</v>
      </c>
      <c r="H34" s="24" t="n">
        <f aca="false">E34-F34</f>
        <v>36.6781818181818</v>
      </c>
      <c r="I34" s="25" t="n">
        <f aca="false">IFERROR(E34/F34-1,"")</f>
        <v>2.28666968941283</v>
      </c>
      <c r="J34" s="23"/>
    </row>
    <row r="35" customFormat="false" ht="31.5" hidden="false" customHeight="true" outlineLevel="0" collapsed="false">
      <c r="A35" s="22" t="s">
        <v>221</v>
      </c>
      <c r="B35" s="22" t="str">
        <f aca="false">'CORFLUTE 6MM ON WEBSITE'!A6</f>
        <v>60887</v>
      </c>
      <c r="C35" s="23" t="str">
        <f aca="false">'CORFLUTE 6MM ON WEBSITE'!B6</f>
        <v>Prepare To Stop 1200x300mm Multi-Message Sign CT284-15H</v>
      </c>
      <c r="D35" s="24" t="n">
        <f aca="false">'CORFLUTE 6MM ON WEBSITE'!C6</f>
        <v>57.99</v>
      </c>
      <c r="E35" s="24" t="n">
        <f aca="false">D35/1.1</f>
        <v>52.7181818181818</v>
      </c>
      <c r="F35" s="24" t="n">
        <f aca="false">'CORFLUTE 6MM ON WEBSITE'!D6</f>
        <v>16.04</v>
      </c>
      <c r="G35" s="24" t="n">
        <f aca="false">F35*1.1</f>
        <v>17.644</v>
      </c>
      <c r="H35" s="24" t="n">
        <f aca="false">E35-F35</f>
        <v>36.6781818181818</v>
      </c>
      <c r="I35" s="25" t="n">
        <f aca="false">IFERROR(E35/F35-1,"")</f>
        <v>2.28666968941283</v>
      </c>
      <c r="J35" s="23"/>
    </row>
    <row r="36" customFormat="false" ht="15.75" hidden="false" customHeight="true" outlineLevel="0" collapsed="false">
      <c r="A36" s="22" t="s">
        <v>221</v>
      </c>
      <c r="B36" s="22" t="str">
        <f aca="false">'CORFLUTE 6MM ON WEBSITE'!A7</f>
        <v>60895</v>
      </c>
      <c r="C36" s="23" t="str">
        <f aca="false">'CORFLUTE 6MM ON WEBSITE'!B7</f>
        <v>Roadwork Ahead 1200x300mm Multi-Message Sign TC221</v>
      </c>
      <c r="D36" s="24" t="n">
        <f aca="false">'CORFLUTE 6MM ON WEBSITE'!C7</f>
        <v>57.99</v>
      </c>
      <c r="E36" s="24" t="n">
        <f aca="false">D36/1.1</f>
        <v>52.7181818181818</v>
      </c>
      <c r="F36" s="24" t="n">
        <f aca="false">'CORFLUTE 6MM ON WEBSITE'!D7</f>
        <v>13.07</v>
      </c>
      <c r="G36" s="24" t="n">
        <f aca="false">F36*1.1</f>
        <v>14.377</v>
      </c>
      <c r="H36" s="24" t="n">
        <f aca="false">E36-F36</f>
        <v>39.6481818181818</v>
      </c>
      <c r="I36" s="25" t="n">
        <f aca="false">IFERROR(E36/F36-1,"")</f>
        <v>3.03352577032761</v>
      </c>
      <c r="J36" s="23"/>
    </row>
    <row r="37" customFormat="false" ht="15.75" hidden="false" customHeight="true" outlineLevel="0" collapsed="false">
      <c r="A37" s="22" t="s">
        <v>221</v>
      </c>
      <c r="B37" s="22" t="str">
        <f aca="false">'CORFLUTE 6MM ON WEBSITE'!A8</f>
        <v>60896</v>
      </c>
      <c r="C37" s="23" t="str">
        <f aca="false">'CORFLUTE 6MM ON WEBSITE'!B8</f>
        <v>Drive Safety 1200x300mm Multi-Message Sign CT284-18H</v>
      </c>
      <c r="D37" s="24" t="n">
        <f aca="false">'CORFLUTE 6MM ON WEBSITE'!C8</f>
        <v>59.99</v>
      </c>
      <c r="E37" s="24" t="n">
        <f aca="false">D37/1.1</f>
        <v>54.5363636363636</v>
      </c>
      <c r="F37" s="24" t="n">
        <f aca="false">'CORFLUTE 6MM ON WEBSITE'!D8</f>
        <v>16.04</v>
      </c>
      <c r="G37" s="24" t="n">
        <f aca="false">F37*1.1</f>
        <v>17.644</v>
      </c>
      <c r="H37" s="24" t="n">
        <f aca="false">E37-F37</f>
        <v>38.4963636363636</v>
      </c>
      <c r="I37" s="25" t="n">
        <f aca="false">IFERROR(E37/F37-1,"")</f>
        <v>2.40002267059624</v>
      </c>
      <c r="J37" s="23"/>
    </row>
    <row r="38" customFormat="false" ht="15.75" hidden="false" customHeight="true" outlineLevel="0" collapsed="false">
      <c r="A38" s="22" t="s">
        <v>221</v>
      </c>
      <c r="B38" s="22" t="str">
        <f aca="false">'CORFLUTE 6MM ON WEBSITE'!A9</f>
        <v>60898</v>
      </c>
      <c r="C38" s="23" t="str">
        <f aca="false">'CORFLUTE 6MM ON WEBSITE'!B9</f>
        <v>Road Closed 1200x300mm Multi-Message Sign CT284-49H</v>
      </c>
      <c r="D38" s="24" t="n">
        <f aca="false">'CORFLUTE 6MM ON WEBSITE'!C9</f>
        <v>57.99</v>
      </c>
      <c r="E38" s="24" t="n">
        <f aca="false">D38/1.1</f>
        <v>52.7181818181818</v>
      </c>
      <c r="F38" s="24" t="n">
        <f aca="false">'CORFLUTE 6MM ON WEBSITE'!D9</f>
        <v>13.07</v>
      </c>
      <c r="G38" s="24" t="n">
        <f aca="false">F38*1.1</f>
        <v>14.377</v>
      </c>
      <c r="H38" s="24" t="n">
        <f aca="false">E38-F38</f>
        <v>39.6481818181818</v>
      </c>
      <c r="I38" s="25" t="n">
        <f aca="false">IFERROR(E38/F38-1,"")</f>
        <v>3.03352577032761</v>
      </c>
      <c r="J38" s="23"/>
    </row>
    <row r="39" customFormat="false" ht="15.75" hidden="false" customHeight="true" outlineLevel="0" collapsed="false">
      <c r="A39" s="22" t="s">
        <v>221</v>
      </c>
      <c r="B39" s="22" t="str">
        <f aca="false">'CORFLUTE 6MM ON WEBSITE'!A10</f>
        <v>60991</v>
      </c>
      <c r="C39" s="23" t="str">
        <f aca="false">'CORFLUTE 6MM ON WEBSITE'!B10</f>
        <v>Detour Left Arrow 1200x300mm Multi-Message Sign TC230</v>
      </c>
      <c r="D39" s="24" t="n">
        <f aca="false">'CORFLUTE 6MM ON WEBSITE'!C10</f>
        <v>57.99</v>
      </c>
      <c r="E39" s="24" t="n">
        <f aca="false">D39/1.1</f>
        <v>52.7181818181818</v>
      </c>
      <c r="F39" s="24" t="n">
        <f aca="false">'CORFLUTE 6MM ON WEBSITE'!D10</f>
        <v>13.07</v>
      </c>
      <c r="G39" s="24" t="n">
        <f aca="false">F39*1.1</f>
        <v>14.377</v>
      </c>
      <c r="H39" s="24" t="n">
        <f aca="false">E39-F39</f>
        <v>39.6481818181818</v>
      </c>
      <c r="I39" s="25" t="n">
        <f aca="false">IFERROR(E39/F39-1,"")</f>
        <v>3.03352577032761</v>
      </c>
      <c r="J39" s="23"/>
    </row>
    <row r="40" customFormat="false" ht="15.75" hidden="false" customHeight="true" outlineLevel="0" collapsed="false">
      <c r="A40" s="22" t="s">
        <v>221</v>
      </c>
      <c r="B40" s="22" t="str">
        <f aca="false">'CORFLUTE 6MM ON WEBSITE'!A11</f>
        <v>60992</v>
      </c>
      <c r="C40" s="23" t="str">
        <f aca="false">'CORFLUTE 6MM ON WEBSITE'!B11</f>
        <v>Detour Right Arrow 1200x300mm Multi-Message Sign TC231</v>
      </c>
      <c r="D40" s="24" t="n">
        <f aca="false">'CORFLUTE 6MM ON WEBSITE'!C11</f>
        <v>57.99</v>
      </c>
      <c r="E40" s="24" t="n">
        <f aca="false">D40/1.1</f>
        <v>52.7181818181818</v>
      </c>
      <c r="F40" s="24" t="n">
        <f aca="false">'CORFLUTE 6MM ON WEBSITE'!D11</f>
        <v>13.07</v>
      </c>
      <c r="G40" s="24" t="n">
        <f aca="false">F40*1.1</f>
        <v>14.377</v>
      </c>
      <c r="H40" s="24" t="n">
        <f aca="false">E40-F40</f>
        <v>39.6481818181818</v>
      </c>
      <c r="I40" s="25" t="n">
        <f aca="false">IFERROR(E40/F40-1,"")</f>
        <v>3.03352577032761</v>
      </c>
      <c r="J40" s="23"/>
    </row>
    <row r="41" customFormat="false" ht="31.5" hidden="false" customHeight="true" outlineLevel="0" collapsed="false">
      <c r="A41" s="22" t="s">
        <v>221</v>
      </c>
      <c r="B41" s="22" t="str">
        <f aca="false">'CORFLUTE 6MM ON WEBSITE'!A12</f>
        <v>61021</v>
      </c>
      <c r="C41" s="23" t="str">
        <f aca="false">'CORFLUTE 6MM ON WEBSITE'!B12</f>
        <v>Pedestrians Right Arrow 1200x300mm Multi-Message Sign CT284-T8-2R38</v>
      </c>
      <c r="D41" s="24" t="n">
        <f aca="false">'CORFLUTE 6MM ON WEBSITE'!C12</f>
        <v>57.99</v>
      </c>
      <c r="E41" s="24" t="n">
        <f aca="false">D41/1.1</f>
        <v>52.7181818181818</v>
      </c>
      <c r="F41" s="24" t="n">
        <f aca="false">'CORFLUTE 6MM ON WEBSITE'!D12</f>
        <v>13.07</v>
      </c>
      <c r="G41" s="24" t="n">
        <f aca="false">F41*1.1</f>
        <v>14.377</v>
      </c>
      <c r="H41" s="24" t="n">
        <f aca="false">E41-F41</f>
        <v>39.6481818181818</v>
      </c>
      <c r="I41" s="25" t="n">
        <f aca="false">IFERROR(E41/F41-1,"")</f>
        <v>3.03352577032761</v>
      </c>
      <c r="J41" s="23"/>
    </row>
    <row r="42" customFormat="false" ht="31.5" hidden="false" customHeight="true" outlineLevel="0" collapsed="false">
      <c r="A42" s="22" t="s">
        <v>221</v>
      </c>
      <c r="B42" s="22" t="str">
        <f aca="false">'CORFLUTE 6MM ON WEBSITE'!A13</f>
        <v>61022</v>
      </c>
      <c r="C42" s="23" t="str">
        <f aca="false">'CORFLUTE 6MM ON WEBSITE'!B13</f>
        <v>Pedestrians Left Arrow 1200x300mm Multi-Message Sign CT284-T8-2L38</v>
      </c>
      <c r="D42" s="24" t="n">
        <f aca="false">'CORFLUTE 6MM ON WEBSITE'!C13</f>
        <v>57.99</v>
      </c>
      <c r="E42" s="24" t="n">
        <f aca="false">D42/1.1</f>
        <v>52.7181818181818</v>
      </c>
      <c r="F42" s="24" t="n">
        <f aca="false">'CORFLUTE 6MM ON WEBSITE'!D13</f>
        <v>13.07</v>
      </c>
      <c r="G42" s="24" t="n">
        <f aca="false">F42*1.1</f>
        <v>14.377</v>
      </c>
      <c r="H42" s="24" t="n">
        <f aca="false">E42-F42</f>
        <v>39.6481818181818</v>
      </c>
      <c r="I42" s="25" t="n">
        <f aca="false">IFERROR(E42/F42-1,"")</f>
        <v>3.03352577032761</v>
      </c>
      <c r="J42" s="23"/>
    </row>
    <row r="43" customFormat="false" ht="31.5" hidden="false" customHeight="true" outlineLevel="0" collapsed="false">
      <c r="A43" s="22" t="s">
        <v>223</v>
      </c>
      <c r="B43" s="22" t="str">
        <f aca="false">'POLY ON WEBSITE'!A1</f>
        <v>1046218</v>
      </c>
      <c r="C43" s="23" t="str">
        <f aca="false">'POLY ON WEBSITE'!B1</f>
        <v>Security Notice This Area Is Under 24 Hours W'Picto Poly 450x300 SW023LSP</v>
      </c>
      <c r="D43" s="24" t="n">
        <f aca="false">'POLY ON WEBSITE'!C1</f>
        <v>37.99</v>
      </c>
      <c r="E43" s="24" t="n">
        <f aca="false">D43/1.1</f>
        <v>34.5363636363636</v>
      </c>
      <c r="F43" s="24" t="n">
        <f aca="false">'POLY ON WEBSITE'!D1</f>
        <v>5.35</v>
      </c>
      <c r="G43" s="24" t="n">
        <f aca="false">F43*1.1</f>
        <v>5.885</v>
      </c>
      <c r="H43" s="24" t="n">
        <f aca="false">E43-F43</f>
        <v>29.1863636363636</v>
      </c>
      <c r="I43" s="25" t="n">
        <f aca="false">IFERROR(E43/F43-1,"")</f>
        <v>5.4553950722175</v>
      </c>
      <c r="J43" s="23" t="str">
        <f aca="false">IF('POLY ON WEBSITE'!F1="","",'POLY ON WEBSITE'!F1)</f>
        <v>QOUTED ALL ON NON REFLECTIVE 2105, NO INFO ONLINE REGARDING REFLECTIVITY. </v>
      </c>
    </row>
    <row r="44" customFormat="false" ht="31.5" hidden="false" customHeight="true" outlineLevel="0" collapsed="false">
      <c r="A44" s="22" t="s">
        <v>223</v>
      </c>
      <c r="B44" s="22" t="str">
        <f aca="false">'POLY ON WEBSITE'!A2</f>
        <v>685029</v>
      </c>
      <c r="C44" s="23" t="str">
        <f aca="false">'POLY ON WEBSITE'!B2</f>
        <v>103MP 14M-LP Sign Eye Protection Must Be Worn Poly 300x225</v>
      </c>
      <c r="D44" s="24" t="n">
        <f aca="false">'POLY ON WEBSITE'!C2</f>
        <v>24.99</v>
      </c>
      <c r="E44" s="24" t="n">
        <f aca="false">D44/1.1</f>
        <v>22.7181818181818</v>
      </c>
      <c r="F44" s="24" t="n">
        <f aca="false">'POLY ON WEBSITE'!D2</f>
        <v>2.67</v>
      </c>
      <c r="G44" s="24" t="n">
        <f aca="false">F44*1.1</f>
        <v>2.937</v>
      </c>
      <c r="H44" s="24" t="n">
        <f aca="false">E44-F44</f>
        <v>20.0481818181818</v>
      </c>
      <c r="I44" s="25" t="n">
        <f aca="false">IFERROR(E44/F44-1,"")</f>
        <v>7.50868232890705</v>
      </c>
      <c r="J44" s="23" t="str">
        <f aca="false">IF('POLY ON WEBSITE'!F2="","",'POLY ON WEBSITE'!F2)</f>
        <v/>
      </c>
    </row>
    <row r="45" customFormat="false" ht="31.5" hidden="false" customHeight="true" outlineLevel="0" collapsed="false">
      <c r="A45" s="22" t="s">
        <v>223</v>
      </c>
      <c r="B45" s="22" t="str">
        <f aca="false">'POLY ON WEBSITE'!A3</f>
        <v>685151</v>
      </c>
      <c r="C45" s="23" t="str">
        <f aca="false">'POLY ON WEBSITE'!B3</f>
        <v>Building Site Sign All Visitors Must Report To Site Office Poly 600x450 116LP</v>
      </c>
      <c r="D45" s="24" t="n">
        <f aca="false">'POLY ON WEBSITE'!C3</f>
        <v>44.99</v>
      </c>
      <c r="E45" s="24" t="n">
        <f aca="false">D45/1.1</f>
        <v>40.9</v>
      </c>
      <c r="F45" s="24" t="n">
        <f aca="false">'POLY ON WEBSITE'!D3</f>
        <v>10.69</v>
      </c>
      <c r="G45" s="24" t="n">
        <f aca="false">F45*1.1</f>
        <v>11.759</v>
      </c>
      <c r="H45" s="24" t="n">
        <f aca="false">E45-F45</f>
        <v>30.21</v>
      </c>
      <c r="I45" s="25" t="n">
        <f aca="false">IFERROR(E45/F45-1,"")</f>
        <v>2.82600561272217</v>
      </c>
      <c r="J45" s="23" t="str">
        <f aca="false">IF('POLY ON WEBSITE'!F3="","",'POLY ON WEBSITE'!F3)</f>
        <v/>
      </c>
    </row>
    <row r="46" customFormat="false" ht="31.5" hidden="false" customHeight="true" outlineLevel="0" collapsed="false">
      <c r="A46" s="22" t="s">
        <v>223</v>
      </c>
      <c r="B46" s="22" t="str">
        <f aca="false">'POLY ON WEBSITE'!A4</f>
        <v>685177</v>
      </c>
      <c r="C46" s="23" t="str">
        <f aca="false">'POLY ON WEBSITE'!B4</f>
        <v>204MP 55D-LP Sign Danger No Smoking No Naked Flame Poly 300x225</v>
      </c>
      <c r="D46" s="24" t="n">
        <f aca="false">'POLY ON WEBSITE'!C4</f>
        <v>24.99</v>
      </c>
      <c r="E46" s="24" t="n">
        <f aca="false">D46/1.1</f>
        <v>22.7181818181818</v>
      </c>
      <c r="F46" s="24" t="n">
        <f aca="false">'POLY ON WEBSITE'!D4</f>
        <v>2.67</v>
      </c>
      <c r="G46" s="24" t="n">
        <f aca="false">F46*1.1</f>
        <v>2.937</v>
      </c>
      <c r="H46" s="24" t="n">
        <f aca="false">E46-F46</f>
        <v>20.0481818181818</v>
      </c>
      <c r="I46" s="25" t="n">
        <f aca="false">IFERROR(E46/F46-1,"")</f>
        <v>7.50868232890705</v>
      </c>
      <c r="J46" s="23" t="str">
        <f aca="false">IF('POLY ON WEBSITE'!F4="","",'POLY ON WEBSITE'!F4)</f>
        <v/>
      </c>
    </row>
    <row r="47" customFormat="false" ht="31.5" hidden="false" customHeight="true" outlineLevel="0" collapsed="false">
      <c r="A47" s="22" t="s">
        <v>223</v>
      </c>
      <c r="B47" s="22" t="str">
        <f aca="false">'POLY ON WEBSITE'!A5</f>
        <v>685231</v>
      </c>
      <c r="C47" s="23" t="str">
        <f aca="false">'POLY ON WEBSITE'!B5</f>
        <v>217LP 127D-NP Sign Danger Construction Site Do Not Enter Poly 600x400</v>
      </c>
      <c r="D47" s="24" t="n">
        <f aca="false">'POLY ON WEBSITE'!C5</f>
        <v>44.99</v>
      </c>
      <c r="E47" s="24" t="n">
        <f aca="false">D47/1.1</f>
        <v>40.9</v>
      </c>
      <c r="F47" s="24" t="n">
        <f aca="false">'POLY ON WEBSITE'!D5</f>
        <v>9.5</v>
      </c>
      <c r="G47" s="24" t="n">
        <f aca="false">F47*1.1</f>
        <v>10.45</v>
      </c>
      <c r="H47" s="24" t="n">
        <f aca="false">E47-F47</f>
        <v>31.4</v>
      </c>
      <c r="I47" s="25" t="n">
        <f aca="false">IFERROR(E47/F47-1,"")</f>
        <v>3.30526315789474</v>
      </c>
      <c r="J47" s="23" t="str">
        <f aca="false">IF('POLY ON WEBSITE'!F5="","",'POLY ON WEBSITE'!F5)</f>
        <v/>
      </c>
    </row>
    <row r="48" customFormat="false" ht="31.5" hidden="false" customHeight="true" outlineLevel="0" collapsed="false">
      <c r="A48" s="22" t="s">
        <v>223</v>
      </c>
      <c r="B48" s="22" t="str">
        <f aca="false">'POLY ON WEBSITE'!A6</f>
        <v>685255</v>
      </c>
      <c r="C48" s="23" t="str">
        <f aca="false">'POLY ON WEBSITE'!B6</f>
        <v>Danger Sign Demolition Work In Progress Poly 600x450 223LP</v>
      </c>
      <c r="D48" s="24" t="n">
        <f aca="false">'POLY ON WEBSITE'!C6</f>
        <v>44.99</v>
      </c>
      <c r="E48" s="24" t="n">
        <f aca="false">D48/1.1</f>
        <v>40.9</v>
      </c>
      <c r="F48" s="24" t="n">
        <f aca="false">'POLY ON WEBSITE'!D6</f>
        <v>10.69</v>
      </c>
      <c r="G48" s="24" t="n">
        <f aca="false">F48*1.1</f>
        <v>11.759</v>
      </c>
      <c r="H48" s="24" t="n">
        <f aca="false">E48-F48</f>
        <v>30.21</v>
      </c>
      <c r="I48" s="25" t="n">
        <f aca="false">IFERROR(E48/F48-1,"")</f>
        <v>2.82600561272217</v>
      </c>
      <c r="J48" s="23" t="str">
        <f aca="false">IF('POLY ON WEBSITE'!F6="","",'POLY ON WEBSITE'!F6)</f>
        <v/>
      </c>
    </row>
    <row r="49" customFormat="false" ht="31.5" hidden="false" customHeight="true" outlineLevel="0" collapsed="false">
      <c r="A49" s="22" t="s">
        <v>223</v>
      </c>
      <c r="B49" s="22" t="str">
        <f aca="false">'POLY ON WEBSITE'!A7</f>
        <v>685265</v>
      </c>
      <c r="C49" s="23" t="str">
        <f aca="false">'POLY ON WEBSITE'!B7</f>
        <v>225LSP 96D-MP Sign Danger Confined Space Entry By Permit Poly 450x300</v>
      </c>
      <c r="D49" s="24" t="n">
        <f aca="false">'POLY ON WEBSITE'!C7</f>
        <v>32.99</v>
      </c>
      <c r="E49" s="24" t="n">
        <f aca="false">D49/1.1</f>
        <v>29.9909090909091</v>
      </c>
      <c r="F49" s="24" t="n">
        <f aca="false">'POLY ON WEBSITE'!D7</f>
        <v>5.35</v>
      </c>
      <c r="G49" s="24" t="n">
        <f aca="false">F49*1.1</f>
        <v>5.885</v>
      </c>
      <c r="H49" s="24" t="n">
        <f aca="false">E49-F49</f>
        <v>24.6409090909091</v>
      </c>
      <c r="I49" s="25" t="n">
        <f aca="false">IFERROR(E49/F49-1,"")</f>
        <v>4.60577740016992</v>
      </c>
      <c r="J49" s="23" t="str">
        <f aca="false">IF('POLY ON WEBSITE'!F7="","",'POLY ON WEBSITE'!F7)</f>
        <v/>
      </c>
    </row>
    <row r="50" customFormat="false" ht="15.75" hidden="false" customHeight="true" outlineLevel="0" collapsed="false">
      <c r="A50" s="22" t="s">
        <v>223</v>
      </c>
      <c r="B50" s="22" t="str">
        <f aca="false">'POLY ON WEBSITE'!A8</f>
        <v>685612</v>
      </c>
      <c r="C50" s="23" t="str">
        <f aca="false">'POLY ON WEBSITE'!B8</f>
        <v>501LSP 20E-MP 835331 Sign First Aid Poly 450x300</v>
      </c>
      <c r="D50" s="24" t="n">
        <f aca="false">'POLY ON WEBSITE'!C8</f>
        <v>49.99</v>
      </c>
      <c r="E50" s="24" t="n">
        <f aca="false">D50/1.1</f>
        <v>45.4454545454545</v>
      </c>
      <c r="F50" s="24" t="n">
        <f aca="false">'POLY ON WEBSITE'!D8</f>
        <v>5.35</v>
      </c>
      <c r="G50" s="24" t="n">
        <f aca="false">F50*1.1</f>
        <v>5.885</v>
      </c>
      <c r="H50" s="24" t="n">
        <f aca="false">E50-F50</f>
        <v>40.0954545454545</v>
      </c>
      <c r="I50" s="25" t="n">
        <f aca="false">IFERROR(E50/F50-1,"")</f>
        <v>7.49447748513169</v>
      </c>
      <c r="J50" s="23" t="str">
        <f aca="false">IF('POLY ON WEBSITE'!F8="","",'POLY ON WEBSITE'!F8)</f>
        <v/>
      </c>
    </row>
    <row r="51" customFormat="false" ht="15.75" hidden="false" customHeight="true" outlineLevel="0" collapsed="false">
      <c r="A51" s="22" t="s">
        <v>223</v>
      </c>
      <c r="B51" s="22" t="str">
        <f aca="false">'POLY ON WEBSITE'!A9</f>
        <v>685622</v>
      </c>
      <c r="C51" s="23" t="str">
        <f aca="false">'POLY ON WEBSITE'!B9</f>
        <v>502MP 75E-LP Sign First Aid Station Poly 300x225</v>
      </c>
      <c r="D51" s="24" t="n">
        <f aca="false">'POLY ON WEBSITE'!C9</f>
        <v>27.99</v>
      </c>
      <c r="E51" s="24" t="n">
        <f aca="false">D51/1.1</f>
        <v>25.4454545454545</v>
      </c>
      <c r="F51" s="24" t="n">
        <f aca="false">'POLY ON WEBSITE'!D9</f>
        <v>2.67</v>
      </c>
      <c r="G51" s="24" t="n">
        <f aca="false">F51*1.1</f>
        <v>2.937</v>
      </c>
      <c r="H51" s="24" t="n">
        <f aca="false">E51-F51</f>
        <v>22.7754545454545</v>
      </c>
      <c r="I51" s="25" t="n">
        <f aca="false">IFERROR(E51/F51-1,"")</f>
        <v>8.53013278855975</v>
      </c>
      <c r="J51" s="23" t="str">
        <f aca="false">IF('POLY ON WEBSITE'!F9="","",'POLY ON WEBSITE'!F9)</f>
        <v/>
      </c>
    </row>
    <row r="52" customFormat="false" ht="15.75" hidden="false" customHeight="true" outlineLevel="0" collapsed="false">
      <c r="A52" s="22" t="s">
        <v>223</v>
      </c>
      <c r="B52" s="22" t="str">
        <f aca="false">'POLY ON WEBSITE'!A10</f>
        <v>685659</v>
      </c>
      <c r="C52" s="23" t="str">
        <f aca="false">'POLY ON WEBSITE'!B10</f>
        <v>509LP 88E-NP Sign Emergency Assembly AREA Poly 600x400</v>
      </c>
      <c r="D52" s="24" t="n">
        <f aca="false">'POLY ON WEBSITE'!C10</f>
        <v>44.99</v>
      </c>
      <c r="E52" s="24" t="n">
        <f aca="false">D52/1.1</f>
        <v>40.9</v>
      </c>
      <c r="F52" s="24" t="n">
        <f aca="false">'POLY ON WEBSITE'!D10</f>
        <v>9.5</v>
      </c>
      <c r="G52" s="24" t="n">
        <f aca="false">F52*1.1</f>
        <v>10.45</v>
      </c>
      <c r="H52" s="24" t="n">
        <f aca="false">E52-F52</f>
        <v>31.4</v>
      </c>
      <c r="I52" s="25" t="n">
        <f aca="false">IFERROR(E52/F52-1,"")</f>
        <v>3.30526315789474</v>
      </c>
      <c r="J52" s="23" t="str">
        <f aca="false">IF('POLY ON WEBSITE'!F10="","",'POLY ON WEBSITE'!F10)</f>
        <v/>
      </c>
    </row>
    <row r="53" customFormat="false" ht="31.5" hidden="false" customHeight="true" outlineLevel="0" collapsed="false">
      <c r="A53" s="22" t="s">
        <v>223</v>
      </c>
      <c r="B53" s="22" t="str">
        <f aca="false">'POLY ON WEBSITE'!A11</f>
        <v>685727</v>
      </c>
      <c r="C53" s="23" t="str">
        <f aca="false">'POLY ON WEBSITE'!B11</f>
        <v>Fire Equipment Sign Fire Extinguisher Off The Wall Poly 225x225 705OWP</v>
      </c>
      <c r="D53" s="24" t="n">
        <f aca="false">'POLY ON WEBSITE'!C11</f>
        <v>49.99</v>
      </c>
      <c r="E53" s="24" t="n">
        <f aca="false">D53/1.1</f>
        <v>45.4454545454545</v>
      </c>
      <c r="F53" s="24" t="n">
        <f aca="false">'POLY ON WEBSITE'!D11</f>
        <v>2</v>
      </c>
      <c r="G53" s="24" t="n">
        <f aca="false">F53*1.1</f>
        <v>2.2</v>
      </c>
      <c r="H53" s="24" t="n">
        <f aca="false">E53-F53</f>
        <v>43.4454545454545</v>
      </c>
      <c r="I53" s="25" t="n">
        <f aca="false">IFERROR(E53/F53-1,"")</f>
        <v>21.7227272727273</v>
      </c>
      <c r="J53" s="23" t="str">
        <f aca="false">IF('POLY ON WEBSITE'!F11="","",'POLY ON WEBSITE'!F11)</f>
        <v/>
      </c>
    </row>
    <row r="54" customFormat="false" ht="15.75" hidden="false" customHeight="true" outlineLevel="0" collapsed="false">
      <c r="A54" s="22" t="s">
        <v>223</v>
      </c>
      <c r="B54" s="22" t="str">
        <f aca="false">'POLY ON WEBSITE'!A12</f>
        <v>685735</v>
      </c>
      <c r="C54" s="23" t="str">
        <f aca="false">'POLY ON WEBSITE'!B12</f>
        <v>707MP 57E-LP Sign Fire Hose Reel &amp; Picto Poly 300x225</v>
      </c>
      <c r="D54" s="24" t="n">
        <f aca="false">'POLY ON WEBSITE'!C12</f>
        <v>32.99</v>
      </c>
      <c r="E54" s="24" t="n">
        <f aca="false">D54/1.1</f>
        <v>29.9909090909091</v>
      </c>
      <c r="F54" s="24" t="n">
        <f aca="false">'POLY ON WEBSITE'!D12</f>
        <v>2.67</v>
      </c>
      <c r="G54" s="24" t="n">
        <f aca="false">F54*1.1</f>
        <v>2.937</v>
      </c>
      <c r="H54" s="24" t="n">
        <f aca="false">E54-F54</f>
        <v>27.3209090909091</v>
      </c>
      <c r="I54" s="25" t="n">
        <f aca="false">IFERROR(E54/F54-1,"")</f>
        <v>10.2325502213143</v>
      </c>
      <c r="J54" s="23" t="str">
        <f aca="false">IF('POLY ON WEBSITE'!F12="","",'POLY ON WEBSITE'!F12)</f>
        <v/>
      </c>
    </row>
    <row r="55" customFormat="false" ht="15.75" hidden="false" customHeight="true" outlineLevel="0" collapsed="false">
      <c r="A55" s="22" t="s">
        <v>223</v>
      </c>
      <c r="B55" s="22" t="str">
        <f aca="false">'POLY ON WEBSITE'!A13</f>
        <v>685925</v>
      </c>
      <c r="C55" s="23" t="str">
        <f aca="false">'POLY ON WEBSITE'!B13</f>
        <v>952OLP 293-KP Sign Arrow Poly 450x200</v>
      </c>
      <c r="D55" s="24" t="n">
        <f aca="false">'POLY ON WEBSITE'!C13</f>
        <v>37.99</v>
      </c>
      <c r="E55" s="24" t="n">
        <f aca="false">D55/1.1</f>
        <v>34.5363636363636</v>
      </c>
      <c r="F55" s="24" t="n">
        <f aca="false">'POLY ON WEBSITE'!D13</f>
        <v>4.01</v>
      </c>
      <c r="G55" s="24" t="n">
        <f aca="false">F55*1.1</f>
        <v>4.411</v>
      </c>
      <c r="H55" s="24" t="n">
        <f aca="false">E55-F55</f>
        <v>30.5263636363636</v>
      </c>
      <c r="I55" s="25" t="n">
        <f aca="false">IFERROR(E55/F55-1,"")</f>
        <v>7.61255951031512</v>
      </c>
      <c r="J55" s="23" t="str">
        <f aca="false">IF('POLY ON WEBSITE'!F13="","",'POLY ON WEBSITE'!F13)</f>
        <v/>
      </c>
    </row>
    <row r="56" customFormat="false" ht="15.75" hidden="false" customHeight="true" outlineLevel="0" collapsed="false">
      <c r="A56" s="22" t="s">
        <v>223</v>
      </c>
      <c r="B56" s="22" t="str">
        <f aca="false">'POLY ON WEBSITE'!A14</f>
        <v>685977</v>
      </c>
      <c r="C56" s="23" t="str">
        <f aca="false">'POLY ON WEBSITE'!B14</f>
        <v>Traffic Sign 5kph Speed Limit Poly 600x450 TC409LP</v>
      </c>
      <c r="D56" s="24" t="n">
        <f aca="false">'POLY ON WEBSITE'!C14</f>
        <v>37.99</v>
      </c>
      <c r="E56" s="24" t="n">
        <f aca="false">D56/1.1</f>
        <v>34.5363636363636</v>
      </c>
      <c r="F56" s="24" t="n">
        <f aca="false">'POLY ON WEBSITE'!D14</f>
        <v>10.69</v>
      </c>
      <c r="G56" s="24" t="n">
        <f aca="false">F56*1.1</f>
        <v>11.759</v>
      </c>
      <c r="H56" s="24" t="n">
        <f aca="false">E56-F56</f>
        <v>23.8463636363636</v>
      </c>
      <c r="I56" s="25" t="n">
        <f aca="false">IFERROR(E56/F56-1,"")</f>
        <v>2.23071689769538</v>
      </c>
      <c r="J56" s="23" t="str">
        <f aca="false">IF('POLY ON WEBSITE'!F14="","",'POLY ON WEBSITE'!F14)</f>
        <v/>
      </c>
    </row>
    <row r="57" customFormat="false" ht="15.75" hidden="false" customHeight="true" outlineLevel="0" collapsed="false">
      <c r="A57" s="22" t="s">
        <v>223</v>
      </c>
      <c r="B57" s="22" t="str">
        <f aca="false">'POLY ON WEBSITE'!A15</f>
        <v>686007</v>
      </c>
      <c r="C57" s="23" t="str">
        <f aca="false">'POLY ON WEBSITE'!B15</f>
        <v>Traffic Sign Beware Pedestrians Poly 600x450 TC418LP</v>
      </c>
      <c r="D57" s="24" t="n">
        <f aca="false">'POLY ON WEBSITE'!C15</f>
        <v>37.99</v>
      </c>
      <c r="E57" s="24" t="n">
        <f aca="false">D57/1.1</f>
        <v>34.5363636363636</v>
      </c>
      <c r="F57" s="24" t="n">
        <f aca="false">'POLY ON WEBSITE'!D15</f>
        <v>10.69</v>
      </c>
      <c r="G57" s="24" t="n">
        <f aca="false">F57*1.1</f>
        <v>11.759</v>
      </c>
      <c r="H57" s="24" t="n">
        <f aca="false">E57-F57</f>
        <v>23.8463636363636</v>
      </c>
      <c r="I57" s="25" t="n">
        <f aca="false">IFERROR(E57/F57-1,"")</f>
        <v>2.23071689769538</v>
      </c>
      <c r="J57" s="23" t="str">
        <f aca="false">IF('POLY ON WEBSITE'!F15="","",'POLY ON WEBSITE'!F15)</f>
        <v/>
      </c>
    </row>
    <row r="58" customFormat="false" ht="31.5" hidden="false" customHeight="true" outlineLevel="0" collapsed="false">
      <c r="A58" s="22" t="s">
        <v>223</v>
      </c>
      <c r="B58" s="22" t="str">
        <f aca="false">'POLY ON WEBSITE'!A16</f>
        <v>686173</v>
      </c>
      <c r="C58" s="23" t="str">
        <f aca="false">'POLY ON WEBSITE'!B16</f>
        <v>425LP 67P-NP Sign Warning Authorised Personnel Poly 600x450</v>
      </c>
      <c r="D58" s="24" t="n">
        <f aca="false">'POLY ON WEBSITE'!C16</f>
        <v>44.99</v>
      </c>
      <c r="E58" s="24" t="n">
        <f aca="false">D58/1.1</f>
        <v>40.9</v>
      </c>
      <c r="F58" s="24" t="n">
        <f aca="false">'POLY ON WEBSITE'!D16</f>
        <v>10.69</v>
      </c>
      <c r="G58" s="24" t="n">
        <f aca="false">F58*1.1</f>
        <v>11.759</v>
      </c>
      <c r="H58" s="24" t="n">
        <f aca="false">E58-F58</f>
        <v>30.21</v>
      </c>
      <c r="I58" s="25" t="n">
        <f aca="false">IFERROR(E58/F58-1,"")</f>
        <v>2.82600561272217</v>
      </c>
      <c r="J58" s="23" t="str">
        <f aca="false">IF('POLY ON WEBSITE'!F16="","",'POLY ON WEBSITE'!F16)</f>
        <v/>
      </c>
    </row>
    <row r="59" customFormat="false" ht="31.5" hidden="false" customHeight="true" outlineLevel="0" collapsed="false">
      <c r="A59" s="22" t="s">
        <v>223</v>
      </c>
      <c r="B59" s="22" t="str">
        <f aca="false">'POLY ON WEBSITE'!A17</f>
        <v>686245</v>
      </c>
      <c r="C59" s="23" t="str">
        <f aca="false">'POLY ON WEBSITE'!B17</f>
        <v>HLTM108P H8-XP 835630 Hazchem Corrosive 8 Poly 270x270</v>
      </c>
      <c r="D59" s="24" t="n">
        <f aca="false">'POLY ON WEBSITE'!C17</f>
        <v>32.99</v>
      </c>
      <c r="E59" s="24" t="n">
        <f aca="false">D59/1.1</f>
        <v>29.9909090909091</v>
      </c>
      <c r="F59" s="24" t="n">
        <f aca="false">'POLY ON WEBSITE'!D17</f>
        <v>2.89</v>
      </c>
      <c r="G59" s="24" t="n">
        <f aca="false">F59*1.1</f>
        <v>3.179</v>
      </c>
      <c r="H59" s="24" t="n">
        <f aca="false">E59-F59</f>
        <v>27.1009090909091</v>
      </c>
      <c r="I59" s="25" t="n">
        <f aca="false">IFERROR(E59/F59-1,"")</f>
        <v>9.37747719408619</v>
      </c>
      <c r="J59" s="23" t="str">
        <f aca="false">IF('POLY ON WEBSITE'!F17="","",'POLY ON WEBSITE'!F17)</f>
        <v/>
      </c>
    </row>
    <row r="60" customFormat="false" ht="31.5" hidden="false" customHeight="true" outlineLevel="0" collapsed="false">
      <c r="A60" s="22" t="s">
        <v>223</v>
      </c>
      <c r="B60" s="22" t="str">
        <f aca="false">'POLY ON WEBSITE'!A18</f>
        <v>686553</v>
      </c>
      <c r="C60" s="23" t="str">
        <f aca="false">'POLY ON WEBSITE'!B18</f>
        <v>Exit &amp; Evacuation Sign Exit Luminous Poly Lum 350x140 601OLUP</v>
      </c>
      <c r="D60" s="24" t="n">
        <f aca="false">'POLY ON WEBSITE'!C18</f>
        <v>49.99</v>
      </c>
      <c r="E60" s="24" t="n">
        <f aca="false">D60/1.1</f>
        <v>45.4454545454545</v>
      </c>
      <c r="F60" s="24" t="n">
        <f aca="false">'POLY ON WEBSITE'!D18</f>
        <v>1.94</v>
      </c>
      <c r="G60" s="24" t="n">
        <f aca="false">F60*1.1</f>
        <v>2.134</v>
      </c>
      <c r="H60" s="24" t="n">
        <f aca="false">E60-F60</f>
        <v>43.5054545454546</v>
      </c>
      <c r="I60" s="25" t="n">
        <f aca="false">IFERROR(E60/F60-1,"")</f>
        <v>22.4254920337395</v>
      </c>
      <c r="J60" s="23" t="str">
        <f aca="false">IF('POLY ON WEBSITE'!F18="","",'POLY ON WEBSITE'!F18)</f>
        <v/>
      </c>
    </row>
    <row r="61" customFormat="false" ht="15.75" hidden="false" customHeight="true" outlineLevel="0" collapsed="false">
      <c r="A61" s="22" t="s">
        <v>223</v>
      </c>
      <c r="B61" s="22" t="str">
        <f aca="false">'POLY ON WEBSITE'!A19</f>
        <v>712169</v>
      </c>
      <c r="C61" s="23" t="str">
        <f aca="false">'POLY ON WEBSITE'!B19</f>
        <v>Danger Workers Above Poly Sign 600x450mm</v>
      </c>
      <c r="D61" s="24" t="n">
        <f aca="false">'POLY ON WEBSITE'!C19</f>
        <v>49.99</v>
      </c>
      <c r="E61" s="24" t="n">
        <f aca="false">D61/1.1</f>
        <v>45.4454545454545</v>
      </c>
      <c r="F61" s="24" t="n">
        <f aca="false">'POLY ON WEBSITE'!D19</f>
        <v>10.69</v>
      </c>
      <c r="G61" s="24" t="n">
        <f aca="false">F61*1.1</f>
        <v>11.759</v>
      </c>
      <c r="H61" s="24" t="n">
        <f aca="false">E61-F61</f>
        <v>34.7554545454546</v>
      </c>
      <c r="I61" s="25" t="n">
        <f aca="false">IFERROR(E61/F61-1,"")</f>
        <v>3.2512118377413</v>
      </c>
      <c r="J61" s="23" t="str">
        <f aca="false">IF('POLY ON WEBSITE'!F19="","",'POLY ON WEBSITE'!F19)</f>
        <v/>
      </c>
    </row>
    <row r="62" customFormat="false" ht="31.5" hidden="false" customHeight="true" outlineLevel="0" collapsed="false">
      <c r="A62" s="22" t="s">
        <v>223</v>
      </c>
      <c r="B62" s="22" t="str">
        <f aca="false">'POLY ON WEBSITE'!A20</f>
        <v>715740</v>
      </c>
      <c r="C62" s="23" t="str">
        <f aca="false">'POLY ON WEBSITE'!B20</f>
        <v>432MP 840223 153P-LP Sign Prohibition No Pedestrian Access Poly 300x225</v>
      </c>
      <c r="D62" s="24" t="n">
        <f aca="false">'POLY ON WEBSITE'!C20</f>
        <v>32.99</v>
      </c>
      <c r="E62" s="24" t="n">
        <f aca="false">D62/1.1</f>
        <v>29.9909090909091</v>
      </c>
      <c r="F62" s="24" t="n">
        <f aca="false">'POLY ON WEBSITE'!D20</f>
        <v>3.201</v>
      </c>
      <c r="G62" s="24" t="n">
        <f aca="false">F62*1.1</f>
        <v>3.5211</v>
      </c>
      <c r="H62" s="24" t="n">
        <f aca="false">E62-F62</f>
        <v>26.7899090909091</v>
      </c>
      <c r="I62" s="25" t="n">
        <f aca="false">IFERROR(E62/F62-1,"")</f>
        <v>8.36923120615717</v>
      </c>
      <c r="J62" s="23" t="str">
        <f aca="false">IF('POLY ON WEBSITE'!F20="","",'POLY ON WEBSITE'!F20)</f>
        <v/>
      </c>
    </row>
    <row r="63" customFormat="false" ht="15.75" hidden="false" customHeight="true" outlineLevel="0" collapsed="false">
      <c r="A63" s="22" t="s">
        <v>223</v>
      </c>
      <c r="B63" s="22" t="str">
        <f aca="false">'POLY ON WEBSITE'!A21</f>
        <v>715804</v>
      </c>
      <c r="C63" s="23" t="str">
        <f aca="false">'POLY ON WEBSITE'!B21</f>
        <v>General Sign Lunch Room Poly 450x300 944LSP</v>
      </c>
      <c r="D63" s="24" t="n">
        <f aca="false">'POLY ON WEBSITE'!C21</f>
        <v>32.99</v>
      </c>
      <c r="E63" s="24" t="n">
        <f aca="false">D63/1.1</f>
        <v>29.9909090909091</v>
      </c>
      <c r="F63" s="24" t="n">
        <f aca="false">'POLY ON WEBSITE'!D21</f>
        <v>5.35</v>
      </c>
      <c r="G63" s="24" t="n">
        <f aca="false">F63*1.1</f>
        <v>5.885</v>
      </c>
      <c r="H63" s="24" t="n">
        <f aca="false">E63-F63</f>
        <v>24.6409090909091</v>
      </c>
      <c r="I63" s="25" t="n">
        <f aca="false">IFERROR(E63/F63-1,"")</f>
        <v>4.60577740016992</v>
      </c>
      <c r="J63" s="23" t="str">
        <f aca="false">IF('POLY ON WEBSITE'!F21="","",'POLY ON WEBSITE'!F21)</f>
        <v/>
      </c>
    </row>
    <row r="64" customFormat="false" ht="31.5" hidden="false" customHeight="true" outlineLevel="0" collapsed="false">
      <c r="A64" s="22" t="s">
        <v>223</v>
      </c>
      <c r="B64" s="22" t="str">
        <f aca="false">'POLY ON WEBSITE'!A22</f>
        <v>717991</v>
      </c>
      <c r="C64" s="23" t="str">
        <f aca="false">'POLY ON WEBSITE'!B22</f>
        <v>Danger Sign Flammable Material Storage Area Poly 300x225 256MP</v>
      </c>
      <c r="D64" s="24" t="n">
        <f aca="false">'POLY ON WEBSITE'!C22</f>
        <v>32.99</v>
      </c>
      <c r="E64" s="24" t="n">
        <f aca="false">D64/1.1</f>
        <v>29.9909090909091</v>
      </c>
      <c r="F64" s="24" t="n">
        <f aca="false">'POLY ON WEBSITE'!D22</f>
        <v>2.67</v>
      </c>
      <c r="G64" s="24" t="n">
        <f aca="false">F64*1.1</f>
        <v>2.937</v>
      </c>
      <c r="H64" s="24" t="n">
        <f aca="false">E64-F64</f>
        <v>27.3209090909091</v>
      </c>
      <c r="I64" s="25" t="n">
        <f aca="false">IFERROR(E64/F64-1,"")</f>
        <v>10.2325502213143</v>
      </c>
      <c r="J64" s="23" t="str">
        <f aca="false">IF('POLY ON WEBSITE'!F22="","",'POLY ON WEBSITE'!F22)</f>
        <v/>
      </c>
    </row>
    <row r="65" customFormat="false" ht="15.75" hidden="false" customHeight="true" outlineLevel="0" collapsed="false">
      <c r="A65" s="22" t="s">
        <v>223</v>
      </c>
      <c r="B65" s="22" t="str">
        <f aca="false">'POLY ON WEBSITE'!A23</f>
        <v>869094</v>
      </c>
      <c r="C65" s="23" t="str">
        <f aca="false">'POLY ON WEBSITE'!B23</f>
        <v>Danger Sign Overhead Power Lines Corflute 600x450 265LC</v>
      </c>
      <c r="D65" s="24" t="n">
        <f aca="false">'POLY ON WEBSITE'!C23</f>
        <v>32.99</v>
      </c>
      <c r="E65" s="24" t="n">
        <f aca="false">D65/1.1</f>
        <v>29.9909090909091</v>
      </c>
      <c r="F65" s="24" t="n">
        <f aca="false">'POLY ON WEBSITE'!D23</f>
        <v>10.69</v>
      </c>
      <c r="G65" s="24" t="n">
        <f aca="false">F65*1.1</f>
        <v>11.759</v>
      </c>
      <c r="H65" s="24" t="n">
        <f aca="false">E65-F65</f>
        <v>19.3009090909091</v>
      </c>
      <c r="I65" s="25" t="n">
        <f aca="false">IFERROR(E65/F65-1,"")</f>
        <v>1.80551067267625</v>
      </c>
      <c r="J65" s="23" t="str">
        <f aca="false">IF('POLY ON WEBSITE'!F23="","",'POLY ON WEBSITE'!F23)</f>
        <v/>
      </c>
    </row>
    <row r="67" customFormat="false" ht="15.75" hidden="false" customHeight="true" outlineLevel="0" collapsed="false">
      <c r="A67" s="30" t="s">
        <v>224</v>
      </c>
    </row>
    <row r="68" customFormat="false" ht="15" hidden="false" customHeight="false" outlineLevel="0" collapsed="false">
      <c r="A68" s="31" t="s">
        <v>225</v>
      </c>
      <c r="B68" s="31"/>
      <c r="C68" s="31"/>
      <c r="D68" s="32" t="n">
        <f aca="false">COUNTA(B6:B65)</f>
        <v>60</v>
      </c>
    </row>
    <row r="69" customFormat="false" ht="15" hidden="false" customHeight="false" outlineLevel="0" collapsed="false">
      <c r="A69" s="31" t="s">
        <v>226</v>
      </c>
      <c r="B69" s="31"/>
      <c r="C69" s="31"/>
      <c r="D69" s="32" t="n">
        <f aca="false">COUNTIF(H6:H65,"&gt;0")</f>
        <v>60</v>
      </c>
    </row>
    <row r="70" customFormat="false" ht="15" hidden="false" customHeight="false" outlineLevel="0" collapsed="false">
      <c r="A70" s="31" t="s">
        <v>227</v>
      </c>
      <c r="B70" s="31"/>
      <c r="C70" s="31"/>
      <c r="D70" s="32" t="n">
        <f aca="false">COUNTIF(H6:H65,"&lt;0")</f>
        <v>0</v>
      </c>
    </row>
    <row r="71" customFormat="false" ht="15" hidden="false" customHeight="false" outlineLevel="0" collapsed="false">
      <c r="A71" s="31" t="s">
        <v>228</v>
      </c>
      <c r="B71" s="31"/>
      <c r="C71" s="31"/>
      <c r="D71" s="33" t="n">
        <f aca="false">AVERAGE(I6:I65)</f>
        <v>4.15540623746097</v>
      </c>
    </row>
    <row r="72" customFormat="false" ht="15" hidden="false" customHeight="false" outlineLevel="0" collapsed="false">
      <c r="A72" s="31" t="s">
        <v>229</v>
      </c>
      <c r="B72" s="31"/>
      <c r="C72" s="31"/>
      <c r="D72" s="33" t="n">
        <f aca="false">MEDIAN(I6:I65)</f>
        <v>2.86941356564145</v>
      </c>
    </row>
    <row r="74" customFormat="false" ht="15" hidden="false" customHeight="false" outlineLevel="0" collapsed="false">
      <c r="A74" s="34"/>
      <c r="B74" s="34"/>
      <c r="C74" s="34"/>
      <c r="D74" s="34"/>
      <c r="E74" s="34"/>
      <c r="F74" s="34"/>
      <c r="G74" s="34"/>
      <c r="H74" s="34"/>
      <c r="I74" s="34"/>
      <c r="J74" s="34"/>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15" min="4" style="0" width="13"/>
    <col collapsed="false" customWidth="true" hidden="false" outlineLevel="0" max="16" min="16" style="0" width="14"/>
    <col collapsed="false" customWidth="true" hidden="false" outlineLevel="0" max="17" min="17" style="0" width="13"/>
    <col collapsed="false" customWidth="true" hidden="false" outlineLevel="0" max="18" min="18" style="0" width="46"/>
  </cols>
  <sheetData>
    <row r="1" customFormat="false" ht="19.5" hidden="false" customHeight="true" outlineLevel="0" collapsed="false">
      <c r="A1" s="35" t="s">
        <v>230</v>
      </c>
      <c r="B1" s="35"/>
      <c r="C1" s="35"/>
      <c r="D1" s="35"/>
      <c r="E1" s="35"/>
      <c r="F1" s="35"/>
      <c r="G1" s="35"/>
      <c r="H1" s="35"/>
      <c r="I1" s="35"/>
      <c r="J1" s="35"/>
      <c r="K1" s="35"/>
      <c r="L1" s="35"/>
      <c r="M1" s="35"/>
      <c r="N1" s="35"/>
      <c r="O1" s="35"/>
      <c r="P1" s="35"/>
      <c r="Q1" s="35"/>
      <c r="R1" s="35"/>
    </row>
    <row r="2" customFormat="false" ht="57.75" hidden="false" customHeight="true" outlineLevel="0" collapsed="false">
      <c r="A2" s="36" t="s">
        <v>231</v>
      </c>
      <c r="B2" s="36"/>
      <c r="C2" s="36"/>
      <c r="D2" s="36"/>
      <c r="E2" s="36"/>
      <c r="F2" s="36"/>
      <c r="G2" s="36"/>
      <c r="H2" s="36"/>
      <c r="I2" s="36"/>
      <c r="J2" s="36"/>
      <c r="K2" s="36"/>
      <c r="L2" s="36"/>
      <c r="M2" s="36"/>
      <c r="N2" s="36"/>
      <c r="O2" s="36"/>
      <c r="P2" s="36"/>
      <c r="Q2" s="36"/>
      <c r="R2" s="36"/>
    </row>
    <row r="3" customFormat="false" ht="57.75" hidden="false" customHeight="true" outlineLevel="0" collapsed="false">
      <c r="A3" s="36" t="s">
        <v>232</v>
      </c>
      <c r="B3" s="36"/>
      <c r="C3" s="36"/>
      <c r="D3" s="36"/>
      <c r="E3" s="36"/>
      <c r="F3" s="36"/>
      <c r="G3" s="36"/>
      <c r="H3" s="36"/>
      <c r="I3" s="36"/>
      <c r="J3" s="36"/>
      <c r="K3" s="36"/>
      <c r="L3" s="36"/>
      <c r="M3" s="36"/>
      <c r="N3" s="36"/>
      <c r="O3" s="36"/>
      <c r="P3" s="36"/>
      <c r="Q3" s="36"/>
      <c r="R3" s="36"/>
    </row>
    <row r="4" customFormat="false" ht="45.75" hidden="false" customHeight="true" outlineLevel="0" collapsed="false">
      <c r="A4" s="37" t="s">
        <v>212</v>
      </c>
      <c r="B4" s="37" t="s">
        <v>0</v>
      </c>
      <c r="C4" s="37" t="s">
        <v>1</v>
      </c>
      <c r="D4" s="37" t="s">
        <v>215</v>
      </c>
      <c r="E4" s="37" t="s">
        <v>216</v>
      </c>
      <c r="F4" s="37" t="s">
        <v>213</v>
      </c>
      <c r="G4" s="37" t="s">
        <v>214</v>
      </c>
      <c r="H4" s="37" t="s">
        <v>233</v>
      </c>
      <c r="I4" s="37" t="s">
        <v>234</v>
      </c>
      <c r="J4" s="37" t="s">
        <v>235</v>
      </c>
      <c r="K4" s="37" t="s">
        <v>236</v>
      </c>
      <c r="L4" s="37" t="s">
        <v>237</v>
      </c>
      <c r="M4" s="37" t="s">
        <v>238</v>
      </c>
      <c r="N4" s="37" t="s">
        <v>239</v>
      </c>
      <c r="O4" s="37" t="s">
        <v>240</v>
      </c>
      <c r="P4" s="37" t="s">
        <v>241</v>
      </c>
      <c r="Q4" s="37" t="s">
        <v>242</v>
      </c>
      <c r="R4" s="37" t="s">
        <v>243</v>
      </c>
    </row>
    <row r="5" customFormat="false" ht="28.35" hidden="false" customHeight="false" outlineLevel="0" collapsed="false">
      <c r="A5" s="38" t="s">
        <v>220</v>
      </c>
      <c r="B5" s="38" t="s">
        <v>7</v>
      </c>
      <c r="C5" s="39" t="s">
        <v>8</v>
      </c>
      <c r="D5" s="40" t="n">
        <f aca="false">'RSEA vs Quoted Comparison'!F6</f>
        <v>16.71</v>
      </c>
      <c r="E5" s="40" t="n">
        <f aca="false">'RSEA vs Quoted Comparison'!G6</f>
        <v>18.381</v>
      </c>
      <c r="F5" s="40" t="n">
        <f aca="false">'RSEA vs Quoted Comparison'!D6</f>
        <v>42.99</v>
      </c>
      <c r="G5" s="40" t="n">
        <f aca="false">'RSEA vs Quoted Comparison'!E6</f>
        <v>39.0818181818182</v>
      </c>
      <c r="H5" s="38"/>
      <c r="I5" s="38"/>
      <c r="J5" s="38"/>
      <c r="K5" s="38"/>
      <c r="L5" s="40" t="n">
        <v>42.5</v>
      </c>
      <c r="M5" s="40" t="n">
        <f aca="false">L5/1.1</f>
        <v>38.6363636363636</v>
      </c>
      <c r="N5" s="40" t="n">
        <v>22.05</v>
      </c>
      <c r="O5" s="40" t="n">
        <v>20.05</v>
      </c>
      <c r="P5" s="40" t="n">
        <f aca="false">IF(COUNT(G5,I5,K5,M5,O5)=0,"",MIN(G5,I5,K5,M5,O5))</f>
        <v>20.05</v>
      </c>
      <c r="Q5" s="41" t="n">
        <f aca="false">IF(OR(D5="",P5=""),"",D5/P5-1)</f>
        <v>-0.166583541147132</v>
      </c>
      <c r="R5" s="39" t="s">
        <v>244</v>
      </c>
    </row>
    <row r="6" customFormat="false" ht="41.75" hidden="false" customHeight="false" outlineLevel="0" collapsed="false">
      <c r="A6" s="38" t="s">
        <v>220</v>
      </c>
      <c r="B6" s="38" t="s">
        <v>9</v>
      </c>
      <c r="C6" s="39" t="s">
        <v>10</v>
      </c>
      <c r="D6" s="40" t="n">
        <f aca="false">'RSEA vs Quoted Comparison'!F7</f>
        <v>66.83</v>
      </c>
      <c r="E6" s="40" t="n">
        <f aca="false">'RSEA vs Quoted Comparison'!G7</f>
        <v>73.513</v>
      </c>
      <c r="F6" s="40" t="n">
        <f aca="false">'RSEA vs Quoted Comparison'!D7</f>
        <v>134.99</v>
      </c>
      <c r="G6" s="40" t="n">
        <f aca="false">'RSEA vs Quoted Comparison'!E7</f>
        <v>122.718181818182</v>
      </c>
      <c r="H6" s="38"/>
      <c r="I6" s="38"/>
      <c r="J6" s="38"/>
      <c r="K6" s="38"/>
      <c r="L6" s="38"/>
      <c r="M6" s="38"/>
      <c r="N6" s="38"/>
      <c r="O6" s="38"/>
      <c r="P6" s="40" t="n">
        <f aca="false">IF(COUNT(G6,I6,K6,M6,O6)=0,"",MIN(G6,I6,K6,M6,O6))</f>
        <v>122.718181818182</v>
      </c>
      <c r="Q6" s="41" t="n">
        <f aca="false">IF(OR(D6="",P6=""),"",D6/P6-1)</f>
        <v>-0.455418919919994</v>
      </c>
      <c r="R6" s="39" t="s">
        <v>245</v>
      </c>
    </row>
    <row r="7" customFormat="false" ht="41.75" hidden="false" customHeight="false" outlineLevel="0" collapsed="false">
      <c r="A7" s="38" t="s">
        <v>220</v>
      </c>
      <c r="B7" s="38" t="s">
        <v>11</v>
      </c>
      <c r="C7" s="39" t="s">
        <v>12</v>
      </c>
      <c r="D7" s="40" t="n">
        <f aca="false">'RSEA vs Quoted Comparison'!F8</f>
        <v>44.55</v>
      </c>
      <c r="E7" s="40" t="n">
        <f aca="false">'RSEA vs Quoted Comparison'!G8</f>
        <v>49.005</v>
      </c>
      <c r="F7" s="40" t="n">
        <f aca="false">'RSEA vs Quoted Comparison'!D8</f>
        <v>167.99</v>
      </c>
      <c r="G7" s="40" t="n">
        <f aca="false">'RSEA vs Quoted Comparison'!E8</f>
        <v>152.718181818182</v>
      </c>
      <c r="H7" s="38"/>
      <c r="I7" s="38"/>
      <c r="J7" s="38"/>
      <c r="K7" s="38"/>
      <c r="L7" s="38"/>
      <c r="M7" s="38"/>
      <c r="N7" s="38"/>
      <c r="O7" s="38"/>
      <c r="P7" s="40" t="n">
        <f aca="false">IF(COUNT(G7,I7,K7,M7,O7)=0,"",MIN(G7,I7,K7,M7,O7))</f>
        <v>152.718181818182</v>
      </c>
      <c r="Q7" s="41" t="n">
        <f aca="false">IF(OR(D7="",P7=""),"",D7/P7-1)</f>
        <v>-0.708286207512352</v>
      </c>
      <c r="R7" s="39" t="s">
        <v>245</v>
      </c>
    </row>
    <row r="8" customFormat="false" ht="55.2" hidden="false" customHeight="false" outlineLevel="0" collapsed="false">
      <c r="A8" s="38" t="s">
        <v>220</v>
      </c>
      <c r="B8" s="38" t="s">
        <v>13</v>
      </c>
      <c r="C8" s="39" t="s">
        <v>14</v>
      </c>
      <c r="D8" s="40" t="n">
        <f aca="false">'RSEA vs Quoted Comparison'!F9</f>
        <v>44.55</v>
      </c>
      <c r="E8" s="40" t="n">
        <f aca="false">'RSEA vs Quoted Comparison'!G9</f>
        <v>49.005</v>
      </c>
      <c r="F8" s="40" t="n">
        <f aca="false">'RSEA vs Quoted Comparison'!D9</f>
        <v>147.99</v>
      </c>
      <c r="G8" s="40" t="n">
        <f aca="false">'RSEA vs Quoted Comparison'!E9</f>
        <v>134.536363636364</v>
      </c>
      <c r="H8" s="40" t="n">
        <f aca="false">I8*1.1</f>
        <v>71.038</v>
      </c>
      <c r="I8" s="40" t="n">
        <v>64.58</v>
      </c>
      <c r="J8" s="40" t="n">
        <v>93.25</v>
      </c>
      <c r="K8" s="40" t="n">
        <v>84.77</v>
      </c>
      <c r="L8" s="40" t="n">
        <v>99</v>
      </c>
      <c r="M8" s="40" t="n">
        <f aca="false">L8/1.1</f>
        <v>90</v>
      </c>
      <c r="N8" s="40" t="n">
        <v>77.4</v>
      </c>
      <c r="O8" s="40" t="n">
        <v>70.36</v>
      </c>
      <c r="P8" s="40" t="n">
        <f aca="false">IF(COUNT(G8,I8,K8,M8,O8)=0,"",MIN(G8,I8,K8,M8,O8))</f>
        <v>64.58</v>
      </c>
      <c r="Q8" s="41" t="n">
        <f aca="false">IF(OR(D8="",P8=""),"",D8/P8-1)</f>
        <v>-0.310157943635801</v>
      </c>
      <c r="R8" s="39" t="s">
        <v>246</v>
      </c>
    </row>
    <row r="9" customFormat="false" ht="41.75" hidden="false" customHeight="false" outlineLevel="0" collapsed="false">
      <c r="A9" s="38" t="s">
        <v>220</v>
      </c>
      <c r="B9" s="38" t="s">
        <v>15</v>
      </c>
      <c r="C9" s="39" t="s">
        <v>16</v>
      </c>
      <c r="D9" s="40" t="n">
        <f aca="false">'RSEA vs Quoted Comparison'!F10</f>
        <v>69.61</v>
      </c>
      <c r="E9" s="40" t="n">
        <f aca="false">'RSEA vs Quoted Comparison'!G10</f>
        <v>76.571</v>
      </c>
      <c r="F9" s="40" t="n">
        <f aca="false">'RSEA vs Quoted Comparison'!D10</f>
        <v>167.99</v>
      </c>
      <c r="G9" s="40" t="n">
        <f aca="false">'RSEA vs Quoted Comparison'!E10</f>
        <v>152.718181818182</v>
      </c>
      <c r="H9" s="40" t="n">
        <f aca="false">I9*1.1</f>
        <v>84.15</v>
      </c>
      <c r="I9" s="40" t="n">
        <v>76.5</v>
      </c>
      <c r="J9" s="40" t="n">
        <v>117.3</v>
      </c>
      <c r="K9" s="40" t="n">
        <v>106.64</v>
      </c>
      <c r="L9" s="40" t="n">
        <v>124.95</v>
      </c>
      <c r="M9" s="40" t="n">
        <f aca="false">L9/1.1</f>
        <v>113.590909090909</v>
      </c>
      <c r="N9" s="40" t="n">
        <v>95.4</v>
      </c>
      <c r="O9" s="40" t="n">
        <v>86.73</v>
      </c>
      <c r="P9" s="40" t="n">
        <f aca="false">IF(COUNT(G9,I9,K9,M9,O9)=0,"",MIN(G9,I9,K9,M9,O9))</f>
        <v>76.5</v>
      </c>
      <c r="Q9" s="41" t="n">
        <f aca="false">IF(OR(D9="",P9=""),"",D9/P9-1)</f>
        <v>-0.0900653594771242</v>
      </c>
      <c r="R9" s="39" t="s">
        <v>247</v>
      </c>
    </row>
    <row r="10" customFormat="false" ht="41.75" hidden="false" customHeight="false" outlineLevel="0" collapsed="false">
      <c r="A10" s="38" t="s">
        <v>220</v>
      </c>
      <c r="B10" s="38" t="s">
        <v>17</v>
      </c>
      <c r="C10" s="39" t="s">
        <v>18</v>
      </c>
      <c r="D10" s="40" t="n">
        <f aca="false">'RSEA vs Quoted Comparison'!F11</f>
        <v>33.41</v>
      </c>
      <c r="E10" s="40" t="n">
        <f aca="false">'RSEA vs Quoted Comparison'!G11</f>
        <v>36.751</v>
      </c>
      <c r="F10" s="40" t="n">
        <f aca="false">'RSEA vs Quoted Comparison'!D11</f>
        <v>142.99</v>
      </c>
      <c r="G10" s="40" t="n">
        <f aca="false">'RSEA vs Quoted Comparison'!E11</f>
        <v>129.990909090909</v>
      </c>
      <c r="H10" s="40" t="n">
        <f aca="false">I10*1.1</f>
        <v>44.209</v>
      </c>
      <c r="I10" s="40" t="n">
        <v>40.19</v>
      </c>
      <c r="J10" s="40" t="n">
        <v>63.11</v>
      </c>
      <c r="K10" s="40" t="n">
        <v>57.37</v>
      </c>
      <c r="L10" s="40" t="n">
        <v>90.3</v>
      </c>
      <c r="M10" s="40" t="n">
        <f aca="false">L10/1.1</f>
        <v>82.0909090909091</v>
      </c>
      <c r="N10" s="40" t="n">
        <v>57</v>
      </c>
      <c r="O10" s="40" t="n">
        <v>51.82</v>
      </c>
      <c r="P10" s="40" t="n">
        <f aca="false">IF(COUNT(G10,I10,K10,M10,O10)=0,"",MIN(G10,I10,K10,M10,O10))</f>
        <v>40.19</v>
      </c>
      <c r="Q10" s="41" t="n">
        <f aca="false">IF(OR(D10="",P10=""),"",D10/P10-1)</f>
        <v>-0.168698681263996</v>
      </c>
      <c r="R10" s="39" t="s">
        <v>248</v>
      </c>
    </row>
    <row r="11" customFormat="false" ht="55.2" hidden="false" customHeight="false" outlineLevel="0" collapsed="false">
      <c r="A11" s="38" t="s">
        <v>220</v>
      </c>
      <c r="B11" s="38" t="s">
        <v>19</v>
      </c>
      <c r="C11" s="39" t="s">
        <v>20</v>
      </c>
      <c r="D11" s="40" t="n">
        <f aca="false">'RSEA vs Quoted Comparison'!F12</f>
        <v>44.55</v>
      </c>
      <c r="E11" s="40" t="n">
        <f aca="false">'RSEA vs Quoted Comparison'!G12</f>
        <v>49.005</v>
      </c>
      <c r="F11" s="40" t="n">
        <f aca="false">'RSEA vs Quoted Comparison'!D12</f>
        <v>157.99</v>
      </c>
      <c r="G11" s="40" t="n">
        <f aca="false">'RSEA vs Quoted Comparison'!E12</f>
        <v>143.627272727273</v>
      </c>
      <c r="H11" s="40" t="n">
        <f aca="false">I11*1.1</f>
        <v>88.781</v>
      </c>
      <c r="I11" s="40" t="n">
        <v>80.71</v>
      </c>
      <c r="J11" s="40" t="n">
        <v>95.35</v>
      </c>
      <c r="K11" s="40" t="n">
        <v>86.68</v>
      </c>
      <c r="L11" s="40" t="n">
        <v>105.6</v>
      </c>
      <c r="M11" s="40" t="n">
        <f aca="false">L11/1.1</f>
        <v>96</v>
      </c>
      <c r="N11" s="40" t="n">
        <v>77.4</v>
      </c>
      <c r="O11" s="40" t="n">
        <v>70.36</v>
      </c>
      <c r="P11" s="40" t="n">
        <f aca="false">IF(COUNT(G11,I11,K11,M11,O11)=0,"",MIN(G11,I11,K11,M11,O11))</f>
        <v>70.36</v>
      </c>
      <c r="Q11" s="41" t="n">
        <f aca="false">IF(OR(D11="",P11=""),"",D11/P11-1)</f>
        <v>-0.366827743035816</v>
      </c>
      <c r="R11" s="39" t="s">
        <v>249</v>
      </c>
    </row>
    <row r="12" customFormat="false" ht="55.2" hidden="false" customHeight="false" outlineLevel="0" collapsed="false">
      <c r="A12" s="38" t="s">
        <v>220</v>
      </c>
      <c r="B12" s="38" t="s">
        <v>79</v>
      </c>
      <c r="C12" s="39" t="s">
        <v>80</v>
      </c>
      <c r="D12" s="40" t="n">
        <f aca="false">'RSEA vs Quoted Comparison'!F13</f>
        <v>33.41</v>
      </c>
      <c r="E12" s="40" t="n">
        <f aca="false">'RSEA vs Quoted Comparison'!G13</f>
        <v>36.751</v>
      </c>
      <c r="F12" s="40" t="n">
        <f aca="false">'RSEA vs Quoted Comparison'!D13</f>
        <v>142.99</v>
      </c>
      <c r="G12" s="40" t="n">
        <f aca="false">'RSEA vs Quoted Comparison'!E13</f>
        <v>129.990909090909</v>
      </c>
      <c r="H12" s="40" t="n">
        <f aca="false">I12*1.1</f>
        <v>109.153</v>
      </c>
      <c r="I12" s="40" t="n">
        <v>99.23</v>
      </c>
      <c r="J12" s="40" t="n">
        <v>61.59</v>
      </c>
      <c r="K12" s="40" t="n">
        <v>55.99</v>
      </c>
      <c r="L12" s="40" t="n">
        <v>36.5</v>
      </c>
      <c r="M12" s="40" t="n">
        <f aca="false">L12/1.1</f>
        <v>33.1818181818182</v>
      </c>
      <c r="N12" s="40" t="n">
        <v>57</v>
      </c>
      <c r="O12" s="40" t="n">
        <v>51.82</v>
      </c>
      <c r="P12" s="40" t="n">
        <f aca="false">IF(COUNT(G12,I12,K12,M12,O12)=0,"",MIN(G12,I12,K12,M12,O12))</f>
        <v>33.1818181818182</v>
      </c>
      <c r="Q12" s="41" t="n">
        <f aca="false">IF(OR(D12="",P12=""),"",D12/P12-1)</f>
        <v>0.00687671232876719</v>
      </c>
      <c r="R12" s="39" t="s">
        <v>250</v>
      </c>
    </row>
    <row r="13" customFormat="false" ht="41.75" hidden="false" customHeight="false" outlineLevel="0" collapsed="false">
      <c r="A13" s="38" t="s">
        <v>220</v>
      </c>
      <c r="B13" s="38" t="s">
        <v>81</v>
      </c>
      <c r="C13" s="39" t="s">
        <v>82</v>
      </c>
      <c r="D13" s="40" t="n">
        <f aca="false">'RSEA vs Quoted Comparison'!F14</f>
        <v>25.06</v>
      </c>
      <c r="E13" s="40" t="n">
        <f aca="false">'RSEA vs Quoted Comparison'!G14</f>
        <v>27.566</v>
      </c>
      <c r="F13" s="40" t="n">
        <f aca="false">'RSEA vs Quoted Comparison'!D14</f>
        <v>112.99</v>
      </c>
      <c r="G13" s="40" t="n">
        <f aca="false">'RSEA vs Quoted Comparison'!E14</f>
        <v>102.718181818182</v>
      </c>
      <c r="H13" s="40" t="n">
        <f aca="false">I13*1.1</f>
        <v>77.968</v>
      </c>
      <c r="I13" s="40" t="n">
        <v>70.88</v>
      </c>
      <c r="J13" s="40" t="n">
        <v>61.29</v>
      </c>
      <c r="K13" s="40" t="n">
        <v>55.72</v>
      </c>
      <c r="L13" s="40" t="n">
        <v>49.5</v>
      </c>
      <c r="M13" s="40" t="n">
        <f aca="false">L13/1.1</f>
        <v>45</v>
      </c>
      <c r="N13" s="40" t="n">
        <v>47.4</v>
      </c>
      <c r="O13" s="40" t="n">
        <v>43.09</v>
      </c>
      <c r="P13" s="40" t="n">
        <f aca="false">IF(COUNT(G13,I13,K13,M13,O13)=0,"",MIN(G13,I13,K13,M13,O13))</f>
        <v>43.09</v>
      </c>
      <c r="Q13" s="41" t="n">
        <f aca="false">IF(OR(D13="",P13=""),"",D13/P13-1)</f>
        <v>-0.418426549083314</v>
      </c>
      <c r="R13" s="39" t="s">
        <v>251</v>
      </c>
    </row>
    <row r="14" customFormat="false" ht="55.2" hidden="false" customHeight="false" outlineLevel="0" collapsed="false">
      <c r="A14" s="38" t="s">
        <v>220</v>
      </c>
      <c r="B14" s="38" t="s">
        <v>101</v>
      </c>
      <c r="C14" s="39" t="s">
        <v>102</v>
      </c>
      <c r="D14" s="40" t="n">
        <f aca="false">'RSEA vs Quoted Comparison'!F15</f>
        <v>8.35</v>
      </c>
      <c r="E14" s="40" t="n">
        <f aca="false">'RSEA vs Quoted Comparison'!G15</f>
        <v>9.185</v>
      </c>
      <c r="F14" s="40" t="n">
        <f aca="false">'RSEA vs Quoted Comparison'!D15</f>
        <v>32.99</v>
      </c>
      <c r="G14" s="40" t="n">
        <f aca="false">'RSEA vs Quoted Comparison'!E15</f>
        <v>29.9909090909091</v>
      </c>
      <c r="H14" s="38"/>
      <c r="I14" s="38"/>
      <c r="J14" s="38"/>
      <c r="K14" s="38"/>
      <c r="L14" s="38"/>
      <c r="M14" s="38"/>
      <c r="N14" s="38"/>
      <c r="O14" s="38"/>
      <c r="P14" s="40" t="n">
        <f aca="false">IF(COUNT(G14,I14,K14,M14,O14)=0,"",MIN(G14,I14,K14,M14,O14))</f>
        <v>29.9909090909091</v>
      </c>
      <c r="Q14" s="41" t="n">
        <f aca="false">IF(OR(D14="",P14=""),"",D14/P14-1)</f>
        <v>-0.721582297665959</v>
      </c>
      <c r="R14" s="39" t="s">
        <v>252</v>
      </c>
    </row>
    <row r="15" customFormat="false" ht="55.2" hidden="false" customHeight="false" outlineLevel="0" collapsed="false">
      <c r="A15" s="38" t="s">
        <v>220</v>
      </c>
      <c r="B15" s="38" t="s">
        <v>107</v>
      </c>
      <c r="C15" s="39" t="s">
        <v>108</v>
      </c>
      <c r="D15" s="40" t="n">
        <f aca="false">'RSEA vs Quoted Comparison'!F16</f>
        <v>15.59</v>
      </c>
      <c r="E15" s="40" t="n">
        <f aca="false">'RSEA vs Quoted Comparison'!G16</f>
        <v>17.149</v>
      </c>
      <c r="F15" s="40" t="n">
        <f aca="false">'RSEA vs Quoted Comparison'!D16</f>
        <v>44.99</v>
      </c>
      <c r="G15" s="40" t="n">
        <f aca="false">'RSEA vs Quoted Comparison'!E16</f>
        <v>40.9</v>
      </c>
      <c r="H15" s="38"/>
      <c r="I15" s="38"/>
      <c r="J15" s="38"/>
      <c r="K15" s="38"/>
      <c r="L15" s="38"/>
      <c r="M15" s="38"/>
      <c r="N15" s="38"/>
      <c r="O15" s="38"/>
      <c r="P15" s="40" t="n">
        <f aca="false">IF(COUNT(G15,I15,K15,M15,O15)=0,"",MIN(G15,I15,K15,M15,O15))</f>
        <v>40.9</v>
      </c>
      <c r="Q15" s="41" t="n">
        <f aca="false">IF(OR(D15="",P15=""),"",D15/P15-1)</f>
        <v>-0.618826405867971</v>
      </c>
      <c r="R15" s="39" t="s">
        <v>253</v>
      </c>
    </row>
    <row r="16" customFormat="false" ht="28.35" hidden="false" customHeight="false" outlineLevel="0" collapsed="false">
      <c r="A16" s="38" t="s">
        <v>220</v>
      </c>
      <c r="B16" s="38" t="s">
        <v>117</v>
      </c>
      <c r="C16" s="39" t="s">
        <v>118</v>
      </c>
      <c r="D16" s="40" t="n">
        <f aca="false">'RSEA vs Quoted Comparison'!F17</f>
        <v>8.35</v>
      </c>
      <c r="E16" s="40" t="n">
        <f aca="false">'RSEA vs Quoted Comparison'!G17</f>
        <v>9.185</v>
      </c>
      <c r="F16" s="40" t="n">
        <f aca="false">'RSEA vs Quoted Comparison'!D17</f>
        <v>32.99</v>
      </c>
      <c r="G16" s="40" t="n">
        <f aca="false">'RSEA vs Quoted Comparison'!E17</f>
        <v>29.9909090909091</v>
      </c>
      <c r="H16" s="38"/>
      <c r="I16" s="38"/>
      <c r="J16" s="38"/>
      <c r="K16" s="38"/>
      <c r="L16" s="38"/>
      <c r="M16" s="38"/>
      <c r="N16" s="38"/>
      <c r="O16" s="38"/>
      <c r="P16" s="40" t="n">
        <f aca="false">IF(COUNT(G16,I16,K16,M16,O16)=0,"",MIN(G16,I16,K16,M16,O16))</f>
        <v>29.9909090909091</v>
      </c>
      <c r="Q16" s="41" t="n">
        <f aca="false">IF(OR(D16="",P16=""),"",D16/P16-1)</f>
        <v>-0.721582297665959</v>
      </c>
      <c r="R16" s="39" t="s">
        <v>254</v>
      </c>
    </row>
    <row r="17" customFormat="false" ht="28.35" hidden="false" customHeight="false" outlineLevel="0" collapsed="false">
      <c r="A17" s="38" t="s">
        <v>220</v>
      </c>
      <c r="B17" s="38" t="s">
        <v>127</v>
      </c>
      <c r="C17" s="39" t="s">
        <v>128</v>
      </c>
      <c r="D17" s="40" t="n">
        <f aca="false">'RSEA vs Quoted Comparison'!F18</f>
        <v>29.7</v>
      </c>
      <c r="E17" s="40" t="n">
        <f aca="false">'RSEA vs Quoted Comparison'!G18</f>
        <v>32.67</v>
      </c>
      <c r="F17" s="40" t="n">
        <f aca="false">'RSEA vs Quoted Comparison'!D18</f>
        <v>69.99</v>
      </c>
      <c r="G17" s="40" t="n">
        <f aca="false">'RSEA vs Quoted Comparison'!E18</f>
        <v>63.6272727272727</v>
      </c>
      <c r="H17" s="38"/>
      <c r="I17" s="38"/>
      <c r="J17" s="38"/>
      <c r="K17" s="38"/>
      <c r="L17" s="38"/>
      <c r="M17" s="38"/>
      <c r="N17" s="40" t="n">
        <v>57</v>
      </c>
      <c r="O17" s="40" t="n">
        <v>51.82</v>
      </c>
      <c r="P17" s="40" t="n">
        <f aca="false">IF(COUNT(G17,I17,K17,M17,O17)=0,"",MIN(G17,I17,K17,M17,O17))</f>
        <v>51.82</v>
      </c>
      <c r="Q17" s="41" t="n">
        <f aca="false">IF(OR(D17="",P17=""),"",D17/P17-1)</f>
        <v>-0.426862215360865</v>
      </c>
      <c r="R17" s="39" t="s">
        <v>255</v>
      </c>
    </row>
    <row r="18" customFormat="false" ht="55.2" hidden="false" customHeight="false" outlineLevel="0" collapsed="false">
      <c r="A18" s="38" t="s">
        <v>220</v>
      </c>
      <c r="B18" s="38" t="s">
        <v>131</v>
      </c>
      <c r="C18" s="39" t="s">
        <v>132</v>
      </c>
      <c r="D18" s="40" t="n">
        <f aca="false">'RSEA vs Quoted Comparison'!F19</f>
        <v>29.7</v>
      </c>
      <c r="E18" s="40" t="n">
        <f aca="false">'RSEA vs Quoted Comparison'!G19</f>
        <v>32.67</v>
      </c>
      <c r="F18" s="40" t="n">
        <f aca="false">'RSEA vs Quoted Comparison'!D19</f>
        <v>84.99</v>
      </c>
      <c r="G18" s="40" t="n">
        <f aca="false">'RSEA vs Quoted Comparison'!E19</f>
        <v>77.2636363636364</v>
      </c>
      <c r="H18" s="40" t="n">
        <f aca="false">I18*1.1</f>
        <v>109.153</v>
      </c>
      <c r="I18" s="40" t="n">
        <v>99.23</v>
      </c>
      <c r="J18" s="38"/>
      <c r="K18" s="38"/>
      <c r="L18" s="40" t="n">
        <v>36.5</v>
      </c>
      <c r="M18" s="40" t="n">
        <f aca="false">L18/1.1</f>
        <v>33.1818181818182</v>
      </c>
      <c r="N18" s="40" t="n">
        <v>57</v>
      </c>
      <c r="O18" s="40" t="n">
        <v>51.82</v>
      </c>
      <c r="P18" s="40" t="n">
        <f aca="false">IF(COUNT(G18,I18,K18,M18,O18)=0,"",MIN(G18,I18,K18,M18,O18))</f>
        <v>33.1818181818182</v>
      </c>
      <c r="Q18" s="41" t="n">
        <f aca="false">IF(OR(D18="",P18=""),"",D18/P18-1)</f>
        <v>-0.104931506849315</v>
      </c>
      <c r="R18" s="39" t="s">
        <v>256</v>
      </c>
    </row>
    <row r="19" customFormat="false" ht="41.75" hidden="false" customHeight="false" outlineLevel="0" collapsed="false">
      <c r="A19" s="38" t="s">
        <v>220</v>
      </c>
      <c r="B19" s="38" t="s">
        <v>137</v>
      </c>
      <c r="C19" s="39" t="s">
        <v>138</v>
      </c>
      <c r="D19" s="40" t="n">
        <f aca="false">'RSEA vs Quoted Comparison'!F20</f>
        <v>16.71</v>
      </c>
      <c r="E19" s="40" t="n">
        <f aca="false">'RSEA vs Quoted Comparison'!G20</f>
        <v>18.381</v>
      </c>
      <c r="F19" s="40" t="n">
        <f aca="false">'RSEA vs Quoted Comparison'!D20</f>
        <v>44.99</v>
      </c>
      <c r="G19" s="40" t="n">
        <f aca="false">'RSEA vs Quoted Comparison'!E20</f>
        <v>40.9</v>
      </c>
      <c r="H19" s="40" t="n">
        <f aca="false">I19*1.1</f>
        <v>26.653</v>
      </c>
      <c r="I19" s="40" t="n">
        <v>24.23</v>
      </c>
      <c r="J19" s="40" t="n">
        <v>29.61</v>
      </c>
      <c r="K19" s="40" t="n">
        <v>26.92</v>
      </c>
      <c r="L19" s="40" t="n">
        <v>35.7</v>
      </c>
      <c r="M19" s="40" t="n">
        <f aca="false">L19/1.1</f>
        <v>32.4545454545455</v>
      </c>
      <c r="N19" s="40" t="n">
        <v>33</v>
      </c>
      <c r="O19" s="40" t="n">
        <v>30</v>
      </c>
      <c r="P19" s="40" t="n">
        <f aca="false">IF(COUNT(G19,I19,K19,M19,O19)=0,"",MIN(G19,I19,K19,M19,O19))</f>
        <v>24.23</v>
      </c>
      <c r="Q19" s="41" t="n">
        <f aca="false">IF(OR(D19="",P19=""),"",D19/P19-1)</f>
        <v>-0.310359059017747</v>
      </c>
      <c r="R19" s="39" t="s">
        <v>257</v>
      </c>
    </row>
    <row r="20" customFormat="false" ht="55.2" hidden="false" customHeight="false" outlineLevel="0" collapsed="false">
      <c r="A20" s="38" t="s">
        <v>220</v>
      </c>
      <c r="B20" s="38" t="s">
        <v>141</v>
      </c>
      <c r="C20" s="39" t="s">
        <v>142</v>
      </c>
      <c r="D20" s="40" t="n">
        <f aca="false">'RSEA vs Quoted Comparison'!F21</f>
        <v>33.41</v>
      </c>
      <c r="E20" s="40" t="n">
        <f aca="false">'RSEA vs Quoted Comparison'!G21</f>
        <v>36.751</v>
      </c>
      <c r="F20" s="40" t="n">
        <f aca="false">'RSEA vs Quoted Comparison'!D21</f>
        <v>64.99</v>
      </c>
      <c r="G20" s="40" t="n">
        <f aca="false">'RSEA vs Quoted Comparison'!E21</f>
        <v>59.0818181818182</v>
      </c>
      <c r="H20" s="40" t="n">
        <f aca="false">I20*1.1</f>
        <v>26.653</v>
      </c>
      <c r="I20" s="40" t="n">
        <v>24.23</v>
      </c>
      <c r="J20" s="40" t="n">
        <v>31.89</v>
      </c>
      <c r="K20" s="40" t="n">
        <v>28.99</v>
      </c>
      <c r="L20" s="40" t="n">
        <v>53.4</v>
      </c>
      <c r="M20" s="40" t="n">
        <f aca="false">L20/1.1</f>
        <v>48.5454545454545</v>
      </c>
      <c r="N20" s="40" t="n">
        <v>45</v>
      </c>
      <c r="O20" s="40" t="n">
        <v>40.91</v>
      </c>
      <c r="P20" s="40" t="n">
        <f aca="false">IF(COUNT(G20,I20,K20,M20,O20)=0,"",MIN(G20,I20,K20,M20,O20))</f>
        <v>24.23</v>
      </c>
      <c r="Q20" s="41" t="n">
        <f aca="false">IF(OR(D20="",P20=""),"",D20/P20-1)</f>
        <v>0.378869170449855</v>
      </c>
      <c r="R20" s="39" t="s">
        <v>258</v>
      </c>
    </row>
    <row r="21" customFormat="false" ht="41.75" hidden="false" customHeight="false" outlineLevel="0" collapsed="false">
      <c r="A21" s="38" t="s">
        <v>220</v>
      </c>
      <c r="B21" s="38" t="s">
        <v>147</v>
      </c>
      <c r="C21" s="39" t="s">
        <v>148</v>
      </c>
      <c r="D21" s="40" t="n">
        <f aca="false">'RSEA vs Quoted Comparison'!F22</f>
        <v>11.81</v>
      </c>
      <c r="E21" s="40" t="n">
        <f aca="false">'RSEA vs Quoted Comparison'!G22</f>
        <v>12.991</v>
      </c>
      <c r="F21" s="40" t="n">
        <f aca="false">'RSEA vs Quoted Comparison'!D22</f>
        <v>44.99</v>
      </c>
      <c r="G21" s="40" t="n">
        <f aca="false">'RSEA vs Quoted Comparison'!E22</f>
        <v>40.9</v>
      </c>
      <c r="H21" s="38"/>
      <c r="I21" s="38"/>
      <c r="J21" s="40" t="n">
        <v>29.61</v>
      </c>
      <c r="K21" s="40" t="n">
        <v>26.92</v>
      </c>
      <c r="L21" s="40" t="n">
        <v>42.5</v>
      </c>
      <c r="M21" s="40" t="n">
        <f aca="false">L21/1.1</f>
        <v>38.6363636363636</v>
      </c>
      <c r="N21" s="40" t="n">
        <v>24.2</v>
      </c>
      <c r="O21" s="40" t="n">
        <v>22</v>
      </c>
      <c r="P21" s="40" t="n">
        <f aca="false">IF(COUNT(G21,I21,K21,M21,O21)=0,"",MIN(G21,I21,K21,M21,O21))</f>
        <v>22</v>
      </c>
      <c r="Q21" s="41" t="n">
        <f aca="false">IF(OR(D21="",P21=""),"",D21/P21-1)</f>
        <v>-0.463181818181818</v>
      </c>
      <c r="R21" s="39" t="s">
        <v>259</v>
      </c>
    </row>
    <row r="22" customFormat="false" ht="41.75" hidden="false" customHeight="false" outlineLevel="0" collapsed="false">
      <c r="A22" s="38" t="s">
        <v>220</v>
      </c>
      <c r="B22" s="38" t="s">
        <v>151</v>
      </c>
      <c r="C22" s="39" t="s">
        <v>152</v>
      </c>
      <c r="D22" s="40" t="n">
        <f aca="false">'RSEA vs Quoted Comparison'!F23</f>
        <v>11.81</v>
      </c>
      <c r="E22" s="40" t="n">
        <f aca="false">'RSEA vs Quoted Comparison'!G23</f>
        <v>12.991</v>
      </c>
      <c r="F22" s="40" t="n">
        <f aca="false">'RSEA vs Quoted Comparison'!D23</f>
        <v>49.99</v>
      </c>
      <c r="G22" s="40" t="n">
        <f aca="false">'RSEA vs Quoted Comparison'!E23</f>
        <v>45.4454545454545</v>
      </c>
      <c r="H22" s="40" t="n">
        <f aca="false">I22*1.1</f>
        <v>26.653</v>
      </c>
      <c r="I22" s="40" t="n">
        <v>24.23</v>
      </c>
      <c r="J22" s="40" t="n">
        <v>31.21</v>
      </c>
      <c r="K22" s="40" t="n">
        <v>28.37</v>
      </c>
      <c r="L22" s="40" t="n">
        <v>53.4</v>
      </c>
      <c r="M22" s="40" t="n">
        <f aca="false">L22/1.1</f>
        <v>48.5454545454545</v>
      </c>
      <c r="N22" s="40" t="n">
        <v>24.2</v>
      </c>
      <c r="O22" s="40" t="n">
        <v>22</v>
      </c>
      <c r="P22" s="40" t="n">
        <f aca="false">IF(COUNT(G22,I22,K22,M22,O22)=0,"",MIN(G22,I22,K22,M22,O22))</f>
        <v>22</v>
      </c>
      <c r="Q22" s="41" t="n">
        <f aca="false">IF(OR(D22="",P22=""),"",D22/P22-1)</f>
        <v>-0.463181818181818</v>
      </c>
      <c r="R22" s="39" t="s">
        <v>260</v>
      </c>
    </row>
    <row r="23" customFormat="false" ht="28.35" hidden="false" customHeight="false" outlineLevel="0" collapsed="false">
      <c r="A23" s="38" t="s">
        <v>220</v>
      </c>
      <c r="B23" s="38" t="s">
        <v>153</v>
      </c>
      <c r="C23" s="39" t="s">
        <v>154</v>
      </c>
      <c r="D23" s="40" t="n">
        <f aca="false">'RSEA vs Quoted Comparison'!F24</f>
        <v>5.9</v>
      </c>
      <c r="E23" s="40" t="n">
        <f aca="false">'RSEA vs Quoted Comparison'!G24</f>
        <v>6.49</v>
      </c>
      <c r="F23" s="40" t="n">
        <f aca="false">'RSEA vs Quoted Comparison'!D24</f>
        <v>37.99</v>
      </c>
      <c r="G23" s="40" t="n">
        <f aca="false">'RSEA vs Quoted Comparison'!E24</f>
        <v>34.5363636363636</v>
      </c>
      <c r="H23" s="38"/>
      <c r="I23" s="38"/>
      <c r="J23" s="38"/>
      <c r="K23" s="38"/>
      <c r="L23" s="38"/>
      <c r="M23" s="38"/>
      <c r="N23" s="38"/>
      <c r="O23" s="38"/>
      <c r="P23" s="40" t="n">
        <f aca="false">IF(COUNT(G23,I23,K23,M23,O23)=0,"",MIN(G23,I23,K23,M23,O23))</f>
        <v>34.5363636363636</v>
      </c>
      <c r="Q23" s="41" t="n">
        <f aca="false">IF(OR(D23="",P23=""),"",D23/P23-1)</f>
        <v>-0.829165569886812</v>
      </c>
      <c r="R23" s="39" t="s">
        <v>254</v>
      </c>
    </row>
    <row r="24" customFormat="false" ht="68.65" hidden="false" customHeight="false" outlineLevel="0" collapsed="false">
      <c r="A24" s="38" t="s">
        <v>220</v>
      </c>
      <c r="B24" s="38" t="s">
        <v>159</v>
      </c>
      <c r="C24" s="39" t="s">
        <v>160</v>
      </c>
      <c r="D24" s="40" t="n">
        <f aca="false">'RSEA vs Quoted Comparison'!F25</f>
        <v>11.81</v>
      </c>
      <c r="E24" s="40" t="n">
        <f aca="false">'RSEA vs Quoted Comparison'!G25</f>
        <v>12.991</v>
      </c>
      <c r="F24" s="40" t="n">
        <f aca="false">'RSEA vs Quoted Comparison'!D25</f>
        <v>49.99</v>
      </c>
      <c r="G24" s="40" t="n">
        <f aca="false">'RSEA vs Quoted Comparison'!E25</f>
        <v>45.4454545454545</v>
      </c>
      <c r="H24" s="38"/>
      <c r="I24" s="38"/>
      <c r="J24" s="38"/>
      <c r="K24" s="38"/>
      <c r="L24" s="40" t="n">
        <v>42.5</v>
      </c>
      <c r="M24" s="40" t="n">
        <f aca="false">L24/1.1</f>
        <v>38.6363636363636</v>
      </c>
      <c r="N24" s="40" t="n">
        <v>24.2</v>
      </c>
      <c r="O24" s="40" t="n">
        <v>22</v>
      </c>
      <c r="P24" s="40" t="n">
        <f aca="false">IF(COUNT(G24,I24,K24,M24,O24)=0,"",MIN(G24,I24,K24,M24,O24))</f>
        <v>22</v>
      </c>
      <c r="Q24" s="41" t="n">
        <f aca="false">IF(OR(D24="",P24=""),"",D24/P24-1)</f>
        <v>-0.463181818181818</v>
      </c>
      <c r="R24" s="39" t="s">
        <v>261</v>
      </c>
    </row>
    <row r="25" customFormat="false" ht="28.35" hidden="false" customHeight="false" outlineLevel="0" collapsed="false">
      <c r="A25" s="38" t="s">
        <v>220</v>
      </c>
      <c r="B25" s="38" t="s">
        <v>171</v>
      </c>
      <c r="C25" s="39" t="s">
        <v>172</v>
      </c>
      <c r="D25" s="40" t="n">
        <f aca="false">'RSEA vs Quoted Comparison'!F26</f>
        <v>11.81</v>
      </c>
      <c r="E25" s="40" t="n">
        <f aca="false">'RSEA vs Quoted Comparison'!G26</f>
        <v>12.991</v>
      </c>
      <c r="F25" s="40" t="n">
        <f aca="false">'RSEA vs Quoted Comparison'!D26</f>
        <v>44.99</v>
      </c>
      <c r="G25" s="40" t="n">
        <f aca="false">'RSEA vs Quoted Comparison'!E26</f>
        <v>40.9</v>
      </c>
      <c r="H25" s="38"/>
      <c r="I25" s="38"/>
      <c r="J25" s="38"/>
      <c r="K25" s="38"/>
      <c r="L25" s="40" t="n">
        <v>42.5</v>
      </c>
      <c r="M25" s="40" t="n">
        <f aca="false">L25/1.1</f>
        <v>38.6363636363636</v>
      </c>
      <c r="N25" s="40" t="n">
        <v>22.05</v>
      </c>
      <c r="O25" s="40" t="n">
        <v>20.05</v>
      </c>
      <c r="P25" s="40" t="n">
        <f aca="false">IF(COUNT(G25,I25,K25,M25,O25)=0,"",MIN(G25,I25,K25,M25,O25))</f>
        <v>20.05</v>
      </c>
      <c r="Q25" s="41" t="n">
        <f aca="false">IF(OR(D25="",P25=""),"",D25/P25-1)</f>
        <v>-0.410972568578554</v>
      </c>
      <c r="R25" s="39" t="s">
        <v>244</v>
      </c>
    </row>
    <row r="26" customFormat="false" ht="28.35" hidden="false" customHeight="false" outlineLevel="0" collapsed="false">
      <c r="A26" s="38" t="s">
        <v>220</v>
      </c>
      <c r="B26" s="38" t="s">
        <v>262</v>
      </c>
      <c r="C26" s="39" t="s">
        <v>173</v>
      </c>
      <c r="D26" s="40" t="n">
        <f aca="false">'RSEA vs Quoted Comparison'!F27</f>
        <v>11.81</v>
      </c>
      <c r="E26" s="40" t="n">
        <f aca="false">'RSEA vs Quoted Comparison'!G27</f>
        <v>12.991</v>
      </c>
      <c r="F26" s="40" t="n">
        <f aca="false">'RSEA vs Quoted Comparison'!D27</f>
        <v>44.99</v>
      </c>
      <c r="G26" s="40" t="n">
        <f aca="false">'RSEA vs Quoted Comparison'!E27</f>
        <v>40.9</v>
      </c>
      <c r="H26" s="38"/>
      <c r="I26" s="38"/>
      <c r="J26" s="38"/>
      <c r="K26" s="38"/>
      <c r="L26" s="40" t="n">
        <v>35.75</v>
      </c>
      <c r="M26" s="40" t="n">
        <f aca="false">L26/1.1</f>
        <v>32.5</v>
      </c>
      <c r="N26" s="40" t="n">
        <v>42.5</v>
      </c>
      <c r="O26" s="40" t="n">
        <v>38.64</v>
      </c>
      <c r="P26" s="40" t="n">
        <f aca="false">IF(COUNT(G26,I26,K26,M26,O26)=0,"",MIN(G26,I26,K26,M26,O26))</f>
        <v>32.5</v>
      </c>
      <c r="Q26" s="41" t="n">
        <f aca="false">IF(OR(D26="",P26=""),"",D26/P26-1)</f>
        <v>-0.636615384615385</v>
      </c>
      <c r="R26" s="39" t="s">
        <v>263</v>
      </c>
    </row>
    <row r="27" customFormat="false" ht="68.65" hidden="false" customHeight="false" outlineLevel="0" collapsed="false">
      <c r="A27" s="38" t="s">
        <v>220</v>
      </c>
      <c r="B27" s="38" t="s">
        <v>167</v>
      </c>
      <c r="C27" s="39" t="s">
        <v>168</v>
      </c>
      <c r="D27" s="40" t="n">
        <f aca="false">'RSEA vs Quoted Comparison'!F28</f>
        <v>33.41</v>
      </c>
      <c r="E27" s="40" t="n">
        <f aca="false">'RSEA vs Quoted Comparison'!G28</f>
        <v>36.751</v>
      </c>
      <c r="F27" s="40" t="n">
        <f aca="false">'RSEA vs Quoted Comparison'!D28</f>
        <v>142.99</v>
      </c>
      <c r="G27" s="40" t="n">
        <f aca="false">'RSEA vs Quoted Comparison'!E28</f>
        <v>129.990909090909</v>
      </c>
      <c r="H27" s="38"/>
      <c r="I27" s="38"/>
      <c r="J27" s="38"/>
      <c r="K27" s="38"/>
      <c r="L27" s="40" t="n">
        <v>35.75</v>
      </c>
      <c r="M27" s="40" t="n">
        <f aca="false">L27/1.1</f>
        <v>32.5</v>
      </c>
      <c r="N27" s="40" t="n">
        <v>57</v>
      </c>
      <c r="O27" s="40" t="n">
        <v>51.82</v>
      </c>
      <c r="P27" s="40" t="n">
        <f aca="false">IF(COUNT(G27,I27,K27,M27,O27)=0,"",MIN(G27,I27,K27,M27,O27))</f>
        <v>32.5</v>
      </c>
      <c r="Q27" s="41" t="n">
        <f aca="false">IF(OR(D27="",P27=""),"",D27/P27-1)</f>
        <v>0.0279999999999998</v>
      </c>
      <c r="R27" s="39" t="s">
        <v>264</v>
      </c>
    </row>
    <row r="28" customFormat="false" ht="55.2" hidden="false" customHeight="false" outlineLevel="0" collapsed="false">
      <c r="A28" s="38" t="s">
        <v>220</v>
      </c>
      <c r="B28" s="38" t="s">
        <v>174</v>
      </c>
      <c r="C28" s="39" t="s">
        <v>175</v>
      </c>
      <c r="D28" s="40" t="n">
        <f aca="false">'RSEA vs Quoted Comparison'!F29</f>
        <v>33.41</v>
      </c>
      <c r="E28" s="40" t="n">
        <f aca="false">'RSEA vs Quoted Comparison'!G29</f>
        <v>36.751</v>
      </c>
      <c r="F28" s="40" t="n">
        <f aca="false">'RSEA vs Quoted Comparison'!D29</f>
        <v>142.99</v>
      </c>
      <c r="G28" s="40" t="n">
        <f aca="false">'RSEA vs Quoted Comparison'!E29</f>
        <v>129.990909090909</v>
      </c>
      <c r="H28" s="40" t="n">
        <f aca="false">I28*1.1</f>
        <v>109.153</v>
      </c>
      <c r="I28" s="40" t="n">
        <v>99.23</v>
      </c>
      <c r="J28" s="40" t="n">
        <v>61.59</v>
      </c>
      <c r="K28" s="40" t="n">
        <v>55.99</v>
      </c>
      <c r="L28" s="40" t="n">
        <v>49.5</v>
      </c>
      <c r="M28" s="40" t="n">
        <f aca="false">L28/1.1</f>
        <v>45</v>
      </c>
      <c r="N28" s="40" t="n">
        <v>57</v>
      </c>
      <c r="O28" s="40" t="n">
        <v>51.82</v>
      </c>
      <c r="P28" s="40" t="n">
        <f aca="false">IF(COUNT(G28,I28,K28,M28,O28)=0,"",MIN(G28,I28,K28,M28,O28))</f>
        <v>45</v>
      </c>
      <c r="Q28" s="41" t="n">
        <f aca="false">IF(OR(D28="",P28=""),"",D28/P28-1)</f>
        <v>-0.257555555555556</v>
      </c>
      <c r="R28" s="39" t="s">
        <v>265</v>
      </c>
    </row>
    <row r="29" customFormat="false" ht="68.65" hidden="false" customHeight="false" outlineLevel="0" collapsed="false">
      <c r="A29" s="38" t="s">
        <v>221</v>
      </c>
      <c r="B29" s="38" t="s">
        <v>49</v>
      </c>
      <c r="C29" s="39" t="s">
        <v>50</v>
      </c>
      <c r="D29" s="40" t="n">
        <f aca="false">'RSEA vs Quoted Comparison'!F30</f>
        <v>13.07</v>
      </c>
      <c r="E29" s="40" t="n">
        <f aca="false">'RSEA vs Quoted Comparison'!G30</f>
        <v>14.377</v>
      </c>
      <c r="F29" s="40" t="n">
        <f aca="false">'RSEA vs Quoted Comparison'!D30</f>
        <v>57.99</v>
      </c>
      <c r="G29" s="40" t="n">
        <f aca="false">'RSEA vs Quoted Comparison'!E30</f>
        <v>52.7181818181818</v>
      </c>
      <c r="H29" s="40" t="n">
        <f aca="false">I29*1.1</f>
        <v>164.098</v>
      </c>
      <c r="I29" s="40" t="n">
        <v>149.18</v>
      </c>
      <c r="J29" s="38"/>
      <c r="K29" s="38"/>
      <c r="L29" s="38"/>
      <c r="M29" s="38"/>
      <c r="N29" s="38"/>
      <c r="O29" s="38"/>
      <c r="P29" s="40" t="n">
        <f aca="false">IF(COUNT(G29,I29,K29,M29,O29)=0,"",MIN(G29,I29,K29,M29,O29))</f>
        <v>52.7181818181818</v>
      </c>
      <c r="Q29" s="41" t="n">
        <f aca="false">IF(OR(D29="",P29=""),"",D29/P29-1)</f>
        <v>-0.752077944473185</v>
      </c>
      <c r="R29" s="39" t="s">
        <v>266</v>
      </c>
    </row>
    <row r="30" customFormat="false" ht="28.35" hidden="false" customHeight="false" outlineLevel="0" collapsed="false">
      <c r="A30" s="38" t="s">
        <v>221</v>
      </c>
      <c r="B30" s="38" t="s">
        <v>51</v>
      </c>
      <c r="C30" s="39" t="s">
        <v>52</v>
      </c>
      <c r="D30" s="40" t="n">
        <f aca="false">'RSEA vs Quoted Comparison'!F31</f>
        <v>13.07</v>
      </c>
      <c r="E30" s="40" t="n">
        <f aca="false">'RSEA vs Quoted Comparison'!G31</f>
        <v>14.377</v>
      </c>
      <c r="F30" s="40" t="n">
        <f aca="false">'RSEA vs Quoted Comparison'!D31</f>
        <v>44.99</v>
      </c>
      <c r="G30" s="40" t="n">
        <f aca="false">'RSEA vs Quoted Comparison'!E31</f>
        <v>40.9</v>
      </c>
      <c r="H30" s="38"/>
      <c r="I30" s="38"/>
      <c r="J30" s="38"/>
      <c r="K30" s="38"/>
      <c r="L30" s="38"/>
      <c r="M30" s="38"/>
      <c r="N30" s="38"/>
      <c r="O30" s="38"/>
      <c r="P30" s="40" t="n">
        <f aca="false">IF(COUNT(G30,I30,K30,M30,O30)=0,"",MIN(G30,I30,K30,M30,O30))</f>
        <v>40.9</v>
      </c>
      <c r="Q30" s="41" t="n">
        <f aca="false">IF(OR(D30="",P30=""),"",D30/P30-1)</f>
        <v>-0.680440097799511</v>
      </c>
      <c r="R30" s="39" t="s">
        <v>267</v>
      </c>
    </row>
    <row r="31" customFormat="false" ht="41.75" hidden="false" customHeight="false" outlineLevel="0" collapsed="false">
      <c r="A31" s="38" t="s">
        <v>221</v>
      </c>
      <c r="B31" s="38" t="s">
        <v>53</v>
      </c>
      <c r="C31" s="39" t="s">
        <v>54</v>
      </c>
      <c r="D31" s="40" t="n">
        <f aca="false">'RSEA vs Quoted Comparison'!F32</f>
        <v>16.04</v>
      </c>
      <c r="E31" s="40" t="n">
        <f aca="false">'RSEA vs Quoted Comparison'!G32</f>
        <v>17.644</v>
      </c>
      <c r="F31" s="40" t="n">
        <f aca="false">'RSEA vs Quoted Comparison'!D32</f>
        <v>52.99</v>
      </c>
      <c r="G31" s="40" t="n">
        <f aca="false">'RSEA vs Quoted Comparison'!E32</f>
        <v>48.1727272727273</v>
      </c>
      <c r="H31" s="40" t="n">
        <f aca="false">I31*1.1</f>
        <v>159.885</v>
      </c>
      <c r="I31" s="40" t="n">
        <v>145.35</v>
      </c>
      <c r="J31" s="38"/>
      <c r="K31" s="38"/>
      <c r="L31" s="38"/>
      <c r="M31" s="38"/>
      <c r="N31" s="38"/>
      <c r="O31" s="38"/>
      <c r="P31" s="40" t="n">
        <f aca="false">IF(COUNT(G31,I31,K31,M31,O31)=0,"",MIN(G31,I31,K31,M31,O31))</f>
        <v>48.1727272727273</v>
      </c>
      <c r="Q31" s="41" t="n">
        <f aca="false">IF(OR(D31="",P31=""),"",D31/P31-1)</f>
        <v>-0.66703151538026</v>
      </c>
      <c r="R31" s="39" t="s">
        <v>268</v>
      </c>
    </row>
    <row r="32" customFormat="false" ht="28.35" hidden="false" customHeight="false" outlineLevel="0" collapsed="false">
      <c r="A32" s="38" t="s">
        <v>221</v>
      </c>
      <c r="B32" s="38" t="s">
        <v>55</v>
      </c>
      <c r="C32" s="39" t="s">
        <v>56</v>
      </c>
      <c r="D32" s="40" t="n">
        <f aca="false">'RSEA vs Quoted Comparison'!F33</f>
        <v>16.04</v>
      </c>
      <c r="E32" s="40" t="n">
        <f aca="false">'RSEA vs Quoted Comparison'!G33</f>
        <v>17.644</v>
      </c>
      <c r="F32" s="40" t="n">
        <f aca="false">'RSEA vs Quoted Comparison'!D33</f>
        <v>57.99</v>
      </c>
      <c r="G32" s="40" t="n">
        <f aca="false">'RSEA vs Quoted Comparison'!E33</f>
        <v>52.7181818181818</v>
      </c>
      <c r="H32" s="40" t="n">
        <f aca="false">I32*1.1</f>
        <v>200.354</v>
      </c>
      <c r="I32" s="40" t="n">
        <v>182.14</v>
      </c>
      <c r="J32" s="38"/>
      <c r="K32" s="38"/>
      <c r="L32" s="38"/>
      <c r="M32" s="38"/>
      <c r="N32" s="38"/>
      <c r="O32" s="38"/>
      <c r="P32" s="40" t="n">
        <f aca="false">IF(COUNT(G32,I32,K32,M32,O32)=0,"",MIN(G32,I32,K32,M32,O32))</f>
        <v>52.7181818181818</v>
      </c>
      <c r="Q32" s="41" t="n">
        <f aca="false">IF(OR(D32="",P32=""),"",D32/P32-1)</f>
        <v>-0.695740644938783</v>
      </c>
      <c r="R32" s="39" t="s">
        <v>269</v>
      </c>
    </row>
    <row r="33" customFormat="false" ht="28.35" hidden="false" customHeight="false" outlineLevel="0" collapsed="false">
      <c r="A33" s="38" t="s">
        <v>221</v>
      </c>
      <c r="B33" s="38" t="s">
        <v>57</v>
      </c>
      <c r="C33" s="39" t="s">
        <v>58</v>
      </c>
      <c r="D33" s="40" t="n">
        <f aca="false">'RSEA vs Quoted Comparison'!F34</f>
        <v>16.04</v>
      </c>
      <c r="E33" s="40" t="n">
        <f aca="false">'RSEA vs Quoted Comparison'!G34</f>
        <v>17.644</v>
      </c>
      <c r="F33" s="40" t="n">
        <f aca="false">'RSEA vs Quoted Comparison'!D34</f>
        <v>57.99</v>
      </c>
      <c r="G33" s="40" t="n">
        <f aca="false">'RSEA vs Quoted Comparison'!E34</f>
        <v>52.7181818181818</v>
      </c>
      <c r="H33" s="40" t="n">
        <f aca="false">I33*1.1</f>
        <v>200.354</v>
      </c>
      <c r="I33" s="40" t="n">
        <v>182.14</v>
      </c>
      <c r="J33" s="38"/>
      <c r="K33" s="38"/>
      <c r="L33" s="38"/>
      <c r="M33" s="38"/>
      <c r="N33" s="38"/>
      <c r="O33" s="38"/>
      <c r="P33" s="40" t="n">
        <f aca="false">IF(COUNT(G33,I33,K33,M33,O33)=0,"",MIN(G33,I33,K33,M33,O33))</f>
        <v>52.7181818181818</v>
      </c>
      <c r="Q33" s="41" t="n">
        <f aca="false">IF(OR(D33="",P33=""),"",D33/P33-1)</f>
        <v>-0.695740644938783</v>
      </c>
      <c r="R33" s="39" t="s">
        <v>270</v>
      </c>
    </row>
    <row r="34" customFormat="false" ht="28.35" hidden="false" customHeight="false" outlineLevel="0" collapsed="false">
      <c r="A34" s="38" t="s">
        <v>221</v>
      </c>
      <c r="B34" s="38" t="s">
        <v>59</v>
      </c>
      <c r="C34" s="39" t="s">
        <v>60</v>
      </c>
      <c r="D34" s="40" t="n">
        <f aca="false">'RSEA vs Quoted Comparison'!F35</f>
        <v>16.04</v>
      </c>
      <c r="E34" s="40" t="n">
        <f aca="false">'RSEA vs Quoted Comparison'!G35</f>
        <v>17.644</v>
      </c>
      <c r="F34" s="40" t="n">
        <f aca="false">'RSEA vs Quoted Comparison'!D35</f>
        <v>57.99</v>
      </c>
      <c r="G34" s="40" t="n">
        <f aca="false">'RSEA vs Quoted Comparison'!E35</f>
        <v>52.7181818181818</v>
      </c>
      <c r="H34" s="40" t="n">
        <f aca="false">I34*1.1</f>
        <v>130.24</v>
      </c>
      <c r="I34" s="40" t="n">
        <v>118.4</v>
      </c>
      <c r="J34" s="38"/>
      <c r="K34" s="38"/>
      <c r="L34" s="38"/>
      <c r="M34" s="38"/>
      <c r="N34" s="38"/>
      <c r="O34" s="38"/>
      <c r="P34" s="40" t="n">
        <f aca="false">IF(COUNT(G34,I34,K34,M34,O34)=0,"",MIN(G34,I34,K34,M34,O34))</f>
        <v>52.7181818181818</v>
      </c>
      <c r="Q34" s="41" t="n">
        <f aca="false">IF(OR(D34="",P34=""),"",D34/P34-1)</f>
        <v>-0.695740644938783</v>
      </c>
      <c r="R34" s="39" t="s">
        <v>271</v>
      </c>
    </row>
    <row r="35" customFormat="false" ht="41.75" hidden="false" customHeight="false" outlineLevel="0" collapsed="false">
      <c r="A35" s="38" t="s">
        <v>221</v>
      </c>
      <c r="B35" s="38" t="s">
        <v>61</v>
      </c>
      <c r="C35" s="39" t="s">
        <v>62</v>
      </c>
      <c r="D35" s="40" t="n">
        <f aca="false">'RSEA vs Quoted Comparison'!F36</f>
        <v>13.07</v>
      </c>
      <c r="E35" s="40" t="n">
        <f aca="false">'RSEA vs Quoted Comparison'!G36</f>
        <v>14.377</v>
      </c>
      <c r="F35" s="40" t="n">
        <f aca="false">'RSEA vs Quoted Comparison'!D36</f>
        <v>57.99</v>
      </c>
      <c r="G35" s="40" t="n">
        <f aca="false">'RSEA vs Quoted Comparison'!E36</f>
        <v>52.7181818181818</v>
      </c>
      <c r="H35" s="40" t="n">
        <f aca="false">I35*1.1</f>
        <v>164.098</v>
      </c>
      <c r="I35" s="40" t="n">
        <v>149.18</v>
      </c>
      <c r="J35" s="38"/>
      <c r="K35" s="38"/>
      <c r="L35" s="40" t="n">
        <v>46.6</v>
      </c>
      <c r="M35" s="40" t="n">
        <f aca="false">L35/1.1</f>
        <v>42.3636363636364</v>
      </c>
      <c r="N35" s="38"/>
      <c r="O35" s="38"/>
      <c r="P35" s="40" t="n">
        <f aca="false">IF(COUNT(G35,I35,K35,M35,O35)=0,"",MIN(G35,I35,K35,M35,O35))</f>
        <v>42.3636363636364</v>
      </c>
      <c r="Q35" s="41" t="n">
        <f aca="false">IF(OR(D35="",P35=""),"",D35/P35-1)</f>
        <v>-0.691480686695279</v>
      </c>
      <c r="R35" s="39" t="s">
        <v>272</v>
      </c>
    </row>
    <row r="36" customFormat="false" ht="41.75" hidden="false" customHeight="false" outlineLevel="0" collapsed="false">
      <c r="A36" s="38" t="s">
        <v>221</v>
      </c>
      <c r="B36" s="38" t="s">
        <v>63</v>
      </c>
      <c r="C36" s="39" t="s">
        <v>64</v>
      </c>
      <c r="D36" s="40" t="n">
        <f aca="false">'RSEA vs Quoted Comparison'!F37</f>
        <v>16.04</v>
      </c>
      <c r="E36" s="40" t="n">
        <f aca="false">'RSEA vs Quoted Comparison'!G37</f>
        <v>17.644</v>
      </c>
      <c r="F36" s="40" t="n">
        <f aca="false">'RSEA vs Quoted Comparison'!D37</f>
        <v>59.99</v>
      </c>
      <c r="G36" s="40" t="n">
        <f aca="false">'RSEA vs Quoted Comparison'!E37</f>
        <v>54.5363636363636</v>
      </c>
      <c r="H36" s="38"/>
      <c r="I36" s="38"/>
      <c r="J36" s="38"/>
      <c r="K36" s="38"/>
      <c r="L36" s="38"/>
      <c r="M36" s="38"/>
      <c r="N36" s="38"/>
      <c r="O36" s="38"/>
      <c r="P36" s="40" t="n">
        <f aca="false">IF(COUNT(G36,I36,K36,M36,O36)=0,"",MIN(G36,I36,K36,M36,O36))</f>
        <v>54.5363636363636</v>
      </c>
      <c r="Q36" s="41" t="n">
        <f aca="false">IF(OR(D36="",P36=""),"",D36/P36-1)</f>
        <v>-0.705884314052342</v>
      </c>
      <c r="R36" s="39" t="s">
        <v>273</v>
      </c>
    </row>
    <row r="37" customFormat="false" ht="28.35" hidden="false" customHeight="false" outlineLevel="0" collapsed="false">
      <c r="A37" s="38" t="s">
        <v>221</v>
      </c>
      <c r="B37" s="38" t="s">
        <v>65</v>
      </c>
      <c r="C37" s="39" t="s">
        <v>66</v>
      </c>
      <c r="D37" s="40" t="n">
        <f aca="false">'RSEA vs Quoted Comparison'!F38</f>
        <v>13.07</v>
      </c>
      <c r="E37" s="40" t="n">
        <f aca="false">'RSEA vs Quoted Comparison'!G38</f>
        <v>14.377</v>
      </c>
      <c r="F37" s="40" t="n">
        <f aca="false">'RSEA vs Quoted Comparison'!D38</f>
        <v>57.99</v>
      </c>
      <c r="G37" s="40" t="n">
        <f aca="false">'RSEA vs Quoted Comparison'!E38</f>
        <v>52.7181818181818</v>
      </c>
      <c r="H37" s="40" t="n">
        <f aca="false">I37*1.1</f>
        <v>102.047</v>
      </c>
      <c r="I37" s="40" t="n">
        <v>92.77</v>
      </c>
      <c r="J37" s="38"/>
      <c r="K37" s="38"/>
      <c r="L37" s="38"/>
      <c r="M37" s="38"/>
      <c r="N37" s="38"/>
      <c r="O37" s="38"/>
      <c r="P37" s="40" t="n">
        <f aca="false">IF(COUNT(G37,I37,K37,M37,O37)=0,"",MIN(G37,I37,K37,M37,O37))</f>
        <v>52.7181818181818</v>
      </c>
      <c r="Q37" s="41" t="n">
        <f aca="false">IF(OR(D37="",P37=""),"",D37/P37-1)</f>
        <v>-0.752077944473185</v>
      </c>
      <c r="R37" s="39" t="s">
        <v>274</v>
      </c>
    </row>
    <row r="38" customFormat="false" ht="55.2" hidden="false" customHeight="false" outlineLevel="0" collapsed="false">
      <c r="A38" s="38" t="s">
        <v>221</v>
      </c>
      <c r="B38" s="38" t="s">
        <v>67</v>
      </c>
      <c r="C38" s="39" t="s">
        <v>68</v>
      </c>
      <c r="D38" s="40" t="n">
        <f aca="false">'RSEA vs Quoted Comparison'!F39</f>
        <v>13.07</v>
      </c>
      <c r="E38" s="40" t="n">
        <f aca="false">'RSEA vs Quoted Comparison'!G39</f>
        <v>14.377</v>
      </c>
      <c r="F38" s="40" t="n">
        <f aca="false">'RSEA vs Quoted Comparison'!D39</f>
        <v>57.99</v>
      </c>
      <c r="G38" s="40" t="n">
        <f aca="false">'RSEA vs Quoted Comparison'!E39</f>
        <v>52.7181818181818</v>
      </c>
      <c r="H38" s="40" t="n">
        <f aca="false">I38*1.1</f>
        <v>72.391</v>
      </c>
      <c r="I38" s="40" t="n">
        <v>65.81</v>
      </c>
      <c r="J38" s="38"/>
      <c r="K38" s="38"/>
      <c r="L38" s="40" t="n">
        <v>115.9</v>
      </c>
      <c r="M38" s="40" t="n">
        <f aca="false">L38/1.1</f>
        <v>105.363636363636</v>
      </c>
      <c r="N38" s="38"/>
      <c r="O38" s="38"/>
      <c r="P38" s="40" t="n">
        <f aca="false">IF(COUNT(G38,I38,K38,M38,O38)=0,"",MIN(G38,I38,K38,M38,O38))</f>
        <v>52.7181818181818</v>
      </c>
      <c r="Q38" s="41" t="n">
        <f aca="false">IF(OR(D38="",P38=""),"",D38/P38-1)</f>
        <v>-0.752077944473185</v>
      </c>
      <c r="R38" s="39" t="s">
        <v>275</v>
      </c>
    </row>
    <row r="39" customFormat="false" ht="28.35" hidden="false" customHeight="false" outlineLevel="0" collapsed="false">
      <c r="A39" s="38" t="s">
        <v>221</v>
      </c>
      <c r="B39" s="38" t="s">
        <v>69</v>
      </c>
      <c r="C39" s="39" t="s">
        <v>70</v>
      </c>
      <c r="D39" s="40" t="n">
        <f aca="false">'RSEA vs Quoted Comparison'!F40</f>
        <v>13.07</v>
      </c>
      <c r="E39" s="40" t="n">
        <f aca="false">'RSEA vs Quoted Comparison'!G40</f>
        <v>14.377</v>
      </c>
      <c r="F39" s="40" t="n">
        <f aca="false">'RSEA vs Quoted Comparison'!D40</f>
        <v>57.99</v>
      </c>
      <c r="G39" s="40" t="n">
        <f aca="false">'RSEA vs Quoted Comparison'!E40</f>
        <v>52.7181818181818</v>
      </c>
      <c r="H39" s="40" t="n">
        <f aca="false">I39*1.1</f>
        <v>72.391</v>
      </c>
      <c r="I39" s="40" t="n">
        <v>65.81</v>
      </c>
      <c r="J39" s="38"/>
      <c r="K39" s="38"/>
      <c r="L39" s="40" t="n">
        <v>115.9</v>
      </c>
      <c r="M39" s="40" t="n">
        <f aca="false">L39/1.1</f>
        <v>105.363636363636</v>
      </c>
      <c r="N39" s="38"/>
      <c r="O39" s="38"/>
      <c r="P39" s="40" t="n">
        <f aca="false">IF(COUNT(G39,I39,K39,M39,O39)=0,"",MIN(G39,I39,K39,M39,O39))</f>
        <v>52.7181818181818</v>
      </c>
      <c r="Q39" s="41" t="n">
        <f aca="false">IF(OR(D39="",P39=""),"",D39/P39-1)</f>
        <v>-0.752077944473185</v>
      </c>
      <c r="R39" s="39" t="s">
        <v>276</v>
      </c>
    </row>
    <row r="40" customFormat="false" ht="41.75" hidden="false" customHeight="false" outlineLevel="0" collapsed="false">
      <c r="A40" s="38" t="s">
        <v>221</v>
      </c>
      <c r="B40" s="38" t="s">
        <v>71</v>
      </c>
      <c r="C40" s="39" t="s">
        <v>72</v>
      </c>
      <c r="D40" s="40" t="n">
        <f aca="false">'RSEA vs Quoted Comparison'!F41</f>
        <v>13.07</v>
      </c>
      <c r="E40" s="40" t="n">
        <f aca="false">'RSEA vs Quoted Comparison'!G41</f>
        <v>14.377</v>
      </c>
      <c r="F40" s="40" t="n">
        <f aca="false">'RSEA vs Quoted Comparison'!D41</f>
        <v>57.99</v>
      </c>
      <c r="G40" s="40" t="n">
        <f aca="false">'RSEA vs Quoted Comparison'!E41</f>
        <v>52.7181818181818</v>
      </c>
      <c r="H40" s="40" t="n">
        <f aca="false">I40*1.1</f>
        <v>108.163</v>
      </c>
      <c r="I40" s="40" t="n">
        <v>98.33</v>
      </c>
      <c r="J40" s="38"/>
      <c r="K40" s="38"/>
      <c r="L40" s="38"/>
      <c r="M40" s="38"/>
      <c r="N40" s="40" t="n">
        <v>96.1</v>
      </c>
      <c r="O40" s="40" t="n">
        <v>87.36</v>
      </c>
      <c r="P40" s="40" t="n">
        <f aca="false">IF(COUNT(G40,I40,K40,M40,O40)=0,"",MIN(G40,I40,K40,M40,O40))</f>
        <v>52.7181818181818</v>
      </c>
      <c r="Q40" s="41" t="n">
        <f aca="false">IF(OR(D40="",P40=""),"",D40/P40-1)</f>
        <v>-0.752077944473185</v>
      </c>
      <c r="R40" s="39" t="s">
        <v>277</v>
      </c>
    </row>
    <row r="41" customFormat="false" ht="41.75" hidden="false" customHeight="false" outlineLevel="0" collapsed="false">
      <c r="A41" s="38" t="s">
        <v>221</v>
      </c>
      <c r="B41" s="38" t="s">
        <v>73</v>
      </c>
      <c r="C41" s="39" t="s">
        <v>74</v>
      </c>
      <c r="D41" s="40" t="n">
        <f aca="false">'RSEA vs Quoted Comparison'!F42</f>
        <v>13.07</v>
      </c>
      <c r="E41" s="40" t="n">
        <f aca="false">'RSEA vs Quoted Comparison'!G42</f>
        <v>14.377</v>
      </c>
      <c r="F41" s="40" t="n">
        <f aca="false">'RSEA vs Quoted Comparison'!D42</f>
        <v>57.99</v>
      </c>
      <c r="G41" s="40" t="n">
        <f aca="false">'RSEA vs Quoted Comparison'!E42</f>
        <v>52.7181818181818</v>
      </c>
      <c r="H41" s="40" t="n">
        <f aca="false">I41*1.1</f>
        <v>108.163</v>
      </c>
      <c r="I41" s="40" t="n">
        <v>98.33</v>
      </c>
      <c r="J41" s="38"/>
      <c r="K41" s="38"/>
      <c r="L41" s="38"/>
      <c r="M41" s="38"/>
      <c r="N41" s="40" t="n">
        <v>96.1</v>
      </c>
      <c r="O41" s="40" t="n">
        <v>87.36</v>
      </c>
      <c r="P41" s="40" t="n">
        <f aca="false">IF(COUNT(G41,I41,K41,M41,O41)=0,"",MIN(G41,I41,K41,M41,O41))</f>
        <v>52.7181818181818</v>
      </c>
      <c r="Q41" s="41" t="n">
        <f aca="false">IF(OR(D41="",P41=""),"",D41/P41-1)</f>
        <v>-0.752077944473185</v>
      </c>
      <c r="R41" s="39" t="s">
        <v>277</v>
      </c>
    </row>
    <row r="42" customFormat="false" ht="41.75" hidden="false" customHeight="false" outlineLevel="0" collapsed="false">
      <c r="A42" s="38" t="s">
        <v>223</v>
      </c>
      <c r="B42" s="38" t="s">
        <v>4</v>
      </c>
      <c r="C42" s="39" t="s">
        <v>5</v>
      </c>
      <c r="D42" s="40" t="n">
        <f aca="false">'RSEA vs Quoted Comparison'!F43</f>
        <v>5.35</v>
      </c>
      <c r="E42" s="40" t="n">
        <f aca="false">'RSEA vs Quoted Comparison'!G43</f>
        <v>5.885</v>
      </c>
      <c r="F42" s="40" t="n">
        <f aca="false">'RSEA vs Quoted Comparison'!D43</f>
        <v>37.99</v>
      </c>
      <c r="G42" s="40" t="n">
        <f aca="false">'RSEA vs Quoted Comparison'!E43</f>
        <v>34.5363636363636</v>
      </c>
      <c r="H42" s="38"/>
      <c r="I42" s="38"/>
      <c r="J42" s="38"/>
      <c r="K42" s="38"/>
      <c r="L42" s="38"/>
      <c r="M42" s="38"/>
      <c r="N42" s="38"/>
      <c r="O42" s="38"/>
      <c r="P42" s="40" t="n">
        <f aca="false">IF(COUNT(G42,I42,K42,M42,O42)=0,"",MIN(G42,I42,K42,M42,O42))</f>
        <v>34.5363636363636</v>
      </c>
      <c r="Q42" s="41" t="n">
        <f aca="false">IF(OR(D42="",P42=""),"",D42/P42-1)</f>
        <v>-0.84509081337194</v>
      </c>
      <c r="R42" s="39" t="s">
        <v>273</v>
      </c>
    </row>
    <row r="43" customFormat="false" ht="55.2" hidden="false" customHeight="false" outlineLevel="0" collapsed="false">
      <c r="A43" s="38" t="s">
        <v>223</v>
      </c>
      <c r="B43" s="38" t="s">
        <v>95</v>
      </c>
      <c r="C43" s="39" t="s">
        <v>96</v>
      </c>
      <c r="D43" s="40" t="n">
        <f aca="false">'RSEA vs Quoted Comparison'!F44</f>
        <v>2.67</v>
      </c>
      <c r="E43" s="40" t="n">
        <f aca="false">'RSEA vs Quoted Comparison'!G44</f>
        <v>2.937</v>
      </c>
      <c r="F43" s="40" t="n">
        <f aca="false">'RSEA vs Quoted Comparison'!D44</f>
        <v>24.99</v>
      </c>
      <c r="G43" s="40" t="n">
        <f aca="false">'RSEA vs Quoted Comparison'!E44</f>
        <v>22.7181818181818</v>
      </c>
      <c r="H43" s="38"/>
      <c r="I43" s="38"/>
      <c r="J43" s="40" t="n">
        <v>34.67</v>
      </c>
      <c r="K43" s="40" t="n">
        <v>31.52</v>
      </c>
      <c r="L43" s="40" t="n">
        <v>42.5</v>
      </c>
      <c r="M43" s="40" t="n">
        <f aca="false">L43/1.1</f>
        <v>38.6363636363636</v>
      </c>
      <c r="N43" s="40" t="n">
        <v>24.2</v>
      </c>
      <c r="O43" s="40" t="n">
        <v>22</v>
      </c>
      <c r="P43" s="40" t="n">
        <f aca="false">IF(COUNT(G43,I43,K43,M43,O43)=0,"",MIN(G43,I43,K43,M43,O43))</f>
        <v>22</v>
      </c>
      <c r="Q43" s="41" t="n">
        <f aca="false">IF(OR(D43="",P43=""),"",D43/P43-1)</f>
        <v>-0.878636363636364</v>
      </c>
      <c r="R43" s="39" t="s">
        <v>278</v>
      </c>
    </row>
    <row r="44" customFormat="false" ht="28.35" hidden="false" customHeight="false" outlineLevel="0" collapsed="false">
      <c r="A44" s="38" t="s">
        <v>223</v>
      </c>
      <c r="B44" s="38" t="s">
        <v>97</v>
      </c>
      <c r="C44" s="39" t="s">
        <v>98</v>
      </c>
      <c r="D44" s="40" t="n">
        <f aca="false">'RSEA vs Quoted Comparison'!F45</f>
        <v>10.69</v>
      </c>
      <c r="E44" s="40" t="n">
        <f aca="false">'RSEA vs Quoted Comparison'!G45</f>
        <v>11.759</v>
      </c>
      <c r="F44" s="40" t="n">
        <f aca="false">'RSEA vs Quoted Comparison'!D45</f>
        <v>44.99</v>
      </c>
      <c r="G44" s="40" t="n">
        <f aca="false">'RSEA vs Quoted Comparison'!E45</f>
        <v>40.9</v>
      </c>
      <c r="H44" s="38"/>
      <c r="I44" s="38"/>
      <c r="J44" s="40" t="n">
        <v>39.58</v>
      </c>
      <c r="K44" s="40" t="n">
        <v>35.98</v>
      </c>
      <c r="L44" s="40" t="n">
        <v>42.5</v>
      </c>
      <c r="M44" s="40" t="n">
        <f aca="false">L44/1.1</f>
        <v>38.6363636363636</v>
      </c>
      <c r="N44" s="40" t="n">
        <v>51</v>
      </c>
      <c r="O44" s="40" t="n">
        <v>46.36</v>
      </c>
      <c r="P44" s="40" t="n">
        <f aca="false">IF(COUNT(G44,I44,K44,M44,O44)=0,"",MIN(G44,I44,K44,M44,O44))</f>
        <v>35.98</v>
      </c>
      <c r="Q44" s="41" t="n">
        <f aca="false">IF(OR(D44="",P44=""),"",D44/P44-1)</f>
        <v>-0.702890494719288</v>
      </c>
      <c r="R44" s="39" t="s">
        <v>279</v>
      </c>
    </row>
    <row r="45" customFormat="false" ht="41.75" hidden="false" customHeight="false" outlineLevel="0" collapsed="false">
      <c r="A45" s="38" t="s">
        <v>223</v>
      </c>
      <c r="B45" s="38" t="s">
        <v>99</v>
      </c>
      <c r="C45" s="39" t="s">
        <v>100</v>
      </c>
      <c r="D45" s="40" t="n">
        <f aca="false">'RSEA vs Quoted Comparison'!F46</f>
        <v>2.67</v>
      </c>
      <c r="E45" s="40" t="n">
        <f aca="false">'RSEA vs Quoted Comparison'!G46</f>
        <v>2.937</v>
      </c>
      <c r="F45" s="40" t="n">
        <f aca="false">'RSEA vs Quoted Comparison'!D46</f>
        <v>24.99</v>
      </c>
      <c r="G45" s="40" t="n">
        <f aca="false">'RSEA vs Quoted Comparison'!E46</f>
        <v>22.7181818181818</v>
      </c>
      <c r="H45" s="38"/>
      <c r="I45" s="38"/>
      <c r="J45" s="38"/>
      <c r="K45" s="38"/>
      <c r="L45" s="38"/>
      <c r="M45" s="38"/>
      <c r="N45" s="38"/>
      <c r="O45" s="38"/>
      <c r="P45" s="40" t="n">
        <f aca="false">IF(COUNT(G45,I45,K45,M45,O45)=0,"",MIN(G45,I45,K45,M45,O45))</f>
        <v>22.7181818181818</v>
      </c>
      <c r="Q45" s="41" t="n">
        <f aca="false">IF(OR(D45="",P45=""),"",D45/P45-1)</f>
        <v>-0.882472989195678</v>
      </c>
      <c r="R45" s="39" t="s">
        <v>273</v>
      </c>
    </row>
    <row r="46" customFormat="false" ht="41.75" hidden="false" customHeight="false" outlineLevel="0" collapsed="false">
      <c r="A46" s="38" t="s">
        <v>223</v>
      </c>
      <c r="B46" s="38" t="s">
        <v>103</v>
      </c>
      <c r="C46" s="39" t="s">
        <v>104</v>
      </c>
      <c r="D46" s="40" t="n">
        <f aca="false">'RSEA vs Quoted Comparison'!F47</f>
        <v>9.5</v>
      </c>
      <c r="E46" s="40" t="n">
        <f aca="false">'RSEA vs Quoted Comparison'!G47</f>
        <v>10.45</v>
      </c>
      <c r="F46" s="40" t="n">
        <f aca="false">'RSEA vs Quoted Comparison'!D47</f>
        <v>44.99</v>
      </c>
      <c r="G46" s="40" t="n">
        <f aca="false">'RSEA vs Quoted Comparison'!E47</f>
        <v>40.9</v>
      </c>
      <c r="H46" s="38"/>
      <c r="I46" s="38"/>
      <c r="J46" s="38"/>
      <c r="K46" s="38"/>
      <c r="L46" s="38"/>
      <c r="M46" s="38"/>
      <c r="N46" s="38"/>
      <c r="O46" s="38"/>
      <c r="P46" s="40" t="n">
        <f aca="false">IF(COUNT(G46,I46,K46,M46,O46)=0,"",MIN(G46,I46,K46,M46,O46))</f>
        <v>40.9</v>
      </c>
      <c r="Q46" s="41" t="n">
        <f aca="false">IF(OR(D46="",P46=""),"",D46/P46-1)</f>
        <v>-0.767726161369193</v>
      </c>
      <c r="R46" s="39" t="s">
        <v>273</v>
      </c>
    </row>
    <row r="47" customFormat="false" ht="41.75" hidden="false" customHeight="false" outlineLevel="0" collapsed="false">
      <c r="A47" s="38" t="s">
        <v>223</v>
      </c>
      <c r="B47" s="38" t="s">
        <v>105</v>
      </c>
      <c r="C47" s="39" t="s">
        <v>106</v>
      </c>
      <c r="D47" s="40" t="n">
        <f aca="false">'RSEA vs Quoted Comparison'!F48</f>
        <v>10.69</v>
      </c>
      <c r="E47" s="40" t="n">
        <f aca="false">'RSEA vs Quoted Comparison'!G48</f>
        <v>11.759</v>
      </c>
      <c r="F47" s="40" t="n">
        <f aca="false">'RSEA vs Quoted Comparison'!D48</f>
        <v>44.99</v>
      </c>
      <c r="G47" s="40" t="n">
        <f aca="false">'RSEA vs Quoted Comparison'!E48</f>
        <v>40.9</v>
      </c>
      <c r="H47" s="38"/>
      <c r="I47" s="38"/>
      <c r="J47" s="38"/>
      <c r="K47" s="38"/>
      <c r="L47" s="38"/>
      <c r="M47" s="38"/>
      <c r="N47" s="38"/>
      <c r="O47" s="38"/>
      <c r="P47" s="40" t="n">
        <f aca="false">IF(COUNT(G47,I47,K47,M47,O47)=0,"",MIN(G47,I47,K47,M47,O47))</f>
        <v>40.9</v>
      </c>
      <c r="Q47" s="41" t="n">
        <f aca="false">IF(OR(D47="",P47=""),"",D47/P47-1)</f>
        <v>-0.738630806845966</v>
      </c>
      <c r="R47" s="39" t="s">
        <v>273</v>
      </c>
    </row>
    <row r="48" customFormat="false" ht="28.35" hidden="false" customHeight="false" outlineLevel="0" collapsed="false">
      <c r="A48" s="38" t="s">
        <v>223</v>
      </c>
      <c r="B48" s="38" t="s">
        <v>109</v>
      </c>
      <c r="C48" s="39" t="s">
        <v>110</v>
      </c>
      <c r="D48" s="40" t="n">
        <f aca="false">'RSEA vs Quoted Comparison'!F49</f>
        <v>5.35</v>
      </c>
      <c r="E48" s="40" t="n">
        <f aca="false">'RSEA vs Quoted Comparison'!G49</f>
        <v>5.885</v>
      </c>
      <c r="F48" s="40" t="n">
        <f aca="false">'RSEA vs Quoted Comparison'!D49</f>
        <v>32.99</v>
      </c>
      <c r="G48" s="40" t="n">
        <f aca="false">'RSEA vs Quoted Comparison'!E49</f>
        <v>29.9909090909091</v>
      </c>
      <c r="H48" s="38"/>
      <c r="I48" s="38"/>
      <c r="J48" s="40" t="n">
        <v>34.67</v>
      </c>
      <c r="K48" s="40" t="n">
        <v>31.52</v>
      </c>
      <c r="L48" s="38"/>
      <c r="M48" s="38"/>
      <c r="N48" s="38"/>
      <c r="O48" s="38"/>
      <c r="P48" s="40" t="n">
        <f aca="false">IF(COUNT(G48,I48,K48,M48,O48)=0,"",MIN(G48,I48,K48,M48,O48))</f>
        <v>29.9909090909091</v>
      </c>
      <c r="Q48" s="41" t="n">
        <f aca="false">IF(OR(D48="",P48=""),"",D48/P48-1)</f>
        <v>-0.821612609881782</v>
      </c>
      <c r="R48" s="39" t="s">
        <v>280</v>
      </c>
    </row>
    <row r="49" customFormat="false" ht="41.75" hidden="false" customHeight="false" outlineLevel="0" collapsed="false">
      <c r="A49" s="38" t="s">
        <v>223</v>
      </c>
      <c r="B49" s="38" t="s">
        <v>111</v>
      </c>
      <c r="C49" s="39" t="s">
        <v>112</v>
      </c>
      <c r="D49" s="40" t="n">
        <f aca="false">'RSEA vs Quoted Comparison'!F50</f>
        <v>5.35</v>
      </c>
      <c r="E49" s="40" t="n">
        <f aca="false">'RSEA vs Quoted Comparison'!G50</f>
        <v>5.885</v>
      </c>
      <c r="F49" s="40" t="n">
        <f aca="false">'RSEA vs Quoted Comparison'!D50</f>
        <v>49.99</v>
      </c>
      <c r="G49" s="40" t="n">
        <f aca="false">'RSEA vs Quoted Comparison'!E50</f>
        <v>45.4454545454545</v>
      </c>
      <c r="H49" s="38"/>
      <c r="I49" s="38"/>
      <c r="J49" s="40" t="n">
        <v>34.67</v>
      </c>
      <c r="K49" s="40" t="n">
        <v>31.52</v>
      </c>
      <c r="L49" s="40" t="n">
        <v>28.3</v>
      </c>
      <c r="M49" s="40" t="n">
        <f aca="false">L49/1.1</f>
        <v>25.7272727272727</v>
      </c>
      <c r="N49" s="40" t="n">
        <v>11.55</v>
      </c>
      <c r="O49" s="40" t="n">
        <v>10.5</v>
      </c>
      <c r="P49" s="40" t="n">
        <f aca="false">IF(COUNT(G49,I49,K49,M49,O49)=0,"",MIN(G49,I49,K49,M49,O49))</f>
        <v>10.5</v>
      </c>
      <c r="Q49" s="41" t="n">
        <f aca="false">IF(OR(D49="",P49=""),"",D49/P49-1)</f>
        <v>-0.490476190476191</v>
      </c>
      <c r="R49" s="39" t="s">
        <v>281</v>
      </c>
    </row>
    <row r="50" customFormat="false" ht="41.75" hidden="false" customHeight="false" outlineLevel="0" collapsed="false">
      <c r="A50" s="38" t="s">
        <v>223</v>
      </c>
      <c r="B50" s="38" t="s">
        <v>115</v>
      </c>
      <c r="C50" s="39" t="s">
        <v>116</v>
      </c>
      <c r="D50" s="40" t="n">
        <f aca="false">'RSEA vs Quoted Comparison'!F51</f>
        <v>2.67</v>
      </c>
      <c r="E50" s="40" t="n">
        <f aca="false">'RSEA vs Quoted Comparison'!G51</f>
        <v>2.937</v>
      </c>
      <c r="F50" s="40" t="n">
        <f aca="false">'RSEA vs Quoted Comparison'!D51</f>
        <v>27.99</v>
      </c>
      <c r="G50" s="40" t="n">
        <f aca="false">'RSEA vs Quoted Comparison'!E51</f>
        <v>25.4454545454545</v>
      </c>
      <c r="H50" s="38"/>
      <c r="I50" s="38"/>
      <c r="J50" s="38"/>
      <c r="K50" s="38"/>
      <c r="L50" s="38"/>
      <c r="M50" s="38"/>
      <c r="N50" s="38"/>
      <c r="O50" s="38"/>
      <c r="P50" s="40" t="n">
        <f aca="false">IF(COUNT(G50,I50,K50,M50,O50)=0,"",MIN(G50,I50,K50,M50,O50))</f>
        <v>25.4454545454545</v>
      </c>
      <c r="Q50" s="41" t="n">
        <f aca="false">IF(OR(D50="",P50=""),"",D50/P50-1)</f>
        <v>-0.895069667738478</v>
      </c>
      <c r="R50" s="39" t="s">
        <v>273</v>
      </c>
    </row>
    <row r="51" customFormat="false" ht="41.75" hidden="false" customHeight="false" outlineLevel="0" collapsed="false">
      <c r="A51" s="38" t="s">
        <v>223</v>
      </c>
      <c r="B51" s="38" t="s">
        <v>119</v>
      </c>
      <c r="C51" s="39" t="s">
        <v>120</v>
      </c>
      <c r="D51" s="40" t="n">
        <f aca="false">'RSEA vs Quoted Comparison'!F52</f>
        <v>9.5</v>
      </c>
      <c r="E51" s="40" t="n">
        <f aca="false">'RSEA vs Quoted Comparison'!G52</f>
        <v>10.45</v>
      </c>
      <c r="F51" s="40" t="n">
        <f aca="false">'RSEA vs Quoted Comparison'!D52</f>
        <v>44.99</v>
      </c>
      <c r="G51" s="40" t="n">
        <f aca="false">'RSEA vs Quoted Comparison'!E52</f>
        <v>40.9</v>
      </c>
      <c r="H51" s="38"/>
      <c r="I51" s="38"/>
      <c r="J51" s="38"/>
      <c r="K51" s="38"/>
      <c r="L51" s="38"/>
      <c r="M51" s="38"/>
      <c r="N51" s="38"/>
      <c r="O51" s="38"/>
      <c r="P51" s="40" t="n">
        <f aca="false">IF(COUNT(G51,I51,K51,M51,O51)=0,"",MIN(G51,I51,K51,M51,O51))</f>
        <v>40.9</v>
      </c>
      <c r="Q51" s="41" t="n">
        <f aca="false">IF(OR(D51="",P51=""),"",D51/P51-1)</f>
        <v>-0.767726161369193</v>
      </c>
      <c r="R51" s="39" t="s">
        <v>273</v>
      </c>
    </row>
    <row r="52" customFormat="false" ht="41.75" hidden="false" customHeight="false" outlineLevel="0" collapsed="false">
      <c r="A52" s="38" t="s">
        <v>223</v>
      </c>
      <c r="B52" s="38" t="s">
        <v>121</v>
      </c>
      <c r="C52" s="39" t="s">
        <v>122</v>
      </c>
      <c r="D52" s="40" t="n">
        <f aca="false">'RSEA vs Quoted Comparison'!F53</f>
        <v>2</v>
      </c>
      <c r="E52" s="40" t="n">
        <f aca="false">'RSEA vs Quoted Comparison'!G53</f>
        <v>2.2</v>
      </c>
      <c r="F52" s="40" t="n">
        <f aca="false">'RSEA vs Quoted Comparison'!D53</f>
        <v>49.99</v>
      </c>
      <c r="G52" s="40" t="n">
        <f aca="false">'RSEA vs Quoted Comparison'!E53</f>
        <v>45.4454545454545</v>
      </c>
      <c r="H52" s="38"/>
      <c r="I52" s="38"/>
      <c r="J52" s="40" t="n">
        <v>21.51</v>
      </c>
      <c r="K52" s="40" t="n">
        <v>19.55</v>
      </c>
      <c r="L52" s="40" t="n">
        <v>8.6</v>
      </c>
      <c r="M52" s="40" t="n">
        <f aca="false">L52/1.1</f>
        <v>7.81818181818182</v>
      </c>
      <c r="N52" s="40" t="n">
        <v>22.6</v>
      </c>
      <c r="O52" s="40" t="n">
        <v>20.55</v>
      </c>
      <c r="P52" s="40" t="n">
        <f aca="false">IF(COUNT(G52,I52,K52,M52,O52)=0,"",MIN(G52,I52,K52,M52,O52))</f>
        <v>7.81818181818182</v>
      </c>
      <c r="Q52" s="41" t="n">
        <f aca="false">IF(OR(D52="",P52=""),"",D52/P52-1)</f>
        <v>-0.744186046511628</v>
      </c>
      <c r="R52" s="39" t="s">
        <v>282</v>
      </c>
    </row>
    <row r="53" customFormat="false" ht="41.75" hidden="false" customHeight="false" outlineLevel="0" collapsed="false">
      <c r="A53" s="38" t="s">
        <v>223</v>
      </c>
      <c r="B53" s="38" t="s">
        <v>123</v>
      </c>
      <c r="C53" s="39" t="s">
        <v>124</v>
      </c>
      <c r="D53" s="40" t="n">
        <f aca="false">'RSEA vs Quoted Comparison'!F54</f>
        <v>2.67</v>
      </c>
      <c r="E53" s="40" t="n">
        <f aca="false">'RSEA vs Quoted Comparison'!G54</f>
        <v>2.937</v>
      </c>
      <c r="F53" s="40" t="n">
        <f aca="false">'RSEA vs Quoted Comparison'!D54</f>
        <v>32.99</v>
      </c>
      <c r="G53" s="40" t="n">
        <f aca="false">'RSEA vs Quoted Comparison'!E54</f>
        <v>29.9909090909091</v>
      </c>
      <c r="H53" s="38"/>
      <c r="I53" s="38"/>
      <c r="J53" s="38"/>
      <c r="K53" s="38"/>
      <c r="L53" s="38"/>
      <c r="M53" s="38"/>
      <c r="N53" s="38"/>
      <c r="O53" s="38"/>
      <c r="P53" s="40" t="n">
        <f aca="false">IF(COUNT(G53,I53,K53,M53,O53)=0,"",MIN(G53,I53,K53,M53,O53))</f>
        <v>29.9909090909091</v>
      </c>
      <c r="Q53" s="41" t="n">
        <f aca="false">IF(OR(D53="",P53=""),"",D53/P53-1)</f>
        <v>-0.910973022127918</v>
      </c>
      <c r="R53" s="39" t="s">
        <v>273</v>
      </c>
    </row>
    <row r="54" customFormat="false" ht="41.75" hidden="false" customHeight="false" outlineLevel="0" collapsed="false">
      <c r="A54" s="38" t="s">
        <v>223</v>
      </c>
      <c r="B54" s="38" t="s">
        <v>125</v>
      </c>
      <c r="C54" s="39" t="s">
        <v>126</v>
      </c>
      <c r="D54" s="40" t="n">
        <f aca="false">'RSEA vs Quoted Comparison'!F55</f>
        <v>4.01</v>
      </c>
      <c r="E54" s="40" t="n">
        <f aca="false">'RSEA vs Quoted Comparison'!G55</f>
        <v>4.411</v>
      </c>
      <c r="F54" s="40" t="n">
        <f aca="false">'RSEA vs Quoted Comparison'!D55</f>
        <v>37.99</v>
      </c>
      <c r="G54" s="40" t="n">
        <f aca="false">'RSEA vs Quoted Comparison'!E55</f>
        <v>34.5363636363636</v>
      </c>
      <c r="H54" s="38"/>
      <c r="I54" s="38"/>
      <c r="J54" s="38"/>
      <c r="K54" s="38"/>
      <c r="L54" s="38"/>
      <c r="M54" s="38"/>
      <c r="N54" s="38"/>
      <c r="O54" s="38"/>
      <c r="P54" s="40" t="n">
        <f aca="false">IF(COUNT(G54,I54,K54,M54,O54)=0,"",MIN(G54,I54,K54,M54,O54))</f>
        <v>34.5363636363636</v>
      </c>
      <c r="Q54" s="41" t="n">
        <f aca="false">IF(OR(D54="",P54=""),"",D54/P54-1)</f>
        <v>-0.883890497499342</v>
      </c>
      <c r="R54" s="39" t="s">
        <v>273</v>
      </c>
    </row>
    <row r="55" customFormat="false" ht="41.75" hidden="false" customHeight="false" outlineLevel="0" collapsed="false">
      <c r="A55" s="38" t="s">
        <v>223</v>
      </c>
      <c r="B55" s="38" t="s">
        <v>129</v>
      </c>
      <c r="C55" s="39" t="s">
        <v>130</v>
      </c>
      <c r="D55" s="40" t="n">
        <f aca="false">'RSEA vs Quoted Comparison'!F56</f>
        <v>10.69</v>
      </c>
      <c r="E55" s="40" t="n">
        <f aca="false">'RSEA vs Quoted Comparison'!G56</f>
        <v>11.759</v>
      </c>
      <c r="F55" s="40" t="n">
        <f aca="false">'RSEA vs Quoted Comparison'!D56</f>
        <v>37.99</v>
      </c>
      <c r="G55" s="40" t="n">
        <f aca="false">'RSEA vs Quoted Comparison'!E56</f>
        <v>34.5363636363636</v>
      </c>
      <c r="H55" s="38"/>
      <c r="I55" s="38"/>
      <c r="J55" s="38"/>
      <c r="K55" s="38"/>
      <c r="L55" s="38"/>
      <c r="M55" s="38"/>
      <c r="N55" s="38"/>
      <c r="O55" s="38"/>
      <c r="P55" s="40" t="n">
        <f aca="false">IF(COUNT(G55,I55,K55,M55,O55)=0,"",MIN(G55,I55,K55,M55,O55))</f>
        <v>34.5363636363636</v>
      </c>
      <c r="Q55" s="41" t="n">
        <f aca="false">IF(OR(D55="",P55=""),"",D55/P55-1)</f>
        <v>-0.690471176625428</v>
      </c>
      <c r="R55" s="39" t="s">
        <v>273</v>
      </c>
    </row>
    <row r="56" customFormat="false" ht="41.75" hidden="false" customHeight="false" outlineLevel="0" collapsed="false">
      <c r="A56" s="38" t="s">
        <v>223</v>
      </c>
      <c r="B56" s="38" t="s">
        <v>133</v>
      </c>
      <c r="C56" s="39" t="s">
        <v>134</v>
      </c>
      <c r="D56" s="40" t="n">
        <f aca="false">'RSEA vs Quoted Comparison'!F57</f>
        <v>10.69</v>
      </c>
      <c r="E56" s="40" t="n">
        <f aca="false">'RSEA vs Quoted Comparison'!G57</f>
        <v>11.759</v>
      </c>
      <c r="F56" s="40" t="n">
        <f aca="false">'RSEA vs Quoted Comparison'!D57</f>
        <v>37.99</v>
      </c>
      <c r="G56" s="40" t="n">
        <f aca="false">'RSEA vs Quoted Comparison'!E57</f>
        <v>34.5363636363636</v>
      </c>
      <c r="H56" s="38"/>
      <c r="I56" s="38"/>
      <c r="J56" s="38"/>
      <c r="K56" s="38"/>
      <c r="L56" s="38"/>
      <c r="M56" s="38"/>
      <c r="N56" s="38"/>
      <c r="O56" s="38"/>
      <c r="P56" s="40" t="n">
        <f aca="false">IF(COUNT(G56,I56,K56,M56,O56)=0,"",MIN(G56,I56,K56,M56,O56))</f>
        <v>34.5363636363636</v>
      </c>
      <c r="Q56" s="41" t="n">
        <f aca="false">IF(OR(D56="",P56=""),"",D56/P56-1)</f>
        <v>-0.690471176625428</v>
      </c>
      <c r="R56" s="39" t="s">
        <v>273</v>
      </c>
    </row>
    <row r="57" customFormat="false" ht="41.75" hidden="false" customHeight="false" outlineLevel="0" collapsed="false">
      <c r="A57" s="38" t="s">
        <v>223</v>
      </c>
      <c r="B57" s="38" t="s">
        <v>135</v>
      </c>
      <c r="C57" s="39" t="s">
        <v>136</v>
      </c>
      <c r="D57" s="40" t="n">
        <f aca="false">'RSEA vs Quoted Comparison'!F58</f>
        <v>10.69</v>
      </c>
      <c r="E57" s="40" t="n">
        <f aca="false">'RSEA vs Quoted Comparison'!G58</f>
        <v>11.759</v>
      </c>
      <c r="F57" s="40" t="n">
        <f aca="false">'RSEA vs Quoted Comparison'!D58</f>
        <v>44.99</v>
      </c>
      <c r="G57" s="40" t="n">
        <f aca="false">'RSEA vs Quoted Comparison'!E58</f>
        <v>40.9</v>
      </c>
      <c r="H57" s="38"/>
      <c r="I57" s="38"/>
      <c r="J57" s="38"/>
      <c r="K57" s="38"/>
      <c r="L57" s="38"/>
      <c r="M57" s="38"/>
      <c r="N57" s="38"/>
      <c r="O57" s="38"/>
      <c r="P57" s="40" t="n">
        <f aca="false">IF(COUNT(G57,I57,K57,M57,O57)=0,"",MIN(G57,I57,K57,M57,O57))</f>
        <v>40.9</v>
      </c>
      <c r="Q57" s="41" t="n">
        <f aca="false">IF(OR(D57="",P57=""),"",D57/P57-1)</f>
        <v>-0.738630806845966</v>
      </c>
      <c r="R57" s="39" t="s">
        <v>273</v>
      </c>
    </row>
    <row r="58" customFormat="false" ht="41.75" hidden="false" customHeight="false" outlineLevel="0" collapsed="false">
      <c r="A58" s="38" t="s">
        <v>223</v>
      </c>
      <c r="B58" s="38" t="s">
        <v>139</v>
      </c>
      <c r="C58" s="39" t="s">
        <v>140</v>
      </c>
      <c r="D58" s="40" t="n">
        <f aca="false">'RSEA vs Quoted Comparison'!F59</f>
        <v>2.89</v>
      </c>
      <c r="E58" s="40" t="n">
        <f aca="false">'RSEA vs Quoted Comparison'!G59</f>
        <v>3.179</v>
      </c>
      <c r="F58" s="40" t="n">
        <f aca="false">'RSEA vs Quoted Comparison'!D59</f>
        <v>32.99</v>
      </c>
      <c r="G58" s="40" t="n">
        <f aca="false">'RSEA vs Quoted Comparison'!E59</f>
        <v>29.9909090909091</v>
      </c>
      <c r="H58" s="38"/>
      <c r="I58" s="38"/>
      <c r="J58" s="38"/>
      <c r="K58" s="38"/>
      <c r="L58" s="38"/>
      <c r="M58" s="38"/>
      <c r="N58" s="38"/>
      <c r="O58" s="38"/>
      <c r="P58" s="40" t="n">
        <f aca="false">IF(COUNT(G58,I58,K58,M58,O58)=0,"",MIN(G58,I58,K58,M58,O58))</f>
        <v>29.9909090909091</v>
      </c>
      <c r="Q58" s="41" t="n">
        <f aca="false">IF(OR(D58="",P58=""),"",D58/P58-1)</f>
        <v>-0.903637465898757</v>
      </c>
      <c r="R58" s="39" t="s">
        <v>273</v>
      </c>
    </row>
    <row r="59" customFormat="false" ht="41.75" hidden="false" customHeight="false" outlineLevel="0" collapsed="false">
      <c r="A59" s="38" t="s">
        <v>223</v>
      </c>
      <c r="B59" s="38" t="s">
        <v>143</v>
      </c>
      <c r="C59" s="39" t="s">
        <v>144</v>
      </c>
      <c r="D59" s="40" t="n">
        <f aca="false">'RSEA vs Quoted Comparison'!F60</f>
        <v>1.94</v>
      </c>
      <c r="E59" s="40" t="n">
        <f aca="false">'RSEA vs Quoted Comparison'!G60</f>
        <v>2.134</v>
      </c>
      <c r="F59" s="40" t="n">
        <f aca="false">'RSEA vs Quoted Comparison'!D60</f>
        <v>49.99</v>
      </c>
      <c r="G59" s="40" t="n">
        <f aca="false">'RSEA vs Quoted Comparison'!E60</f>
        <v>45.4454545454545</v>
      </c>
      <c r="H59" s="38"/>
      <c r="I59" s="38"/>
      <c r="J59" s="38"/>
      <c r="K59" s="38"/>
      <c r="L59" s="38"/>
      <c r="M59" s="38"/>
      <c r="N59" s="38"/>
      <c r="O59" s="38"/>
      <c r="P59" s="40" t="n">
        <f aca="false">IF(COUNT(G59,I59,K59,M59,O59)=0,"",MIN(G59,I59,K59,M59,O59))</f>
        <v>45.4454545454545</v>
      </c>
      <c r="Q59" s="41" t="n">
        <f aca="false">IF(OR(D59="",P59=""),"",D59/P59-1)</f>
        <v>-0.957311462292458</v>
      </c>
      <c r="R59" s="39" t="s">
        <v>273</v>
      </c>
    </row>
    <row r="60" customFormat="false" ht="41.75" hidden="false" customHeight="false" outlineLevel="0" collapsed="false">
      <c r="A60" s="38" t="s">
        <v>223</v>
      </c>
      <c r="B60" s="38" t="s">
        <v>149</v>
      </c>
      <c r="C60" s="39" t="s">
        <v>150</v>
      </c>
      <c r="D60" s="40" t="n">
        <f aca="false">'RSEA vs Quoted Comparison'!F61</f>
        <v>10.69</v>
      </c>
      <c r="E60" s="40" t="n">
        <f aca="false">'RSEA vs Quoted Comparison'!G61</f>
        <v>11.759</v>
      </c>
      <c r="F60" s="40" t="n">
        <f aca="false">'RSEA vs Quoted Comparison'!D61</f>
        <v>49.99</v>
      </c>
      <c r="G60" s="40" t="n">
        <f aca="false">'RSEA vs Quoted Comparison'!E61</f>
        <v>45.4454545454545</v>
      </c>
      <c r="H60" s="38"/>
      <c r="I60" s="38"/>
      <c r="J60" s="38"/>
      <c r="K60" s="38"/>
      <c r="L60" s="38"/>
      <c r="M60" s="38"/>
      <c r="N60" s="38"/>
      <c r="O60" s="38"/>
      <c r="P60" s="40" t="n">
        <f aca="false">IF(COUNT(G60,I60,K60,M60,O60)=0,"",MIN(G60,I60,K60,M60,O60))</f>
        <v>45.4454545454545</v>
      </c>
      <c r="Q60" s="41" t="n">
        <f aca="false">IF(OR(D60="",P60=""),"",D60/P60-1)</f>
        <v>-0.764772954590918</v>
      </c>
      <c r="R60" s="39" t="s">
        <v>273</v>
      </c>
    </row>
    <row r="61" customFormat="false" ht="41.75" hidden="false" customHeight="false" outlineLevel="0" collapsed="false">
      <c r="A61" s="38" t="s">
        <v>223</v>
      </c>
      <c r="B61" s="38" t="s">
        <v>155</v>
      </c>
      <c r="C61" s="39" t="s">
        <v>156</v>
      </c>
      <c r="D61" s="40" t="n">
        <f aca="false">'RSEA vs Quoted Comparison'!F62</f>
        <v>3.201</v>
      </c>
      <c r="E61" s="40" t="n">
        <f aca="false">'RSEA vs Quoted Comparison'!G62</f>
        <v>3.5211</v>
      </c>
      <c r="F61" s="40" t="n">
        <f aca="false">'RSEA vs Quoted Comparison'!D62</f>
        <v>32.99</v>
      </c>
      <c r="G61" s="40" t="n">
        <f aca="false">'RSEA vs Quoted Comparison'!E62</f>
        <v>29.9909090909091</v>
      </c>
      <c r="H61" s="38"/>
      <c r="I61" s="38"/>
      <c r="J61" s="38"/>
      <c r="K61" s="38"/>
      <c r="L61" s="38"/>
      <c r="M61" s="38"/>
      <c r="N61" s="38"/>
      <c r="O61" s="38"/>
      <c r="P61" s="40" t="n">
        <f aca="false">IF(COUNT(G61,I61,K61,M61,O61)=0,"",MIN(G61,I61,K61,M61,O61))</f>
        <v>29.9909090909091</v>
      </c>
      <c r="Q61" s="41" t="n">
        <f aca="false">IF(OR(D61="",P61=""),"",D61/P61-1)</f>
        <v>-0.893267656865717</v>
      </c>
      <c r="R61" s="39" t="s">
        <v>273</v>
      </c>
    </row>
    <row r="62" customFormat="false" ht="41.75" hidden="false" customHeight="false" outlineLevel="0" collapsed="false">
      <c r="A62" s="38" t="s">
        <v>223</v>
      </c>
      <c r="B62" s="38" t="s">
        <v>157</v>
      </c>
      <c r="C62" s="39" t="s">
        <v>158</v>
      </c>
      <c r="D62" s="40" t="n">
        <f aca="false">'RSEA vs Quoted Comparison'!F63</f>
        <v>5.35</v>
      </c>
      <c r="E62" s="40" t="n">
        <f aca="false">'RSEA vs Quoted Comparison'!G63</f>
        <v>5.885</v>
      </c>
      <c r="F62" s="40" t="n">
        <f aca="false">'RSEA vs Quoted Comparison'!D63</f>
        <v>32.99</v>
      </c>
      <c r="G62" s="40" t="n">
        <f aca="false">'RSEA vs Quoted Comparison'!E63</f>
        <v>29.9909090909091</v>
      </c>
      <c r="H62" s="38"/>
      <c r="I62" s="38"/>
      <c r="J62" s="38"/>
      <c r="K62" s="38"/>
      <c r="L62" s="38"/>
      <c r="M62" s="38"/>
      <c r="N62" s="38"/>
      <c r="O62" s="38"/>
      <c r="P62" s="40" t="n">
        <f aca="false">IF(COUNT(G62,I62,K62,M62,O62)=0,"",MIN(G62,I62,K62,M62,O62))</f>
        <v>29.9909090909091</v>
      </c>
      <c r="Q62" s="41" t="n">
        <f aca="false">IF(OR(D62="",P62=""),"",D62/P62-1)</f>
        <v>-0.821612609881782</v>
      </c>
      <c r="R62" s="39" t="s">
        <v>273</v>
      </c>
    </row>
    <row r="63" customFormat="false" ht="41.75" hidden="false" customHeight="false" outlineLevel="0" collapsed="false">
      <c r="A63" s="38" t="s">
        <v>223</v>
      </c>
      <c r="B63" s="38" t="s">
        <v>161</v>
      </c>
      <c r="C63" s="39" t="s">
        <v>162</v>
      </c>
      <c r="D63" s="40" t="n">
        <f aca="false">'RSEA vs Quoted Comparison'!F64</f>
        <v>2.67</v>
      </c>
      <c r="E63" s="40" t="n">
        <f aca="false">'RSEA vs Quoted Comparison'!G64</f>
        <v>2.937</v>
      </c>
      <c r="F63" s="40" t="n">
        <f aca="false">'RSEA vs Quoted Comparison'!D64</f>
        <v>32.99</v>
      </c>
      <c r="G63" s="40" t="n">
        <f aca="false">'RSEA vs Quoted Comparison'!E64</f>
        <v>29.9909090909091</v>
      </c>
      <c r="H63" s="38"/>
      <c r="I63" s="38"/>
      <c r="J63" s="38"/>
      <c r="K63" s="38"/>
      <c r="L63" s="38"/>
      <c r="M63" s="38"/>
      <c r="N63" s="38"/>
      <c r="O63" s="38"/>
      <c r="P63" s="40" t="n">
        <f aca="false">IF(COUNT(G63,I63,K63,M63,O63)=0,"",MIN(G63,I63,K63,M63,O63))</f>
        <v>29.9909090909091</v>
      </c>
      <c r="Q63" s="41" t="n">
        <f aca="false">IF(OR(D63="",P63=""),"",D63/P63-1)</f>
        <v>-0.910973022127918</v>
      </c>
      <c r="R63" s="39" t="s">
        <v>273</v>
      </c>
    </row>
    <row r="64" customFormat="false" ht="28.35" hidden="false" customHeight="false" outlineLevel="0" collapsed="false">
      <c r="A64" s="38" t="s">
        <v>223</v>
      </c>
      <c r="B64" s="38" t="s">
        <v>163</v>
      </c>
      <c r="C64" s="39" t="s">
        <v>164</v>
      </c>
      <c r="D64" s="40" t="n">
        <f aca="false">'RSEA vs Quoted Comparison'!F65</f>
        <v>10.69</v>
      </c>
      <c r="E64" s="40" t="n">
        <f aca="false">'RSEA vs Quoted Comparison'!G65</f>
        <v>11.759</v>
      </c>
      <c r="F64" s="40" t="n">
        <f aca="false">'RSEA vs Quoted Comparison'!D65</f>
        <v>32.99</v>
      </c>
      <c r="G64" s="40" t="n">
        <f aca="false">'RSEA vs Quoted Comparison'!E65</f>
        <v>29.9909090909091</v>
      </c>
      <c r="H64" s="38"/>
      <c r="I64" s="38"/>
      <c r="J64" s="38"/>
      <c r="K64" s="38"/>
      <c r="L64" s="40" t="n">
        <v>108.6</v>
      </c>
      <c r="M64" s="40" t="n">
        <f aca="false">L64/1.1</f>
        <v>98.7272727272727</v>
      </c>
      <c r="N64" s="38"/>
      <c r="O64" s="38"/>
      <c r="P64" s="40" t="n">
        <f aca="false">IF(COUNT(G64,I64,K64,M64,O64)=0,"",MIN(G64,I64,K64,M64,O64))</f>
        <v>29.9909090909091</v>
      </c>
      <c r="Q64" s="41" t="n">
        <f aca="false">IF(OR(D64="",P64=""),"",D64/P64-1)</f>
        <v>-0.643558654137618</v>
      </c>
      <c r="R64" s="39" t="s">
        <v>283</v>
      </c>
    </row>
    <row r="66" customFormat="false" ht="15" hidden="false" customHeight="false" outlineLevel="0" collapsed="false">
      <c r="A66" s="42" t="s">
        <v>224</v>
      </c>
    </row>
    <row r="67" customFormat="false" ht="15" hidden="false" customHeight="false" outlineLevel="0" collapsed="false">
      <c r="A67" s="31" t="s">
        <v>284</v>
      </c>
      <c r="B67" s="31"/>
      <c r="C67" s="31"/>
      <c r="D67" s="43" t="n">
        <f aca="false">COUNTA(B5:B64)</f>
        <v>60</v>
      </c>
    </row>
    <row r="68" customFormat="false" ht="15" hidden="false" customHeight="false" outlineLevel="0" collapsed="false">
      <c r="A68" s="31" t="s">
        <v>285</v>
      </c>
      <c r="B68" s="31"/>
      <c r="C68" s="31"/>
      <c r="D68" s="43" t="n">
        <f aca="false">COUNT(I5:I64)+COUNT(K5:K64)+COUNT(M5:M64)+COUNT(O5:O64)</f>
        <v>87</v>
      </c>
    </row>
    <row r="69" customFormat="false" ht="15" hidden="false" customHeight="false" outlineLevel="0" collapsed="false">
      <c r="A69" s="31" t="s">
        <v>286</v>
      </c>
      <c r="B69" s="31"/>
      <c r="C69" s="31"/>
      <c r="D69" s="43" t="n">
        <f aca="false">COUNTIF(Q5:Q64,"&lt;0")</f>
        <v>57</v>
      </c>
    </row>
    <row r="70" customFormat="false" ht="15" hidden="false" customHeight="false" outlineLevel="0" collapsed="false">
      <c r="A70" s="31" t="s">
        <v>287</v>
      </c>
      <c r="B70" s="31"/>
      <c r="C70" s="31"/>
      <c r="D70" s="43" t="n">
        <f aca="false">COUNTIF(Q5:Q64,"&gt;0")</f>
        <v>3</v>
      </c>
    </row>
    <row r="71" customFormat="false" ht="15" hidden="false" customHeight="false" outlineLevel="0" collapsed="false">
      <c r="A71" s="31" t="s">
        <v>288</v>
      </c>
      <c r="B71" s="31"/>
      <c r="C71" s="31"/>
      <c r="D71" s="44" t="n">
        <f aca="false">AVERAGE(Q5:Q64)</f>
        <v>-0.606455540068738</v>
      </c>
    </row>
    <row r="72" customFormat="false" ht="15" hidden="false" customHeight="false" outlineLevel="0" collapsed="false">
      <c r="A72" s="31" t="s">
        <v>289</v>
      </c>
      <c r="B72" s="31"/>
      <c r="C72" s="31"/>
      <c r="D72" s="44" t="n">
        <f aca="false">MEDIAN(Q5:Q64)</f>
        <v>-0.699315569829036</v>
      </c>
    </row>
  </sheetData>
  <mergeCells count="9">
    <mergeCell ref="A1:R1"/>
    <mergeCell ref="A2:R2"/>
    <mergeCell ref="A3:R3"/>
    <mergeCell ref="A67:C67"/>
    <mergeCell ref="A68:C68"/>
    <mergeCell ref="A69:C69"/>
    <mergeCell ref="A70:C70"/>
    <mergeCell ref="A71:C71"/>
    <mergeCell ref="A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17" min="4" style="0" width="13"/>
    <col collapsed="false" customWidth="true" hidden="false" outlineLevel="0" max="18" min="18" style="0" width="14"/>
    <col collapsed="false" customWidth="true" hidden="false" outlineLevel="0" max="19" min="19" style="0" width="13"/>
    <col collapsed="false" customWidth="true" hidden="false" outlineLevel="0" max="20" min="20" style="0" width="46"/>
  </cols>
  <sheetData>
    <row r="1" customFormat="false" ht="19.5" hidden="false" customHeight="true" outlineLevel="0" collapsed="false">
      <c r="A1" s="35" t="s">
        <v>290</v>
      </c>
      <c r="B1" s="35"/>
      <c r="C1" s="35"/>
      <c r="D1" s="35"/>
      <c r="E1" s="35"/>
      <c r="F1" s="35"/>
      <c r="G1" s="35"/>
      <c r="H1" s="35"/>
      <c r="I1" s="35"/>
      <c r="J1" s="35"/>
      <c r="K1" s="35"/>
      <c r="L1" s="35"/>
      <c r="M1" s="35"/>
      <c r="N1" s="35"/>
      <c r="O1" s="35"/>
      <c r="P1" s="35"/>
      <c r="Q1" s="35"/>
      <c r="R1" s="35"/>
      <c r="S1" s="35"/>
      <c r="T1" s="35"/>
    </row>
    <row r="2" customFormat="false" ht="57.75" hidden="false" customHeight="true" outlineLevel="0" collapsed="false">
      <c r="A2" s="36" t="s">
        <v>291</v>
      </c>
      <c r="B2" s="36"/>
      <c r="C2" s="36"/>
      <c r="D2" s="36"/>
      <c r="E2" s="36"/>
      <c r="F2" s="36"/>
      <c r="G2" s="36"/>
      <c r="H2" s="36"/>
      <c r="I2" s="36"/>
      <c r="J2" s="36"/>
      <c r="K2" s="36"/>
      <c r="L2" s="36"/>
      <c r="M2" s="36"/>
      <c r="N2" s="36"/>
      <c r="O2" s="36"/>
      <c r="P2" s="36"/>
      <c r="Q2" s="36"/>
      <c r="R2" s="36"/>
      <c r="S2" s="36"/>
      <c r="T2" s="36"/>
    </row>
    <row r="3" customFormat="false" ht="57.75" hidden="false" customHeight="true" outlineLevel="0" collapsed="false">
      <c r="A3" s="36" t="s">
        <v>292</v>
      </c>
      <c r="B3" s="36"/>
      <c r="C3" s="36"/>
      <c r="D3" s="36"/>
      <c r="E3" s="36"/>
      <c r="F3" s="36"/>
      <c r="G3" s="36"/>
      <c r="H3" s="36"/>
      <c r="I3" s="36"/>
      <c r="J3" s="36"/>
      <c r="K3" s="36"/>
      <c r="L3" s="36"/>
      <c r="M3" s="36"/>
      <c r="N3" s="36"/>
      <c r="O3" s="36"/>
      <c r="P3" s="36"/>
      <c r="Q3" s="36"/>
      <c r="R3" s="36"/>
      <c r="S3" s="36"/>
      <c r="T3" s="36"/>
    </row>
    <row r="4" customFormat="false" ht="45.75" hidden="false" customHeight="true" outlineLevel="0" collapsed="false">
      <c r="A4" s="37" t="s">
        <v>212</v>
      </c>
      <c r="B4" s="37" t="s">
        <v>0</v>
      </c>
      <c r="C4" s="37" t="s">
        <v>1</v>
      </c>
      <c r="D4" s="37" t="s">
        <v>215</v>
      </c>
      <c r="E4" s="37" t="s">
        <v>216</v>
      </c>
      <c r="F4" s="37" t="s">
        <v>213</v>
      </c>
      <c r="G4" s="37" t="s">
        <v>214</v>
      </c>
      <c r="H4" s="37" t="s">
        <v>293</v>
      </c>
      <c r="I4" s="37" t="s">
        <v>294</v>
      </c>
      <c r="J4" s="37" t="s">
        <v>295</v>
      </c>
      <c r="K4" s="37" t="s">
        <v>296</v>
      </c>
      <c r="L4" s="37" t="s">
        <v>297</v>
      </c>
      <c r="M4" s="37" t="s">
        <v>298</v>
      </c>
      <c r="N4" s="37" t="s">
        <v>299</v>
      </c>
      <c r="O4" s="37" t="s">
        <v>300</v>
      </c>
      <c r="P4" s="37" t="s">
        <v>301</v>
      </c>
      <c r="Q4" s="37" t="s">
        <v>302</v>
      </c>
      <c r="R4" s="37" t="s">
        <v>303</v>
      </c>
      <c r="S4" s="37" t="s">
        <v>242</v>
      </c>
      <c r="T4" s="37" t="s">
        <v>243</v>
      </c>
    </row>
    <row r="5" customFormat="false" ht="68.65" hidden="false" customHeight="false" outlineLevel="0" collapsed="false">
      <c r="A5" s="38" t="s">
        <v>220</v>
      </c>
      <c r="B5" s="38" t="s">
        <v>7</v>
      </c>
      <c r="C5" s="39" t="s">
        <v>8</v>
      </c>
      <c r="D5" s="40" t="n">
        <f aca="false">'RSEA vs Quoted Comparison'!F6</f>
        <v>16.71</v>
      </c>
      <c r="E5" s="40" t="n">
        <f aca="false">'RSEA vs Quoted Comparison'!G6</f>
        <v>18.381</v>
      </c>
      <c r="F5" s="40" t="n">
        <f aca="false">'RSEA vs Quoted Comparison'!D6</f>
        <v>42.99</v>
      </c>
      <c r="G5" s="40" t="n">
        <f aca="false">'RSEA vs Quoted Comparison'!E6</f>
        <v>39.0818181818182</v>
      </c>
      <c r="H5" s="40" t="n">
        <v>30</v>
      </c>
      <c r="I5" s="40" t="n">
        <f aca="false">H5/1.1</f>
        <v>27.2727272727273</v>
      </c>
      <c r="J5" s="40" t="n">
        <v>31.19</v>
      </c>
      <c r="K5" s="40" t="n">
        <f aca="false">J5/1.1</f>
        <v>28.3545454545455</v>
      </c>
      <c r="L5" s="38"/>
      <c r="M5" s="38"/>
      <c r="N5" s="40" t="n">
        <v>10.29</v>
      </c>
      <c r="O5" s="40" t="n">
        <f aca="false">N5/1.1</f>
        <v>9.35454545454545</v>
      </c>
      <c r="P5" s="40" t="n">
        <v>65.63</v>
      </c>
      <c r="Q5" s="40" t="n">
        <f aca="false">P5/1.1</f>
        <v>59.6636363636364</v>
      </c>
      <c r="R5" s="40" t="n">
        <f aca="false">IF(COUNT(G5,I5,K5,M5,O5,Q5)=0,"",MIN(G5,I5,K5,M5,O5,Q5))</f>
        <v>9.35454545454545</v>
      </c>
      <c r="S5" s="41" t="n">
        <f aca="false">IF(OR(D5="",R5=""),"",D5/R5-1)</f>
        <v>0.786297376093295</v>
      </c>
      <c r="T5" s="39" t="s">
        <v>304</v>
      </c>
    </row>
    <row r="6" customFormat="false" ht="55.2" hidden="false" customHeight="false" outlineLevel="0" collapsed="false">
      <c r="A6" s="38" t="s">
        <v>220</v>
      </c>
      <c r="B6" s="38" t="s">
        <v>9</v>
      </c>
      <c r="C6" s="39" t="s">
        <v>10</v>
      </c>
      <c r="D6" s="40" t="n">
        <f aca="false">'RSEA vs Quoted Comparison'!F7</f>
        <v>66.83</v>
      </c>
      <c r="E6" s="40" t="n">
        <f aca="false">'RSEA vs Quoted Comparison'!G7</f>
        <v>73.513</v>
      </c>
      <c r="F6" s="40" t="n">
        <f aca="false">'RSEA vs Quoted Comparison'!D7</f>
        <v>134.99</v>
      </c>
      <c r="G6" s="40" t="n">
        <f aca="false">'RSEA vs Quoted Comparison'!E7</f>
        <v>122.718181818182</v>
      </c>
      <c r="H6" s="38"/>
      <c r="I6" s="38"/>
      <c r="J6" s="38"/>
      <c r="K6" s="38"/>
      <c r="L6" s="38"/>
      <c r="M6" s="38"/>
      <c r="N6" s="38"/>
      <c r="O6" s="38"/>
      <c r="P6" s="38"/>
      <c r="Q6" s="38"/>
      <c r="R6" s="40" t="n">
        <f aca="false">IF(COUNT(G6,I6,K6,M6,O6,Q6)=0,"",MIN(G6,I6,K6,M6,O6,Q6))</f>
        <v>122.718181818182</v>
      </c>
      <c r="S6" s="41" t="n">
        <f aca="false">IF(OR(D6="",R6=""),"",D6/R6-1)</f>
        <v>-0.455418919919994</v>
      </c>
      <c r="T6" s="39" t="s">
        <v>305</v>
      </c>
    </row>
    <row r="7" customFormat="false" ht="55.2" hidden="false" customHeight="false" outlineLevel="0" collapsed="false">
      <c r="A7" s="38" t="s">
        <v>220</v>
      </c>
      <c r="B7" s="38" t="s">
        <v>11</v>
      </c>
      <c r="C7" s="39" t="s">
        <v>12</v>
      </c>
      <c r="D7" s="40" t="n">
        <f aca="false">'RSEA vs Quoted Comparison'!F8</f>
        <v>44.55</v>
      </c>
      <c r="E7" s="40" t="n">
        <f aca="false">'RSEA vs Quoted Comparison'!G8</f>
        <v>49.005</v>
      </c>
      <c r="F7" s="40" t="n">
        <f aca="false">'RSEA vs Quoted Comparison'!D8</f>
        <v>167.99</v>
      </c>
      <c r="G7" s="40" t="n">
        <f aca="false">'RSEA vs Quoted Comparison'!E8</f>
        <v>152.718181818182</v>
      </c>
      <c r="H7" s="38"/>
      <c r="I7" s="38"/>
      <c r="J7" s="38"/>
      <c r="K7" s="38"/>
      <c r="L7" s="38"/>
      <c r="M7" s="38"/>
      <c r="N7" s="38"/>
      <c r="O7" s="38"/>
      <c r="P7" s="38"/>
      <c r="Q7" s="38"/>
      <c r="R7" s="40" t="n">
        <f aca="false">IF(COUNT(G7,I7,K7,M7,O7,Q7)=0,"",MIN(G7,I7,K7,M7,O7,Q7))</f>
        <v>152.718181818182</v>
      </c>
      <c r="S7" s="41" t="n">
        <f aca="false">IF(OR(D7="",R7=""),"",D7/R7-1)</f>
        <v>-0.708286207512352</v>
      </c>
      <c r="T7" s="39" t="s">
        <v>305</v>
      </c>
    </row>
    <row r="8" customFormat="false" ht="95.5" hidden="false" customHeight="false" outlineLevel="0" collapsed="false">
      <c r="A8" s="38" t="s">
        <v>220</v>
      </c>
      <c r="B8" s="38" t="s">
        <v>13</v>
      </c>
      <c r="C8" s="39" t="s">
        <v>14</v>
      </c>
      <c r="D8" s="40" t="n">
        <f aca="false">'RSEA vs Quoted Comparison'!F9</f>
        <v>44.55</v>
      </c>
      <c r="E8" s="40" t="n">
        <f aca="false">'RSEA vs Quoted Comparison'!G9</f>
        <v>49.005</v>
      </c>
      <c r="F8" s="40" t="n">
        <f aca="false">'RSEA vs Quoted Comparison'!D9</f>
        <v>147.99</v>
      </c>
      <c r="G8" s="40" t="n">
        <f aca="false">'RSEA vs Quoted Comparison'!E9</f>
        <v>134.536363636364</v>
      </c>
      <c r="H8" s="40" t="n">
        <v>92.4</v>
      </c>
      <c r="I8" s="40" t="n">
        <f aca="false">H8/1.1</f>
        <v>84</v>
      </c>
      <c r="J8" s="40" t="n">
        <v>106.09</v>
      </c>
      <c r="K8" s="40" t="n">
        <f aca="false">J8/1.1</f>
        <v>96.4454545454545</v>
      </c>
      <c r="L8" s="40" t="n">
        <v>62.95</v>
      </c>
      <c r="M8" s="40" t="n">
        <f aca="false">L8/1.1</f>
        <v>57.2272727272727</v>
      </c>
      <c r="N8" s="40" t="n">
        <v>117.4</v>
      </c>
      <c r="O8" s="40" t="n">
        <f aca="false">N8/1.1</f>
        <v>106.727272727273</v>
      </c>
      <c r="P8" s="40" t="n">
        <v>128.81</v>
      </c>
      <c r="Q8" s="40" t="n">
        <f aca="false">P8/1.1</f>
        <v>117.1</v>
      </c>
      <c r="R8" s="40" t="n">
        <f aca="false">IF(COUNT(G8,I8,K8,M8,O8,Q8)=0,"",MIN(G8,I8,K8,M8,O8,Q8))</f>
        <v>57.2272727272727</v>
      </c>
      <c r="S8" s="41" t="n">
        <f aca="false">IF(OR(D8="",R8=""),"",D8/R8-1)</f>
        <v>-0.221525019857029</v>
      </c>
      <c r="T8" s="39" t="s">
        <v>306</v>
      </c>
    </row>
    <row r="9" customFormat="false" ht="68.65" hidden="false" customHeight="false" outlineLevel="0" collapsed="false">
      <c r="A9" s="38" t="s">
        <v>220</v>
      </c>
      <c r="B9" s="38" t="s">
        <v>15</v>
      </c>
      <c r="C9" s="39" t="s">
        <v>16</v>
      </c>
      <c r="D9" s="40" t="n">
        <f aca="false">'RSEA vs Quoted Comparison'!F10</f>
        <v>69.61</v>
      </c>
      <c r="E9" s="40" t="n">
        <f aca="false">'RSEA vs Quoted Comparison'!G10</f>
        <v>76.571</v>
      </c>
      <c r="F9" s="40" t="n">
        <f aca="false">'RSEA vs Quoted Comparison'!D10</f>
        <v>167.99</v>
      </c>
      <c r="G9" s="40" t="n">
        <f aca="false">'RSEA vs Quoted Comparison'!E10</f>
        <v>152.718181818182</v>
      </c>
      <c r="H9" s="40" t="n">
        <v>118.8</v>
      </c>
      <c r="I9" s="40" t="n">
        <f aca="false">H9/1.1</f>
        <v>108</v>
      </c>
      <c r="J9" s="40" t="n">
        <v>98.18</v>
      </c>
      <c r="K9" s="40" t="n">
        <f aca="false">J9/1.1</f>
        <v>89.2545454545455</v>
      </c>
      <c r="L9" s="40" t="n">
        <v>74</v>
      </c>
      <c r="M9" s="40" t="n">
        <f aca="false">L9/1.1</f>
        <v>67.2727272727273</v>
      </c>
      <c r="N9" s="40" t="n">
        <v>128.32</v>
      </c>
      <c r="O9" s="40" t="n">
        <f aca="false">N9/1.1</f>
        <v>116.654545454545</v>
      </c>
      <c r="P9" s="40" t="n">
        <v>220.92</v>
      </c>
      <c r="Q9" s="40" t="n">
        <f aca="false">P9/1.1</f>
        <v>200.836363636364</v>
      </c>
      <c r="R9" s="40" t="n">
        <f aca="false">IF(COUNT(G9,I9,K9,M9,O9,Q9)=0,"",MIN(G9,I9,K9,M9,O9,Q9))</f>
        <v>67.2727272727273</v>
      </c>
      <c r="S9" s="41" t="n">
        <f aca="false">IF(OR(D9="",R9=""),"",D9/R9-1)</f>
        <v>0.0347432432432433</v>
      </c>
      <c r="T9" s="39" t="s">
        <v>307</v>
      </c>
    </row>
    <row r="10" customFormat="false" ht="82.05" hidden="false" customHeight="false" outlineLevel="0" collapsed="false">
      <c r="A10" s="38" t="s">
        <v>220</v>
      </c>
      <c r="B10" s="38" t="s">
        <v>17</v>
      </c>
      <c r="C10" s="39" t="s">
        <v>18</v>
      </c>
      <c r="D10" s="40" t="n">
        <f aca="false">'RSEA vs Quoted Comparison'!F11</f>
        <v>33.41</v>
      </c>
      <c r="E10" s="40" t="n">
        <f aca="false">'RSEA vs Quoted Comparison'!G11</f>
        <v>36.751</v>
      </c>
      <c r="F10" s="40" t="n">
        <f aca="false">'RSEA vs Quoted Comparison'!D11</f>
        <v>142.99</v>
      </c>
      <c r="G10" s="40" t="n">
        <f aca="false">'RSEA vs Quoted Comparison'!E11</f>
        <v>129.990909090909</v>
      </c>
      <c r="H10" s="40" t="n">
        <v>74.8</v>
      </c>
      <c r="I10" s="40" t="n">
        <f aca="false">H10/1.1</f>
        <v>68</v>
      </c>
      <c r="J10" s="40" t="n">
        <v>78.64</v>
      </c>
      <c r="K10" s="40" t="n">
        <f aca="false">J10/1.1</f>
        <v>71.4909090909091</v>
      </c>
      <c r="L10" s="40" t="n">
        <v>58</v>
      </c>
      <c r="M10" s="40" t="n">
        <f aca="false">L10/1.1</f>
        <v>52.7272727272727</v>
      </c>
      <c r="N10" s="40" t="n">
        <v>80.22</v>
      </c>
      <c r="O10" s="40" t="n">
        <f aca="false">N10/1.1</f>
        <v>72.9272727272727</v>
      </c>
      <c r="P10" s="40" t="n">
        <v>173.98</v>
      </c>
      <c r="Q10" s="40" t="n">
        <f aca="false">P10/1.1</f>
        <v>158.163636363636</v>
      </c>
      <c r="R10" s="40" t="n">
        <f aca="false">IF(COUNT(G10,I10,K10,M10,O10,Q10)=0,"",MIN(G10,I10,K10,M10,O10,Q10))</f>
        <v>52.7272727272727</v>
      </c>
      <c r="S10" s="41" t="n">
        <f aca="false">IF(OR(D10="",R10=""),"",D10/R10-1)</f>
        <v>-0.366362068965517</v>
      </c>
      <c r="T10" s="39" t="s">
        <v>308</v>
      </c>
    </row>
    <row r="11" customFormat="false" ht="68.65" hidden="false" customHeight="false" outlineLevel="0" collapsed="false">
      <c r="A11" s="38" t="s">
        <v>220</v>
      </c>
      <c r="B11" s="38" t="s">
        <v>19</v>
      </c>
      <c r="C11" s="39" t="s">
        <v>20</v>
      </c>
      <c r="D11" s="40" t="n">
        <f aca="false">'RSEA vs Quoted Comparison'!F12</f>
        <v>44.55</v>
      </c>
      <c r="E11" s="40" t="n">
        <f aca="false">'RSEA vs Quoted Comparison'!G12</f>
        <v>49.005</v>
      </c>
      <c r="F11" s="40" t="n">
        <f aca="false">'RSEA vs Quoted Comparison'!D12</f>
        <v>157.99</v>
      </c>
      <c r="G11" s="40" t="n">
        <f aca="false">'RSEA vs Quoted Comparison'!E12</f>
        <v>143.627272727273</v>
      </c>
      <c r="H11" s="40" t="n">
        <v>107.8</v>
      </c>
      <c r="I11" s="40" t="n">
        <f aca="false">H11/1.1</f>
        <v>98</v>
      </c>
      <c r="J11" s="40" t="n">
        <v>94.5</v>
      </c>
      <c r="K11" s="40" t="n">
        <f aca="false">J11/1.1</f>
        <v>85.9090909090909</v>
      </c>
      <c r="L11" s="40" t="n">
        <v>88.5</v>
      </c>
      <c r="M11" s="40" t="n">
        <f aca="false">L11/1.1</f>
        <v>80.4545454545455</v>
      </c>
      <c r="N11" s="40" t="n">
        <v>127.75</v>
      </c>
      <c r="O11" s="40" t="n">
        <f aca="false">N11/1.1</f>
        <v>116.136363636364</v>
      </c>
      <c r="P11" s="40" t="n">
        <v>179.74</v>
      </c>
      <c r="Q11" s="40" t="n">
        <f aca="false">P11/1.1</f>
        <v>163.4</v>
      </c>
      <c r="R11" s="40" t="n">
        <f aca="false">IF(COUNT(G11,I11,K11,M11,O11,Q11)=0,"",MIN(G11,I11,K11,M11,O11,Q11))</f>
        <v>80.4545454545455</v>
      </c>
      <c r="S11" s="41" t="n">
        <f aca="false">IF(OR(D11="",R11=""),"",D11/R11-1)</f>
        <v>-0.446271186440678</v>
      </c>
      <c r="T11" s="39" t="s">
        <v>309</v>
      </c>
    </row>
    <row r="12" customFormat="false" ht="108.95" hidden="false" customHeight="false" outlineLevel="0" collapsed="false">
      <c r="A12" s="38" t="s">
        <v>220</v>
      </c>
      <c r="B12" s="38" t="s">
        <v>79</v>
      </c>
      <c r="C12" s="39" t="s">
        <v>80</v>
      </c>
      <c r="D12" s="40" t="n">
        <f aca="false">'RSEA vs Quoted Comparison'!F13</f>
        <v>33.41</v>
      </c>
      <c r="E12" s="40" t="n">
        <f aca="false">'RSEA vs Quoted Comparison'!G13</f>
        <v>36.751</v>
      </c>
      <c r="F12" s="40" t="n">
        <f aca="false">'RSEA vs Quoted Comparison'!D13</f>
        <v>142.99</v>
      </c>
      <c r="G12" s="40" t="n">
        <f aca="false">'RSEA vs Quoted Comparison'!E13</f>
        <v>129.990909090909</v>
      </c>
      <c r="H12" s="40" t="n">
        <v>74.8</v>
      </c>
      <c r="I12" s="40" t="n">
        <f aca="false">H12/1.1</f>
        <v>68</v>
      </c>
      <c r="J12" s="40" t="n">
        <v>31.19</v>
      </c>
      <c r="K12" s="40" t="n">
        <f aca="false">J12/1.1</f>
        <v>28.3545454545455</v>
      </c>
      <c r="L12" s="38"/>
      <c r="M12" s="38"/>
      <c r="N12" s="40" t="n">
        <v>110.1</v>
      </c>
      <c r="O12" s="40" t="n">
        <f aca="false">N12/1.1</f>
        <v>100.090909090909</v>
      </c>
      <c r="P12" s="40" t="n">
        <v>44</v>
      </c>
      <c r="Q12" s="40" t="n">
        <f aca="false">P12/1.1</f>
        <v>40</v>
      </c>
      <c r="R12" s="40" t="n">
        <f aca="false">IF(COUNT(G12,I12,K12,M12,O12,Q12)=0,"",MIN(G12,I12,K12,M12,O12,Q12))</f>
        <v>28.3545454545455</v>
      </c>
      <c r="S12" s="41" t="n">
        <f aca="false">IF(OR(D12="",R12=""),"",D12/R12-1)</f>
        <v>0.1782943251042</v>
      </c>
      <c r="T12" s="39" t="s">
        <v>310</v>
      </c>
    </row>
    <row r="13" customFormat="false" ht="82.05" hidden="false" customHeight="false" outlineLevel="0" collapsed="false">
      <c r="A13" s="38" t="s">
        <v>220</v>
      </c>
      <c r="B13" s="38" t="s">
        <v>81</v>
      </c>
      <c r="C13" s="39" t="s">
        <v>82</v>
      </c>
      <c r="D13" s="40" t="n">
        <f aca="false">'RSEA vs Quoted Comparison'!F14</f>
        <v>25.06</v>
      </c>
      <c r="E13" s="40" t="n">
        <f aca="false">'RSEA vs Quoted Comparison'!G14</f>
        <v>27.566</v>
      </c>
      <c r="F13" s="40" t="n">
        <f aca="false">'RSEA vs Quoted Comparison'!D14</f>
        <v>112.99</v>
      </c>
      <c r="G13" s="40" t="n">
        <f aca="false">'RSEA vs Quoted Comparison'!E14</f>
        <v>102.718181818182</v>
      </c>
      <c r="H13" s="40" t="n">
        <v>61.6</v>
      </c>
      <c r="I13" s="40" t="n">
        <f aca="false">H13/1.1</f>
        <v>56</v>
      </c>
      <c r="J13" s="40" t="n">
        <v>76.56</v>
      </c>
      <c r="K13" s="40" t="n">
        <f aca="false">J13/1.1</f>
        <v>69.6</v>
      </c>
      <c r="L13" s="40" t="n">
        <v>62.95</v>
      </c>
      <c r="M13" s="40" t="n">
        <f aca="false">L13/1.1</f>
        <v>57.2272727272727</v>
      </c>
      <c r="N13" s="40" t="n">
        <v>100.71</v>
      </c>
      <c r="O13" s="40" t="n">
        <f aca="false">N13/1.1</f>
        <v>91.5545454545455</v>
      </c>
      <c r="P13" s="40" t="n">
        <v>159.24</v>
      </c>
      <c r="Q13" s="40" t="n">
        <f aca="false">P13/1.1</f>
        <v>144.763636363636</v>
      </c>
      <c r="R13" s="40" t="n">
        <f aca="false">IF(COUNT(G13,I13,K13,M13,O13,Q13)=0,"",MIN(G13,I13,K13,M13,O13,Q13))</f>
        <v>56</v>
      </c>
      <c r="S13" s="41" t="n">
        <f aca="false">IF(OR(D13="",R13=""),"",D13/R13-1)</f>
        <v>-0.5525</v>
      </c>
      <c r="T13" s="39" t="s">
        <v>311</v>
      </c>
    </row>
    <row r="14" customFormat="false" ht="68.65" hidden="false" customHeight="false" outlineLevel="0" collapsed="false">
      <c r="A14" s="38" t="s">
        <v>220</v>
      </c>
      <c r="B14" s="38" t="s">
        <v>101</v>
      </c>
      <c r="C14" s="39" t="s">
        <v>102</v>
      </c>
      <c r="D14" s="40" t="n">
        <f aca="false">'RSEA vs Quoted Comparison'!F15</f>
        <v>8.35</v>
      </c>
      <c r="E14" s="40" t="n">
        <f aca="false">'RSEA vs Quoted Comparison'!G15</f>
        <v>9.185</v>
      </c>
      <c r="F14" s="40" t="n">
        <f aca="false">'RSEA vs Quoted Comparison'!D15</f>
        <v>32.99</v>
      </c>
      <c r="G14" s="40" t="n">
        <f aca="false">'RSEA vs Quoted Comparison'!E15</f>
        <v>29.9909090909091</v>
      </c>
      <c r="H14" s="38"/>
      <c r="I14" s="38"/>
      <c r="J14" s="38"/>
      <c r="K14" s="38"/>
      <c r="L14" s="38"/>
      <c r="M14" s="38"/>
      <c r="N14" s="38"/>
      <c r="O14" s="38"/>
      <c r="P14" s="38"/>
      <c r="Q14" s="38"/>
      <c r="R14" s="40" t="n">
        <f aca="false">IF(COUNT(G14,I14,K14,M14,O14,Q14)=0,"",MIN(G14,I14,K14,M14,O14,Q14))</f>
        <v>29.9909090909091</v>
      </c>
      <c r="S14" s="41" t="n">
        <f aca="false">IF(OR(D14="",R14=""),"",D14/R14-1)</f>
        <v>-0.721582297665959</v>
      </c>
      <c r="T14" s="39" t="s">
        <v>312</v>
      </c>
    </row>
    <row r="15" customFormat="false" ht="68.65" hidden="false" customHeight="false" outlineLevel="0" collapsed="false">
      <c r="A15" s="38" t="s">
        <v>220</v>
      </c>
      <c r="B15" s="38" t="s">
        <v>107</v>
      </c>
      <c r="C15" s="39" t="s">
        <v>108</v>
      </c>
      <c r="D15" s="40" t="n">
        <f aca="false">'RSEA vs Quoted Comparison'!F16</f>
        <v>15.59</v>
      </c>
      <c r="E15" s="40" t="n">
        <f aca="false">'RSEA vs Quoted Comparison'!G16</f>
        <v>17.149</v>
      </c>
      <c r="F15" s="40" t="n">
        <f aca="false">'RSEA vs Quoted Comparison'!D16</f>
        <v>44.99</v>
      </c>
      <c r="G15" s="40" t="n">
        <f aca="false">'RSEA vs Quoted Comparison'!E16</f>
        <v>40.9</v>
      </c>
      <c r="H15" s="38"/>
      <c r="I15" s="38"/>
      <c r="J15" s="38"/>
      <c r="K15" s="38"/>
      <c r="L15" s="38"/>
      <c r="M15" s="38"/>
      <c r="N15" s="38"/>
      <c r="O15" s="38"/>
      <c r="P15" s="38"/>
      <c r="Q15" s="38"/>
      <c r="R15" s="40" t="n">
        <f aca="false">IF(COUNT(G15,I15,K15,M15,O15,Q15)=0,"",MIN(G15,I15,K15,M15,O15,Q15))</f>
        <v>40.9</v>
      </c>
      <c r="S15" s="41" t="n">
        <f aca="false">IF(OR(D15="",R15=""),"",D15/R15-1)</f>
        <v>-0.618826405867971</v>
      </c>
      <c r="T15" s="39" t="s">
        <v>313</v>
      </c>
    </row>
    <row r="16" customFormat="false" ht="41.75" hidden="false" customHeight="false" outlineLevel="0" collapsed="false">
      <c r="A16" s="38" t="s">
        <v>220</v>
      </c>
      <c r="B16" s="38" t="s">
        <v>117</v>
      </c>
      <c r="C16" s="39" t="s">
        <v>118</v>
      </c>
      <c r="D16" s="40" t="n">
        <f aca="false">'RSEA vs Quoted Comparison'!F17</f>
        <v>8.35</v>
      </c>
      <c r="E16" s="40" t="n">
        <f aca="false">'RSEA vs Quoted Comparison'!G17</f>
        <v>9.185</v>
      </c>
      <c r="F16" s="40" t="n">
        <f aca="false">'RSEA vs Quoted Comparison'!D17</f>
        <v>32.99</v>
      </c>
      <c r="G16" s="40" t="n">
        <f aca="false">'RSEA vs Quoted Comparison'!E17</f>
        <v>29.9909090909091</v>
      </c>
      <c r="H16" s="38"/>
      <c r="I16" s="38"/>
      <c r="J16" s="38"/>
      <c r="K16" s="38"/>
      <c r="L16" s="38"/>
      <c r="M16" s="38"/>
      <c r="N16" s="38"/>
      <c r="O16" s="38"/>
      <c r="P16" s="38"/>
      <c r="Q16" s="38"/>
      <c r="R16" s="40" t="n">
        <f aca="false">IF(COUNT(G16,I16,K16,M16,O16,Q16)=0,"",MIN(G16,I16,K16,M16,O16,Q16))</f>
        <v>29.9909090909091</v>
      </c>
      <c r="S16" s="41" t="n">
        <f aca="false">IF(OR(D16="",R16=""),"",D16/R16-1)</f>
        <v>-0.721582297665959</v>
      </c>
      <c r="T16" s="39" t="s">
        <v>314</v>
      </c>
    </row>
    <row r="17" customFormat="false" ht="82.05" hidden="false" customHeight="false" outlineLevel="0" collapsed="false">
      <c r="A17" s="38" t="s">
        <v>220</v>
      </c>
      <c r="B17" s="38" t="s">
        <v>127</v>
      </c>
      <c r="C17" s="39" t="s">
        <v>128</v>
      </c>
      <c r="D17" s="40" t="n">
        <f aca="false">'RSEA vs Quoted Comparison'!F18</f>
        <v>29.7</v>
      </c>
      <c r="E17" s="40" t="n">
        <f aca="false">'RSEA vs Quoted Comparison'!G18</f>
        <v>32.67</v>
      </c>
      <c r="F17" s="40" t="n">
        <f aca="false">'RSEA vs Quoted Comparison'!D18</f>
        <v>69.99</v>
      </c>
      <c r="G17" s="40" t="n">
        <f aca="false">'RSEA vs Quoted Comparison'!E18</f>
        <v>63.6272727272727</v>
      </c>
      <c r="H17" s="40" t="n">
        <v>74.8</v>
      </c>
      <c r="I17" s="40" t="n">
        <f aca="false">H17/1.1</f>
        <v>68</v>
      </c>
      <c r="J17" s="40" t="n">
        <v>41.13</v>
      </c>
      <c r="K17" s="40" t="n">
        <f aca="false">J17/1.1</f>
        <v>37.3909090909091</v>
      </c>
      <c r="L17" s="38"/>
      <c r="M17" s="38"/>
      <c r="N17" s="40" t="n">
        <v>110.1</v>
      </c>
      <c r="O17" s="40" t="n">
        <f aca="false">N17/1.1</f>
        <v>100.090909090909</v>
      </c>
      <c r="P17" s="38"/>
      <c r="Q17" s="38"/>
      <c r="R17" s="40" t="n">
        <f aca="false">IF(COUNT(G17,I17,K17,M17,O17,Q17)=0,"",MIN(G17,I17,K17,M17,O17,Q17))</f>
        <v>37.3909090909091</v>
      </c>
      <c r="S17" s="41" t="n">
        <f aca="false">IF(OR(D17="",R17=""),"",D17/R17-1)</f>
        <v>-0.205689277899344</v>
      </c>
      <c r="T17" s="39" t="s">
        <v>315</v>
      </c>
    </row>
    <row r="18" customFormat="false" ht="68.65" hidden="false" customHeight="false" outlineLevel="0" collapsed="false">
      <c r="A18" s="38" t="s">
        <v>220</v>
      </c>
      <c r="B18" s="38" t="s">
        <v>131</v>
      </c>
      <c r="C18" s="39" t="s">
        <v>132</v>
      </c>
      <c r="D18" s="40" t="n">
        <f aca="false">'RSEA vs Quoted Comparison'!F19</f>
        <v>29.7</v>
      </c>
      <c r="E18" s="40" t="n">
        <f aca="false">'RSEA vs Quoted Comparison'!G19</f>
        <v>32.67</v>
      </c>
      <c r="F18" s="40" t="n">
        <f aca="false">'RSEA vs Quoted Comparison'!D19</f>
        <v>84.99</v>
      </c>
      <c r="G18" s="40" t="n">
        <f aca="false">'RSEA vs Quoted Comparison'!E19</f>
        <v>77.2636363636364</v>
      </c>
      <c r="H18" s="40" t="n">
        <v>74.8</v>
      </c>
      <c r="I18" s="40" t="n">
        <f aca="false">H18/1.1</f>
        <v>68</v>
      </c>
      <c r="J18" s="40" t="n">
        <v>31.19</v>
      </c>
      <c r="K18" s="40" t="n">
        <f aca="false">J18/1.1</f>
        <v>28.3545454545455</v>
      </c>
      <c r="L18" s="38"/>
      <c r="M18" s="38"/>
      <c r="N18" s="40" t="n">
        <v>110.1</v>
      </c>
      <c r="O18" s="40" t="n">
        <f aca="false">N18/1.1</f>
        <v>100.090909090909</v>
      </c>
      <c r="P18" s="38"/>
      <c r="Q18" s="38"/>
      <c r="R18" s="40" t="n">
        <f aca="false">IF(COUNT(G18,I18,K18,M18,O18,Q18)=0,"",MIN(G18,I18,K18,M18,O18,Q18))</f>
        <v>28.3545454545455</v>
      </c>
      <c r="S18" s="41" t="n">
        <f aca="false">IF(OR(D18="",R18=""),"",D18/R18-1)</f>
        <v>0.0474511061237577</v>
      </c>
      <c r="T18" s="39" t="s">
        <v>316</v>
      </c>
    </row>
    <row r="19" customFormat="false" ht="68.65" hidden="false" customHeight="false" outlineLevel="0" collapsed="false">
      <c r="A19" s="38" t="s">
        <v>220</v>
      </c>
      <c r="B19" s="38" t="s">
        <v>137</v>
      </c>
      <c r="C19" s="39" t="s">
        <v>138</v>
      </c>
      <c r="D19" s="40" t="n">
        <f aca="false">'RSEA vs Quoted Comparison'!F20</f>
        <v>16.71</v>
      </c>
      <c r="E19" s="40" t="n">
        <f aca="false">'RSEA vs Quoted Comparison'!G20</f>
        <v>18.381</v>
      </c>
      <c r="F19" s="40" t="n">
        <f aca="false">'RSEA vs Quoted Comparison'!D20</f>
        <v>44.99</v>
      </c>
      <c r="G19" s="40" t="n">
        <f aca="false">'RSEA vs Quoted Comparison'!E20</f>
        <v>40.9</v>
      </c>
      <c r="H19" s="40" t="n">
        <v>27.5</v>
      </c>
      <c r="I19" s="40" t="n">
        <f aca="false">H19/1.1</f>
        <v>25</v>
      </c>
      <c r="J19" s="40" t="n">
        <v>25.64</v>
      </c>
      <c r="K19" s="40" t="n">
        <f aca="false">J19/1.1</f>
        <v>23.3090909090909</v>
      </c>
      <c r="L19" s="38"/>
      <c r="M19" s="38"/>
      <c r="N19" s="40" t="n">
        <v>26.77</v>
      </c>
      <c r="O19" s="40" t="n">
        <f aca="false">N19/1.1</f>
        <v>24.3363636363636</v>
      </c>
      <c r="P19" s="40" t="n">
        <v>49.78</v>
      </c>
      <c r="Q19" s="40" t="n">
        <f aca="false">P19/1.1</f>
        <v>45.2545454545455</v>
      </c>
      <c r="R19" s="40" t="n">
        <f aca="false">IF(COUNT(G19,I19,K19,M19,O19,Q19)=0,"",MIN(G19,I19,K19,M19,O19,Q19))</f>
        <v>23.3090909090909</v>
      </c>
      <c r="S19" s="41" t="n">
        <f aca="false">IF(OR(D19="",R19=""),"",D19/R19-1)</f>
        <v>-0.28311232449298</v>
      </c>
      <c r="T19" s="39" t="s">
        <v>317</v>
      </c>
    </row>
    <row r="20" customFormat="false" ht="82.05" hidden="false" customHeight="false" outlineLevel="0" collapsed="false">
      <c r="A20" s="38" t="s">
        <v>220</v>
      </c>
      <c r="B20" s="38" t="s">
        <v>141</v>
      </c>
      <c r="C20" s="39" t="s">
        <v>142</v>
      </c>
      <c r="D20" s="40" t="n">
        <f aca="false">'RSEA vs Quoted Comparison'!F21</f>
        <v>33.41</v>
      </c>
      <c r="E20" s="40" t="n">
        <f aca="false">'RSEA vs Quoted Comparison'!G21</f>
        <v>36.751</v>
      </c>
      <c r="F20" s="40" t="n">
        <f aca="false">'RSEA vs Quoted Comparison'!D21</f>
        <v>64.99</v>
      </c>
      <c r="G20" s="40" t="n">
        <f aca="false">'RSEA vs Quoted Comparison'!E21</f>
        <v>59.0818181818182</v>
      </c>
      <c r="H20" s="38"/>
      <c r="I20" s="38"/>
      <c r="J20" s="40" t="n">
        <v>82.82</v>
      </c>
      <c r="K20" s="40" t="n">
        <f aca="false">J20/1.1</f>
        <v>75.2909090909091</v>
      </c>
      <c r="L20" s="38"/>
      <c r="M20" s="38"/>
      <c r="N20" s="40" t="n">
        <v>23.32</v>
      </c>
      <c r="O20" s="40" t="n">
        <f aca="false">N20/1.1</f>
        <v>21.2</v>
      </c>
      <c r="P20" s="38"/>
      <c r="Q20" s="38"/>
      <c r="R20" s="40" t="n">
        <f aca="false">IF(COUNT(G20,I20,K20,M20,O20,Q20)=0,"",MIN(G20,I20,K20,M20,O20,Q20))</f>
        <v>21.2</v>
      </c>
      <c r="S20" s="41" t="n">
        <f aca="false">IF(OR(D20="",R20=""),"",D20/R20-1)</f>
        <v>0.575943396226415</v>
      </c>
      <c r="T20" s="39" t="s">
        <v>318</v>
      </c>
    </row>
    <row r="21" customFormat="false" ht="82.05" hidden="false" customHeight="false" outlineLevel="0" collapsed="false">
      <c r="A21" s="38" t="s">
        <v>220</v>
      </c>
      <c r="B21" s="38" t="s">
        <v>147</v>
      </c>
      <c r="C21" s="39" t="s">
        <v>148</v>
      </c>
      <c r="D21" s="40" t="n">
        <f aca="false">'RSEA vs Quoted Comparison'!F22</f>
        <v>11.81</v>
      </c>
      <c r="E21" s="40" t="n">
        <f aca="false">'RSEA vs Quoted Comparison'!G22</f>
        <v>12.991</v>
      </c>
      <c r="F21" s="40" t="n">
        <f aca="false">'RSEA vs Quoted Comparison'!D22</f>
        <v>44.99</v>
      </c>
      <c r="G21" s="40" t="n">
        <f aca="false">'RSEA vs Quoted Comparison'!E22</f>
        <v>40.9</v>
      </c>
      <c r="H21" s="40" t="n">
        <v>27.5</v>
      </c>
      <c r="I21" s="40" t="n">
        <f aca="false">H21/1.1</f>
        <v>25</v>
      </c>
      <c r="J21" s="40" t="n">
        <v>33.12</v>
      </c>
      <c r="K21" s="40" t="n">
        <f aca="false">J21/1.1</f>
        <v>30.1090909090909</v>
      </c>
      <c r="L21" s="38"/>
      <c r="M21" s="38"/>
      <c r="N21" s="40" t="n">
        <v>23.32</v>
      </c>
      <c r="O21" s="40" t="n">
        <f aca="false">N21/1.1</f>
        <v>21.2</v>
      </c>
      <c r="P21" s="40" t="n">
        <v>48.85</v>
      </c>
      <c r="Q21" s="40" t="n">
        <f aca="false">P21/1.1</f>
        <v>44.4090909090909</v>
      </c>
      <c r="R21" s="40" t="n">
        <f aca="false">IF(COUNT(G21,I21,K21,M21,O21,Q21)=0,"",MIN(G21,I21,K21,M21,O21,Q21))</f>
        <v>21.2</v>
      </c>
      <c r="S21" s="41" t="n">
        <f aca="false">IF(OR(D21="",R21=""),"",D21/R21-1)</f>
        <v>-0.442924528301887</v>
      </c>
      <c r="T21" s="39" t="s">
        <v>319</v>
      </c>
    </row>
    <row r="22" customFormat="false" ht="55.2" hidden="false" customHeight="false" outlineLevel="0" collapsed="false">
      <c r="A22" s="38" t="s">
        <v>220</v>
      </c>
      <c r="B22" s="38" t="s">
        <v>151</v>
      </c>
      <c r="C22" s="39" t="s">
        <v>152</v>
      </c>
      <c r="D22" s="40" t="n">
        <f aca="false">'RSEA vs Quoted Comparison'!F23</f>
        <v>11.81</v>
      </c>
      <c r="E22" s="40" t="n">
        <f aca="false">'RSEA vs Quoted Comparison'!G23</f>
        <v>12.991</v>
      </c>
      <c r="F22" s="40" t="n">
        <f aca="false">'RSEA vs Quoted Comparison'!D23</f>
        <v>49.99</v>
      </c>
      <c r="G22" s="40" t="n">
        <f aca="false">'RSEA vs Quoted Comparison'!E23</f>
        <v>45.4454545454545</v>
      </c>
      <c r="H22" s="40" t="n">
        <v>27.5</v>
      </c>
      <c r="I22" s="40" t="n">
        <f aca="false">H22/1.1</f>
        <v>25</v>
      </c>
      <c r="J22" s="40" t="n">
        <v>33.33</v>
      </c>
      <c r="K22" s="40" t="n">
        <f aca="false">J22/1.1</f>
        <v>30.3</v>
      </c>
      <c r="L22" s="38"/>
      <c r="M22" s="38"/>
      <c r="N22" s="40" t="n">
        <v>23.32</v>
      </c>
      <c r="O22" s="40" t="n">
        <f aca="false">N22/1.1</f>
        <v>21.2</v>
      </c>
      <c r="P22" s="38"/>
      <c r="Q22" s="38"/>
      <c r="R22" s="40" t="n">
        <f aca="false">IF(COUNT(G22,I22,K22,M22,O22,Q22)=0,"",MIN(G22,I22,K22,M22,O22,Q22))</f>
        <v>21.2</v>
      </c>
      <c r="S22" s="41" t="n">
        <f aca="false">IF(OR(D22="",R22=""),"",D22/R22-1)</f>
        <v>-0.442924528301887</v>
      </c>
      <c r="T22" s="39" t="s">
        <v>320</v>
      </c>
    </row>
    <row r="23" customFormat="false" ht="41.75" hidden="false" customHeight="false" outlineLevel="0" collapsed="false">
      <c r="A23" s="38" t="s">
        <v>220</v>
      </c>
      <c r="B23" s="38" t="s">
        <v>153</v>
      </c>
      <c r="C23" s="39" t="s">
        <v>154</v>
      </c>
      <c r="D23" s="40" t="n">
        <f aca="false">'RSEA vs Quoted Comparison'!F24</f>
        <v>5.9</v>
      </c>
      <c r="E23" s="40" t="n">
        <f aca="false">'RSEA vs Quoted Comparison'!G24</f>
        <v>6.49</v>
      </c>
      <c r="F23" s="40" t="n">
        <f aca="false">'RSEA vs Quoted Comparison'!D24</f>
        <v>37.99</v>
      </c>
      <c r="G23" s="40" t="n">
        <f aca="false">'RSEA vs Quoted Comparison'!E24</f>
        <v>34.5363636363636</v>
      </c>
      <c r="H23" s="38"/>
      <c r="I23" s="38"/>
      <c r="J23" s="38"/>
      <c r="K23" s="38"/>
      <c r="L23" s="38"/>
      <c r="M23" s="38"/>
      <c r="N23" s="38"/>
      <c r="O23" s="38"/>
      <c r="P23" s="38"/>
      <c r="Q23" s="38"/>
      <c r="R23" s="40" t="n">
        <f aca="false">IF(COUNT(G23,I23,K23,M23,O23,Q23)=0,"",MIN(G23,I23,K23,M23,O23,Q23))</f>
        <v>34.5363636363636</v>
      </c>
      <c r="S23" s="41" t="n">
        <f aca="false">IF(OR(D23="",R23=""),"",D23/R23-1)</f>
        <v>-0.829165569886812</v>
      </c>
      <c r="T23" s="39" t="s">
        <v>314</v>
      </c>
    </row>
    <row r="24" customFormat="false" ht="82.05" hidden="false" customHeight="false" outlineLevel="0" collapsed="false">
      <c r="A24" s="38" t="s">
        <v>220</v>
      </c>
      <c r="B24" s="38" t="s">
        <v>159</v>
      </c>
      <c r="C24" s="39" t="s">
        <v>160</v>
      </c>
      <c r="D24" s="40" t="n">
        <f aca="false">'RSEA vs Quoted Comparison'!F25</f>
        <v>11.81</v>
      </c>
      <c r="E24" s="40" t="n">
        <f aca="false">'RSEA vs Quoted Comparison'!G25</f>
        <v>12.991</v>
      </c>
      <c r="F24" s="40" t="n">
        <f aca="false">'RSEA vs Quoted Comparison'!D25</f>
        <v>49.99</v>
      </c>
      <c r="G24" s="40" t="n">
        <f aca="false">'RSEA vs Quoted Comparison'!E25</f>
        <v>45.4454545454545</v>
      </c>
      <c r="H24" s="40" t="n">
        <v>33.5</v>
      </c>
      <c r="I24" s="40" t="n">
        <f aca="false">H24/1.1</f>
        <v>30.4545454545455</v>
      </c>
      <c r="J24" s="40" t="n">
        <v>34.46</v>
      </c>
      <c r="K24" s="40" t="n">
        <f aca="false">J24/1.1</f>
        <v>31.3272727272727</v>
      </c>
      <c r="L24" s="40" t="n">
        <v>22.5</v>
      </c>
      <c r="M24" s="40" t="n">
        <f aca="false">L24/1.1</f>
        <v>20.4545454545455</v>
      </c>
      <c r="N24" s="40" t="n">
        <v>10.29</v>
      </c>
      <c r="O24" s="40" t="n">
        <f aca="false">N24/1.1</f>
        <v>9.35454545454545</v>
      </c>
      <c r="P24" s="38"/>
      <c r="Q24" s="38"/>
      <c r="R24" s="40" t="n">
        <f aca="false">IF(COUNT(G24,I24,K24,M24,O24,Q24)=0,"",MIN(G24,I24,K24,M24,O24,Q24))</f>
        <v>9.35454545454545</v>
      </c>
      <c r="S24" s="41" t="n">
        <f aca="false">IF(OR(D24="",R24=""),"",D24/R24-1)</f>
        <v>0.262487852283771</v>
      </c>
      <c r="T24" s="39" t="s">
        <v>321</v>
      </c>
    </row>
    <row r="25" customFormat="false" ht="68.65" hidden="false" customHeight="false" outlineLevel="0" collapsed="false">
      <c r="A25" s="38" t="s">
        <v>220</v>
      </c>
      <c r="B25" s="38" t="s">
        <v>171</v>
      </c>
      <c r="C25" s="39" t="s">
        <v>172</v>
      </c>
      <c r="D25" s="40" t="n">
        <f aca="false">'RSEA vs Quoted Comparison'!F26</f>
        <v>11.81</v>
      </c>
      <c r="E25" s="40" t="n">
        <f aca="false">'RSEA vs Quoted Comparison'!G26</f>
        <v>12.991</v>
      </c>
      <c r="F25" s="40" t="n">
        <f aca="false">'RSEA vs Quoted Comparison'!D26</f>
        <v>44.99</v>
      </c>
      <c r="G25" s="40" t="n">
        <f aca="false">'RSEA vs Quoted Comparison'!E26</f>
        <v>40.9</v>
      </c>
      <c r="H25" s="40" t="n">
        <v>30</v>
      </c>
      <c r="I25" s="40" t="n">
        <f aca="false">H25/1.1</f>
        <v>27.2727272727273</v>
      </c>
      <c r="J25" s="40" t="n">
        <v>31.19</v>
      </c>
      <c r="K25" s="40" t="n">
        <f aca="false">J25/1.1</f>
        <v>28.3545454545455</v>
      </c>
      <c r="L25" s="38"/>
      <c r="M25" s="38"/>
      <c r="N25" s="40" t="n">
        <v>10.29</v>
      </c>
      <c r="O25" s="40" t="n">
        <f aca="false">N25/1.1</f>
        <v>9.35454545454545</v>
      </c>
      <c r="P25" s="40" t="n">
        <v>65.63</v>
      </c>
      <c r="Q25" s="40" t="n">
        <f aca="false">P25/1.1</f>
        <v>59.6636363636364</v>
      </c>
      <c r="R25" s="40" t="n">
        <f aca="false">IF(COUNT(G25,I25,K25,M25,O25,Q25)=0,"",MIN(G25,I25,K25,M25,O25,Q25))</f>
        <v>9.35454545454545</v>
      </c>
      <c r="S25" s="41" t="n">
        <f aca="false">IF(OR(D25="",R25=""),"",D25/R25-1)</f>
        <v>0.262487852283771</v>
      </c>
      <c r="T25" s="39" t="s">
        <v>304</v>
      </c>
    </row>
    <row r="26" customFormat="false" ht="68.65" hidden="false" customHeight="false" outlineLevel="0" collapsed="false">
      <c r="A26" s="38" t="s">
        <v>220</v>
      </c>
      <c r="B26" s="38" t="s">
        <v>262</v>
      </c>
      <c r="C26" s="39" t="s">
        <v>173</v>
      </c>
      <c r="D26" s="40" t="n">
        <f aca="false">'RSEA vs Quoted Comparison'!F27</f>
        <v>11.81</v>
      </c>
      <c r="E26" s="40" t="n">
        <f aca="false">'RSEA vs Quoted Comparison'!G27</f>
        <v>12.991</v>
      </c>
      <c r="F26" s="40" t="n">
        <f aca="false">'RSEA vs Quoted Comparison'!D27</f>
        <v>44.99</v>
      </c>
      <c r="G26" s="40" t="n">
        <f aca="false">'RSEA vs Quoted Comparison'!E27</f>
        <v>40.9</v>
      </c>
      <c r="H26" s="40" t="n">
        <v>27.5</v>
      </c>
      <c r="I26" s="40" t="n">
        <f aca="false">H26/1.1</f>
        <v>25</v>
      </c>
      <c r="J26" s="40" t="n">
        <v>30.11</v>
      </c>
      <c r="K26" s="40" t="n">
        <f aca="false">J26/1.1</f>
        <v>27.3727272727273</v>
      </c>
      <c r="L26" s="38"/>
      <c r="M26" s="38"/>
      <c r="N26" s="40" t="n">
        <v>23.32</v>
      </c>
      <c r="O26" s="40" t="n">
        <f aca="false">N26/1.1</f>
        <v>21.2</v>
      </c>
      <c r="P26" s="40" t="n">
        <v>49.78</v>
      </c>
      <c r="Q26" s="40" t="n">
        <f aca="false">P26/1.1</f>
        <v>45.2545454545455</v>
      </c>
      <c r="R26" s="40" t="n">
        <f aca="false">IF(COUNT(G26,I26,K26,M26,O26,Q26)=0,"",MIN(G26,I26,K26,M26,O26,Q26))</f>
        <v>21.2</v>
      </c>
      <c r="S26" s="41" t="n">
        <f aca="false">IF(OR(D26="",R26=""),"",D26/R26-1)</f>
        <v>-0.442924528301887</v>
      </c>
      <c r="T26" s="39" t="s">
        <v>322</v>
      </c>
    </row>
    <row r="27" customFormat="false" ht="82.05" hidden="false" customHeight="false" outlineLevel="0" collapsed="false">
      <c r="A27" s="38" t="s">
        <v>220</v>
      </c>
      <c r="B27" s="38" t="s">
        <v>167</v>
      </c>
      <c r="C27" s="39" t="s">
        <v>168</v>
      </c>
      <c r="D27" s="40" t="n">
        <f aca="false">'RSEA vs Quoted Comparison'!F28</f>
        <v>33.41</v>
      </c>
      <c r="E27" s="40" t="n">
        <f aca="false">'RSEA vs Quoted Comparison'!G28</f>
        <v>36.751</v>
      </c>
      <c r="F27" s="40" t="n">
        <f aca="false">'RSEA vs Quoted Comparison'!D28</f>
        <v>142.99</v>
      </c>
      <c r="G27" s="40" t="n">
        <f aca="false">'RSEA vs Quoted Comparison'!E28</f>
        <v>129.990909090909</v>
      </c>
      <c r="H27" s="40" t="n">
        <v>74.8</v>
      </c>
      <c r="I27" s="40" t="n">
        <f aca="false">H27/1.1</f>
        <v>68</v>
      </c>
      <c r="J27" s="40" t="n">
        <v>98.07</v>
      </c>
      <c r="K27" s="40" t="n">
        <f aca="false">J27/1.1</f>
        <v>89.1545454545454</v>
      </c>
      <c r="L27" s="38"/>
      <c r="M27" s="38"/>
      <c r="N27" s="40" t="n">
        <v>110.1</v>
      </c>
      <c r="O27" s="40" t="n">
        <f aca="false">N27/1.1</f>
        <v>100.090909090909</v>
      </c>
      <c r="P27" s="38"/>
      <c r="Q27" s="38"/>
      <c r="R27" s="40" t="n">
        <f aca="false">IF(COUNT(G27,I27,K27,M27,O27,Q27)=0,"",MIN(G27,I27,K27,M27,O27,Q27))</f>
        <v>68</v>
      </c>
      <c r="S27" s="41" t="n">
        <f aca="false">IF(OR(D27="",R27=""),"",D27/R27-1)</f>
        <v>-0.508676470588235</v>
      </c>
      <c r="T27" s="39" t="s">
        <v>323</v>
      </c>
    </row>
    <row r="28" customFormat="false" ht="82.05" hidden="false" customHeight="false" outlineLevel="0" collapsed="false">
      <c r="A28" s="38" t="s">
        <v>220</v>
      </c>
      <c r="B28" s="38" t="s">
        <v>174</v>
      </c>
      <c r="C28" s="39" t="s">
        <v>175</v>
      </c>
      <c r="D28" s="40" t="n">
        <f aca="false">'RSEA vs Quoted Comparison'!F29</f>
        <v>33.41</v>
      </c>
      <c r="E28" s="40" t="n">
        <f aca="false">'RSEA vs Quoted Comparison'!G29</f>
        <v>36.751</v>
      </c>
      <c r="F28" s="40" t="n">
        <f aca="false">'RSEA vs Quoted Comparison'!D29</f>
        <v>142.99</v>
      </c>
      <c r="G28" s="40" t="n">
        <f aca="false">'RSEA vs Quoted Comparison'!E29</f>
        <v>129.990909090909</v>
      </c>
      <c r="H28" s="40" t="n">
        <v>74.8</v>
      </c>
      <c r="I28" s="40" t="n">
        <f aca="false">H28/1.1</f>
        <v>68</v>
      </c>
      <c r="J28" s="40" t="n">
        <v>114.08</v>
      </c>
      <c r="K28" s="40" t="n">
        <f aca="false">J28/1.1</f>
        <v>103.709090909091</v>
      </c>
      <c r="L28" s="38"/>
      <c r="M28" s="38"/>
      <c r="N28" s="40" t="n">
        <v>110.1</v>
      </c>
      <c r="O28" s="40" t="n">
        <f aca="false">N28/1.1</f>
        <v>100.090909090909</v>
      </c>
      <c r="P28" s="38"/>
      <c r="Q28" s="38"/>
      <c r="R28" s="40" t="n">
        <f aca="false">IF(COUNT(G28,I28,K28,M28,O28,Q28)=0,"",MIN(G28,I28,K28,M28,O28,Q28))</f>
        <v>68</v>
      </c>
      <c r="S28" s="41" t="n">
        <f aca="false">IF(OR(D28="",R28=""),"",D28/R28-1)</f>
        <v>-0.508676470588235</v>
      </c>
      <c r="T28" s="39" t="s">
        <v>324</v>
      </c>
    </row>
    <row r="29" customFormat="false" ht="82.05" hidden="false" customHeight="false" outlineLevel="0" collapsed="false">
      <c r="A29" s="38" t="s">
        <v>221</v>
      </c>
      <c r="B29" s="38" t="s">
        <v>49</v>
      </c>
      <c r="C29" s="39" t="s">
        <v>50</v>
      </c>
      <c r="D29" s="40" t="n">
        <f aca="false">'RSEA vs Quoted Comparison'!F30</f>
        <v>13.07</v>
      </c>
      <c r="E29" s="40" t="n">
        <f aca="false">'RSEA vs Quoted Comparison'!G30</f>
        <v>14.377</v>
      </c>
      <c r="F29" s="40" t="n">
        <f aca="false">'RSEA vs Quoted Comparison'!D30</f>
        <v>57.99</v>
      </c>
      <c r="G29" s="40" t="n">
        <f aca="false">'RSEA vs Quoted Comparison'!E30</f>
        <v>52.7181818181818</v>
      </c>
      <c r="H29" s="40" t="n">
        <v>34.1</v>
      </c>
      <c r="I29" s="40" t="n">
        <f aca="false">H29/1.1</f>
        <v>31</v>
      </c>
      <c r="J29" s="40" t="n">
        <v>61.04</v>
      </c>
      <c r="K29" s="40" t="n">
        <f aca="false">J29/1.1</f>
        <v>55.4909090909091</v>
      </c>
      <c r="L29" s="40" t="n">
        <v>28</v>
      </c>
      <c r="M29" s="40" t="n">
        <f aca="false">L29/1.1</f>
        <v>25.4545454545455</v>
      </c>
      <c r="N29" s="38"/>
      <c r="O29" s="38"/>
      <c r="P29" s="38"/>
      <c r="Q29" s="38"/>
      <c r="R29" s="40" t="n">
        <f aca="false">IF(COUNT(G29,I29,K29,M29,O29,Q29)=0,"",MIN(G29,I29,K29,M29,O29,Q29))</f>
        <v>25.4545454545455</v>
      </c>
      <c r="S29" s="41" t="n">
        <f aca="false">IF(OR(D29="",R29=""),"",D29/R29-1)</f>
        <v>-0.486535714285714</v>
      </c>
      <c r="T29" s="39" t="s">
        <v>325</v>
      </c>
    </row>
    <row r="30" customFormat="false" ht="95.5" hidden="false" customHeight="false" outlineLevel="0" collapsed="false">
      <c r="A30" s="38" t="s">
        <v>221</v>
      </c>
      <c r="B30" s="38" t="s">
        <v>51</v>
      </c>
      <c r="C30" s="39" t="s">
        <v>52</v>
      </c>
      <c r="D30" s="40" t="n">
        <f aca="false">'RSEA vs Quoted Comparison'!F31</f>
        <v>13.07</v>
      </c>
      <c r="E30" s="40" t="n">
        <f aca="false">'RSEA vs Quoted Comparison'!G31</f>
        <v>14.377</v>
      </c>
      <c r="F30" s="40" t="n">
        <f aca="false">'RSEA vs Quoted Comparison'!D31</f>
        <v>44.99</v>
      </c>
      <c r="G30" s="40" t="n">
        <f aca="false">'RSEA vs Quoted Comparison'!E31</f>
        <v>40.9</v>
      </c>
      <c r="H30" s="40" t="n">
        <v>34.1</v>
      </c>
      <c r="I30" s="40" t="n">
        <f aca="false">H30/1.1</f>
        <v>31</v>
      </c>
      <c r="J30" s="40" t="n">
        <v>47.14</v>
      </c>
      <c r="K30" s="40" t="n">
        <f aca="false">J30/1.1</f>
        <v>42.8545454545455</v>
      </c>
      <c r="L30" s="38"/>
      <c r="M30" s="38"/>
      <c r="N30" s="40" t="n">
        <v>53.22</v>
      </c>
      <c r="O30" s="40" t="n">
        <f aca="false">N30/1.1</f>
        <v>48.3818181818182</v>
      </c>
      <c r="P30" s="38"/>
      <c r="Q30" s="38"/>
      <c r="R30" s="40" t="n">
        <f aca="false">IF(COUNT(G30,I30,K30,M30,O30,Q30)=0,"",MIN(G30,I30,K30,M30,O30,Q30))</f>
        <v>31</v>
      </c>
      <c r="S30" s="41" t="n">
        <f aca="false">IF(OR(D30="",R30=""),"",D30/R30-1)</f>
        <v>-0.578387096774194</v>
      </c>
      <c r="T30" s="39" t="s">
        <v>326</v>
      </c>
    </row>
    <row r="31" customFormat="false" ht="95.5" hidden="false" customHeight="false" outlineLevel="0" collapsed="false">
      <c r="A31" s="38" t="s">
        <v>221</v>
      </c>
      <c r="B31" s="38" t="s">
        <v>53</v>
      </c>
      <c r="C31" s="39" t="s">
        <v>54</v>
      </c>
      <c r="D31" s="40" t="n">
        <f aca="false">'RSEA vs Quoted Comparison'!F32</f>
        <v>16.04</v>
      </c>
      <c r="E31" s="40" t="n">
        <f aca="false">'RSEA vs Quoted Comparison'!G32</f>
        <v>17.644</v>
      </c>
      <c r="F31" s="40" t="n">
        <f aca="false">'RSEA vs Quoted Comparison'!D32</f>
        <v>52.99</v>
      </c>
      <c r="G31" s="40" t="n">
        <f aca="false">'RSEA vs Quoted Comparison'!E32</f>
        <v>48.1727272727273</v>
      </c>
      <c r="H31" s="40" t="n">
        <v>34.1</v>
      </c>
      <c r="I31" s="40" t="n">
        <f aca="false">H31/1.1</f>
        <v>31</v>
      </c>
      <c r="J31" s="40" t="n">
        <v>86.85</v>
      </c>
      <c r="K31" s="40" t="n">
        <f aca="false">J31/1.1</f>
        <v>78.9545454545454</v>
      </c>
      <c r="L31" s="40" t="n">
        <v>51.5</v>
      </c>
      <c r="M31" s="40" t="n">
        <f aca="false">L31/1.1</f>
        <v>46.8181818181818</v>
      </c>
      <c r="N31" s="38"/>
      <c r="O31" s="38"/>
      <c r="P31" s="38"/>
      <c r="Q31" s="38"/>
      <c r="R31" s="40" t="n">
        <f aca="false">IF(COUNT(G31,I31,K31,M31,O31,Q31)=0,"",MIN(G31,I31,K31,M31,O31,Q31))</f>
        <v>31</v>
      </c>
      <c r="S31" s="41" t="n">
        <f aca="false">IF(OR(D31="",R31=""),"",D31/R31-1)</f>
        <v>-0.48258064516129</v>
      </c>
      <c r="T31" s="39" t="s">
        <v>327</v>
      </c>
    </row>
    <row r="32" customFormat="false" ht="95.5" hidden="false" customHeight="false" outlineLevel="0" collapsed="false">
      <c r="A32" s="38" t="s">
        <v>221</v>
      </c>
      <c r="B32" s="38" t="s">
        <v>55</v>
      </c>
      <c r="C32" s="39" t="s">
        <v>56</v>
      </c>
      <c r="D32" s="40" t="n">
        <f aca="false">'RSEA vs Quoted Comparison'!F33</f>
        <v>16.04</v>
      </c>
      <c r="E32" s="40" t="n">
        <f aca="false">'RSEA vs Quoted Comparison'!G33</f>
        <v>17.644</v>
      </c>
      <c r="F32" s="40" t="n">
        <f aca="false">'RSEA vs Quoted Comparison'!D33</f>
        <v>57.99</v>
      </c>
      <c r="G32" s="40" t="n">
        <f aca="false">'RSEA vs Quoted Comparison'!E33</f>
        <v>52.7181818181818</v>
      </c>
      <c r="H32" s="40" t="n">
        <v>34.1</v>
      </c>
      <c r="I32" s="40" t="n">
        <f aca="false">H32/1.1</f>
        <v>31</v>
      </c>
      <c r="J32" s="40" t="n">
        <v>58.84</v>
      </c>
      <c r="K32" s="40" t="n">
        <f aca="false">J32/1.1</f>
        <v>53.4909090909091</v>
      </c>
      <c r="L32" s="38"/>
      <c r="M32" s="38"/>
      <c r="N32" s="40" t="n">
        <v>53.22</v>
      </c>
      <c r="O32" s="40" t="n">
        <f aca="false">N32/1.1</f>
        <v>48.3818181818182</v>
      </c>
      <c r="P32" s="38"/>
      <c r="Q32" s="38"/>
      <c r="R32" s="40" t="n">
        <f aca="false">IF(COUNT(G32,I32,K32,M32,O32,Q32)=0,"",MIN(G32,I32,K32,M32,O32,Q32))</f>
        <v>31</v>
      </c>
      <c r="S32" s="41" t="n">
        <f aca="false">IF(OR(D32="",R32=""),"",D32/R32-1)</f>
        <v>-0.48258064516129</v>
      </c>
      <c r="T32" s="39" t="s">
        <v>328</v>
      </c>
    </row>
    <row r="33" customFormat="false" ht="95.5" hidden="false" customHeight="false" outlineLevel="0" collapsed="false">
      <c r="A33" s="38" t="s">
        <v>221</v>
      </c>
      <c r="B33" s="38" t="s">
        <v>57</v>
      </c>
      <c r="C33" s="39" t="s">
        <v>58</v>
      </c>
      <c r="D33" s="40" t="n">
        <f aca="false">'RSEA vs Quoted Comparison'!F34</f>
        <v>16.04</v>
      </c>
      <c r="E33" s="40" t="n">
        <f aca="false">'RSEA vs Quoted Comparison'!G34</f>
        <v>17.644</v>
      </c>
      <c r="F33" s="40" t="n">
        <f aca="false">'RSEA vs Quoted Comparison'!D34</f>
        <v>57.99</v>
      </c>
      <c r="G33" s="40" t="n">
        <f aca="false">'RSEA vs Quoted Comparison'!E34</f>
        <v>52.7181818181818</v>
      </c>
      <c r="H33" s="40" t="n">
        <v>34.1</v>
      </c>
      <c r="I33" s="40" t="n">
        <f aca="false">H33/1.1</f>
        <v>31</v>
      </c>
      <c r="J33" s="40" t="n">
        <v>60.6</v>
      </c>
      <c r="K33" s="40" t="n">
        <f aca="false">J33/1.1</f>
        <v>55.0909090909091</v>
      </c>
      <c r="L33" s="40" t="n">
        <v>51.5</v>
      </c>
      <c r="M33" s="40" t="n">
        <f aca="false">L33/1.1</f>
        <v>46.8181818181818</v>
      </c>
      <c r="N33" s="40" t="n">
        <v>53.22</v>
      </c>
      <c r="O33" s="40" t="n">
        <f aca="false">N33/1.1</f>
        <v>48.3818181818182</v>
      </c>
      <c r="P33" s="38"/>
      <c r="Q33" s="38"/>
      <c r="R33" s="40" t="n">
        <f aca="false">IF(COUNT(G33,I33,K33,M33,O33,Q33)=0,"",MIN(G33,I33,K33,M33,O33,Q33))</f>
        <v>31</v>
      </c>
      <c r="S33" s="41" t="n">
        <f aca="false">IF(OR(D33="",R33=""),"",D33/R33-1)</f>
        <v>-0.48258064516129</v>
      </c>
      <c r="T33" s="39" t="s">
        <v>329</v>
      </c>
    </row>
    <row r="34" customFormat="false" ht="95.5" hidden="false" customHeight="false" outlineLevel="0" collapsed="false">
      <c r="A34" s="38" t="s">
        <v>221</v>
      </c>
      <c r="B34" s="38" t="s">
        <v>59</v>
      </c>
      <c r="C34" s="39" t="s">
        <v>60</v>
      </c>
      <c r="D34" s="40" t="n">
        <f aca="false">'RSEA vs Quoted Comparison'!F35</f>
        <v>16.04</v>
      </c>
      <c r="E34" s="40" t="n">
        <f aca="false">'RSEA vs Quoted Comparison'!G35</f>
        <v>17.644</v>
      </c>
      <c r="F34" s="40" t="n">
        <f aca="false">'RSEA vs Quoted Comparison'!D35</f>
        <v>57.99</v>
      </c>
      <c r="G34" s="40" t="n">
        <f aca="false">'RSEA vs Quoted Comparison'!E35</f>
        <v>52.7181818181818</v>
      </c>
      <c r="H34" s="40" t="n">
        <v>34.1</v>
      </c>
      <c r="I34" s="40" t="n">
        <f aca="false">H34/1.1</f>
        <v>31</v>
      </c>
      <c r="J34" s="40" t="n">
        <v>59.05</v>
      </c>
      <c r="K34" s="40" t="n">
        <f aca="false">J34/1.1</f>
        <v>53.6818181818182</v>
      </c>
      <c r="L34" s="40" t="n">
        <v>51.5</v>
      </c>
      <c r="M34" s="40" t="n">
        <f aca="false">L34/1.1</f>
        <v>46.8181818181818</v>
      </c>
      <c r="N34" s="40" t="n">
        <v>53.22</v>
      </c>
      <c r="O34" s="40" t="n">
        <f aca="false">N34/1.1</f>
        <v>48.3818181818182</v>
      </c>
      <c r="P34" s="38"/>
      <c r="Q34" s="38"/>
      <c r="R34" s="40" t="n">
        <f aca="false">IF(COUNT(G34,I34,K34,M34,O34,Q34)=0,"",MIN(G34,I34,K34,M34,O34,Q34))</f>
        <v>31</v>
      </c>
      <c r="S34" s="41" t="n">
        <f aca="false">IF(OR(D34="",R34=""),"",D34/R34-1)</f>
        <v>-0.48258064516129</v>
      </c>
      <c r="T34" s="39" t="s">
        <v>330</v>
      </c>
    </row>
    <row r="35" customFormat="false" ht="95.5" hidden="false" customHeight="false" outlineLevel="0" collapsed="false">
      <c r="A35" s="38" t="s">
        <v>221</v>
      </c>
      <c r="B35" s="38" t="s">
        <v>61</v>
      </c>
      <c r="C35" s="39" t="s">
        <v>62</v>
      </c>
      <c r="D35" s="40" t="n">
        <f aca="false">'RSEA vs Quoted Comparison'!F36</f>
        <v>13.07</v>
      </c>
      <c r="E35" s="40" t="n">
        <f aca="false">'RSEA vs Quoted Comparison'!G36</f>
        <v>14.377</v>
      </c>
      <c r="F35" s="40" t="n">
        <f aca="false">'RSEA vs Quoted Comparison'!D36</f>
        <v>57.99</v>
      </c>
      <c r="G35" s="40" t="n">
        <f aca="false">'RSEA vs Quoted Comparison'!E36</f>
        <v>52.7181818181818</v>
      </c>
      <c r="H35" s="40" t="n">
        <v>34.1</v>
      </c>
      <c r="I35" s="40" t="n">
        <f aca="false">H35/1.1</f>
        <v>31</v>
      </c>
      <c r="J35" s="40" t="n">
        <v>73.96</v>
      </c>
      <c r="K35" s="40" t="n">
        <f aca="false">J35/1.1</f>
        <v>67.2363636363636</v>
      </c>
      <c r="L35" s="40" t="n">
        <v>47.5</v>
      </c>
      <c r="M35" s="40" t="n">
        <f aca="false">L35/1.1</f>
        <v>43.1818181818182</v>
      </c>
      <c r="N35" s="40" t="n">
        <v>53.22</v>
      </c>
      <c r="O35" s="40" t="n">
        <f aca="false">N35/1.1</f>
        <v>48.3818181818182</v>
      </c>
      <c r="P35" s="38"/>
      <c r="Q35" s="38"/>
      <c r="R35" s="40" t="n">
        <f aca="false">IF(COUNT(G35,I35,K35,M35,O35,Q35)=0,"",MIN(G35,I35,K35,M35,O35,Q35))</f>
        <v>31</v>
      </c>
      <c r="S35" s="41" t="n">
        <f aca="false">IF(OR(D35="",R35=""),"",D35/R35-1)</f>
        <v>-0.578387096774194</v>
      </c>
      <c r="T35" s="39" t="s">
        <v>331</v>
      </c>
    </row>
    <row r="36" customFormat="false" ht="82.05" hidden="false" customHeight="false" outlineLevel="0" collapsed="false">
      <c r="A36" s="38" t="s">
        <v>221</v>
      </c>
      <c r="B36" s="38" t="s">
        <v>63</v>
      </c>
      <c r="C36" s="39" t="s">
        <v>64</v>
      </c>
      <c r="D36" s="40" t="n">
        <f aca="false">'RSEA vs Quoted Comparison'!F37</f>
        <v>16.04</v>
      </c>
      <c r="E36" s="40" t="n">
        <f aca="false">'RSEA vs Quoted Comparison'!G37</f>
        <v>17.644</v>
      </c>
      <c r="F36" s="40" t="n">
        <f aca="false">'RSEA vs Quoted Comparison'!D37</f>
        <v>59.99</v>
      </c>
      <c r="G36" s="40" t="n">
        <f aca="false">'RSEA vs Quoted Comparison'!E37</f>
        <v>54.5363636363636</v>
      </c>
      <c r="H36" s="40" t="n">
        <v>34.1</v>
      </c>
      <c r="I36" s="40" t="n">
        <f aca="false">H36/1.1</f>
        <v>31</v>
      </c>
      <c r="J36" s="40" t="n">
        <v>61.03</v>
      </c>
      <c r="K36" s="40" t="n">
        <f aca="false">J36/1.1</f>
        <v>55.4818181818182</v>
      </c>
      <c r="L36" s="40" t="n">
        <v>47.5</v>
      </c>
      <c r="M36" s="40" t="n">
        <f aca="false">L36/1.1</f>
        <v>43.1818181818182</v>
      </c>
      <c r="N36" s="38"/>
      <c r="O36" s="38"/>
      <c r="P36" s="38"/>
      <c r="Q36" s="38"/>
      <c r="R36" s="40" t="n">
        <f aca="false">IF(COUNT(G36,I36,K36,M36,O36,Q36)=0,"",MIN(G36,I36,K36,M36,O36,Q36))</f>
        <v>31</v>
      </c>
      <c r="S36" s="41" t="n">
        <f aca="false">IF(OR(D36="",R36=""),"",D36/R36-1)</f>
        <v>-0.48258064516129</v>
      </c>
      <c r="T36" s="39" t="s">
        <v>332</v>
      </c>
    </row>
    <row r="37" customFormat="false" ht="122.35" hidden="false" customHeight="false" outlineLevel="0" collapsed="false">
      <c r="A37" s="38" t="s">
        <v>221</v>
      </c>
      <c r="B37" s="38" t="s">
        <v>65</v>
      </c>
      <c r="C37" s="39" t="s">
        <v>66</v>
      </c>
      <c r="D37" s="40" t="n">
        <f aca="false">'RSEA vs Quoted Comparison'!F38</f>
        <v>13.07</v>
      </c>
      <c r="E37" s="40" t="n">
        <f aca="false">'RSEA vs Quoted Comparison'!G38</f>
        <v>14.377</v>
      </c>
      <c r="F37" s="40" t="n">
        <f aca="false">'RSEA vs Quoted Comparison'!D38</f>
        <v>57.99</v>
      </c>
      <c r="G37" s="40" t="n">
        <f aca="false">'RSEA vs Quoted Comparison'!E38</f>
        <v>52.7181818181818</v>
      </c>
      <c r="H37" s="40" t="n">
        <v>34.1</v>
      </c>
      <c r="I37" s="40" t="n">
        <f aca="false">H37/1.1</f>
        <v>31</v>
      </c>
      <c r="J37" s="40" t="n">
        <v>59.05</v>
      </c>
      <c r="K37" s="40" t="n">
        <f aca="false">J37/1.1</f>
        <v>53.6818181818182</v>
      </c>
      <c r="L37" s="38"/>
      <c r="M37" s="38"/>
      <c r="N37" s="40" t="n">
        <v>53.22</v>
      </c>
      <c r="O37" s="40" t="n">
        <f aca="false">N37/1.1</f>
        <v>48.3818181818182</v>
      </c>
      <c r="P37" s="38"/>
      <c r="Q37" s="38"/>
      <c r="R37" s="40" t="n">
        <f aca="false">IF(COUNT(G37,I37,K37,M37,O37,Q37)=0,"",MIN(G37,I37,K37,M37,O37,Q37))</f>
        <v>31</v>
      </c>
      <c r="S37" s="41" t="n">
        <f aca="false">IF(OR(D37="",R37=""),"",D37/R37-1)</f>
        <v>-0.578387096774194</v>
      </c>
      <c r="T37" s="39" t="s">
        <v>333</v>
      </c>
    </row>
    <row r="38" customFormat="false" ht="95.5" hidden="false" customHeight="false" outlineLevel="0" collapsed="false">
      <c r="A38" s="38" t="s">
        <v>221</v>
      </c>
      <c r="B38" s="38" t="s">
        <v>67</v>
      </c>
      <c r="C38" s="39" t="s">
        <v>68</v>
      </c>
      <c r="D38" s="40" t="n">
        <f aca="false">'RSEA vs Quoted Comparison'!F39</f>
        <v>13.07</v>
      </c>
      <c r="E38" s="40" t="n">
        <f aca="false">'RSEA vs Quoted Comparison'!G39</f>
        <v>14.377</v>
      </c>
      <c r="F38" s="40" t="n">
        <f aca="false">'RSEA vs Quoted Comparison'!D39</f>
        <v>57.99</v>
      </c>
      <c r="G38" s="40" t="n">
        <f aca="false">'RSEA vs Quoted Comparison'!E39</f>
        <v>52.7181818181818</v>
      </c>
      <c r="H38" s="40" t="n">
        <v>34.1</v>
      </c>
      <c r="I38" s="40" t="n">
        <f aca="false">H38/1.1</f>
        <v>31</v>
      </c>
      <c r="J38" s="40" t="n">
        <v>61.04</v>
      </c>
      <c r="K38" s="40" t="n">
        <f aca="false">J38/1.1</f>
        <v>55.4909090909091</v>
      </c>
      <c r="L38" s="38"/>
      <c r="M38" s="38"/>
      <c r="N38" s="40" t="n">
        <v>124.21</v>
      </c>
      <c r="O38" s="40" t="n">
        <f aca="false">N38/1.1</f>
        <v>112.918181818182</v>
      </c>
      <c r="P38" s="38"/>
      <c r="Q38" s="38"/>
      <c r="R38" s="40" t="n">
        <f aca="false">IF(COUNT(G38,I38,K38,M38,O38,Q38)=0,"",MIN(G38,I38,K38,M38,O38,Q38))</f>
        <v>31</v>
      </c>
      <c r="S38" s="41" t="n">
        <f aca="false">IF(OR(D38="",R38=""),"",D38/R38-1)</f>
        <v>-0.578387096774194</v>
      </c>
      <c r="T38" s="39" t="s">
        <v>334</v>
      </c>
    </row>
    <row r="39" customFormat="false" ht="82.05" hidden="false" customHeight="false" outlineLevel="0" collapsed="false">
      <c r="A39" s="38" t="s">
        <v>221</v>
      </c>
      <c r="B39" s="38" t="s">
        <v>69</v>
      </c>
      <c r="C39" s="39" t="s">
        <v>70</v>
      </c>
      <c r="D39" s="40" t="n">
        <f aca="false">'RSEA vs Quoted Comparison'!F40</f>
        <v>13.07</v>
      </c>
      <c r="E39" s="40" t="n">
        <f aca="false">'RSEA vs Quoted Comparison'!G40</f>
        <v>14.377</v>
      </c>
      <c r="F39" s="40" t="n">
        <f aca="false">'RSEA vs Quoted Comparison'!D40</f>
        <v>57.99</v>
      </c>
      <c r="G39" s="40" t="n">
        <f aca="false">'RSEA vs Quoted Comparison'!E40</f>
        <v>52.7181818181818</v>
      </c>
      <c r="H39" s="40" t="n">
        <v>34.1</v>
      </c>
      <c r="I39" s="40" t="n">
        <f aca="false">H39/1.1</f>
        <v>31</v>
      </c>
      <c r="J39" s="40" t="n">
        <v>61.04</v>
      </c>
      <c r="K39" s="40" t="n">
        <f aca="false">J39/1.1</f>
        <v>55.4909090909091</v>
      </c>
      <c r="L39" s="38"/>
      <c r="M39" s="38"/>
      <c r="N39" s="40" t="n">
        <v>124.21</v>
      </c>
      <c r="O39" s="40" t="n">
        <f aca="false">N39/1.1</f>
        <v>112.918181818182</v>
      </c>
      <c r="P39" s="38"/>
      <c r="Q39" s="38"/>
      <c r="R39" s="40" t="n">
        <f aca="false">IF(COUNT(G39,I39,K39,M39,O39,Q39)=0,"",MIN(G39,I39,K39,M39,O39,Q39))</f>
        <v>31</v>
      </c>
      <c r="S39" s="41" t="n">
        <f aca="false">IF(OR(D39="",R39=""),"",D39/R39-1)</f>
        <v>-0.578387096774194</v>
      </c>
      <c r="T39" s="39" t="s">
        <v>335</v>
      </c>
    </row>
    <row r="40" customFormat="false" ht="82.05" hidden="false" customHeight="false" outlineLevel="0" collapsed="false">
      <c r="A40" s="38" t="s">
        <v>221</v>
      </c>
      <c r="B40" s="38" t="s">
        <v>71</v>
      </c>
      <c r="C40" s="39" t="s">
        <v>72</v>
      </c>
      <c r="D40" s="40" t="n">
        <f aca="false">'RSEA vs Quoted Comparison'!F41</f>
        <v>13.07</v>
      </c>
      <c r="E40" s="40" t="n">
        <f aca="false">'RSEA vs Quoted Comparison'!G41</f>
        <v>14.377</v>
      </c>
      <c r="F40" s="40" t="n">
        <f aca="false">'RSEA vs Quoted Comparison'!D41</f>
        <v>57.99</v>
      </c>
      <c r="G40" s="40" t="n">
        <f aca="false">'RSEA vs Quoted Comparison'!E41</f>
        <v>52.7181818181818</v>
      </c>
      <c r="H40" s="40" t="n">
        <v>34.1</v>
      </c>
      <c r="I40" s="40" t="n">
        <f aca="false">H40/1.1</f>
        <v>31</v>
      </c>
      <c r="J40" s="40" t="n">
        <v>59.26</v>
      </c>
      <c r="K40" s="40" t="n">
        <f aca="false">J40/1.1</f>
        <v>53.8727272727273</v>
      </c>
      <c r="L40" s="40" t="n">
        <v>77.95</v>
      </c>
      <c r="M40" s="40" t="n">
        <f aca="false">L40/1.1</f>
        <v>70.8636363636364</v>
      </c>
      <c r="N40" s="40" t="n">
        <v>53.22</v>
      </c>
      <c r="O40" s="40" t="n">
        <f aca="false">N40/1.1</f>
        <v>48.3818181818182</v>
      </c>
      <c r="P40" s="38"/>
      <c r="Q40" s="38"/>
      <c r="R40" s="40" t="n">
        <f aca="false">IF(COUNT(G40,I40,K40,M40,O40,Q40)=0,"",MIN(G40,I40,K40,M40,O40,Q40))</f>
        <v>31</v>
      </c>
      <c r="S40" s="41" t="n">
        <f aca="false">IF(OR(D40="",R40=""),"",D40/R40-1)</f>
        <v>-0.578387096774194</v>
      </c>
      <c r="T40" s="39" t="s">
        <v>336</v>
      </c>
    </row>
    <row r="41" customFormat="false" ht="95.5" hidden="false" customHeight="false" outlineLevel="0" collapsed="false">
      <c r="A41" s="38" t="s">
        <v>221</v>
      </c>
      <c r="B41" s="38" t="s">
        <v>73</v>
      </c>
      <c r="C41" s="39" t="s">
        <v>74</v>
      </c>
      <c r="D41" s="40" t="n">
        <f aca="false">'RSEA vs Quoted Comparison'!F42</f>
        <v>13.07</v>
      </c>
      <c r="E41" s="40" t="n">
        <f aca="false">'RSEA vs Quoted Comparison'!G42</f>
        <v>14.377</v>
      </c>
      <c r="F41" s="40" t="n">
        <f aca="false">'RSEA vs Quoted Comparison'!D42</f>
        <v>57.99</v>
      </c>
      <c r="G41" s="40" t="n">
        <f aca="false">'RSEA vs Quoted Comparison'!E42</f>
        <v>52.7181818181818</v>
      </c>
      <c r="H41" s="40" t="n">
        <v>34.1</v>
      </c>
      <c r="I41" s="40" t="n">
        <f aca="false">H41/1.1</f>
        <v>31</v>
      </c>
      <c r="J41" s="40" t="n">
        <v>59.26</v>
      </c>
      <c r="K41" s="40" t="n">
        <f aca="false">J41/1.1</f>
        <v>53.8727272727273</v>
      </c>
      <c r="L41" s="40" t="n">
        <v>48</v>
      </c>
      <c r="M41" s="40" t="n">
        <f aca="false">L41/1.1</f>
        <v>43.6363636363636</v>
      </c>
      <c r="N41" s="40" t="n">
        <v>53.22</v>
      </c>
      <c r="O41" s="40" t="n">
        <f aca="false">N41/1.1</f>
        <v>48.3818181818182</v>
      </c>
      <c r="P41" s="38"/>
      <c r="Q41" s="38"/>
      <c r="R41" s="40" t="n">
        <f aca="false">IF(COUNT(G41,I41,K41,M41,O41,Q41)=0,"",MIN(G41,I41,K41,M41,O41,Q41))</f>
        <v>31</v>
      </c>
      <c r="S41" s="41" t="n">
        <f aca="false">IF(OR(D41="",R41=""),"",D41/R41-1)</f>
        <v>-0.578387096774194</v>
      </c>
      <c r="T41" s="39" t="s">
        <v>337</v>
      </c>
    </row>
    <row r="42" customFormat="false" ht="55.2" hidden="false" customHeight="false" outlineLevel="0" collapsed="false">
      <c r="A42" s="38" t="s">
        <v>223</v>
      </c>
      <c r="B42" s="38" t="s">
        <v>4</v>
      </c>
      <c r="C42" s="39" t="s">
        <v>5</v>
      </c>
      <c r="D42" s="40" t="n">
        <f aca="false">'RSEA vs Quoted Comparison'!F43</f>
        <v>5.35</v>
      </c>
      <c r="E42" s="40" t="n">
        <f aca="false">'RSEA vs Quoted Comparison'!G43</f>
        <v>5.885</v>
      </c>
      <c r="F42" s="40" t="n">
        <f aca="false">'RSEA vs Quoted Comparison'!D43</f>
        <v>37.99</v>
      </c>
      <c r="G42" s="40" t="n">
        <f aca="false">'RSEA vs Quoted Comparison'!E43</f>
        <v>34.5363636363636</v>
      </c>
      <c r="H42" s="38"/>
      <c r="I42" s="38"/>
      <c r="J42" s="38"/>
      <c r="K42" s="38"/>
      <c r="L42" s="38"/>
      <c r="M42" s="38"/>
      <c r="N42" s="38"/>
      <c r="O42" s="38"/>
      <c r="P42" s="38"/>
      <c r="Q42" s="38"/>
      <c r="R42" s="40" t="n">
        <f aca="false">IF(COUNT(G42,I42,K42,M42,O42,Q42)=0,"",MIN(G42,I42,K42,M42,O42,Q42))</f>
        <v>34.5363636363636</v>
      </c>
      <c r="S42" s="41" t="n">
        <f aca="false">IF(OR(D42="",R42=""),"",D42/R42-1)</f>
        <v>-0.84509081337194</v>
      </c>
      <c r="T42" s="39" t="s">
        <v>338</v>
      </c>
    </row>
    <row r="43" customFormat="false" ht="82.05" hidden="false" customHeight="false" outlineLevel="0" collapsed="false">
      <c r="A43" s="38" t="s">
        <v>223</v>
      </c>
      <c r="B43" s="38" t="s">
        <v>95</v>
      </c>
      <c r="C43" s="39" t="s">
        <v>96</v>
      </c>
      <c r="D43" s="40" t="n">
        <f aca="false">'RSEA vs Quoted Comparison'!F44</f>
        <v>2.67</v>
      </c>
      <c r="E43" s="40" t="n">
        <f aca="false">'RSEA vs Quoted Comparison'!G44</f>
        <v>2.937</v>
      </c>
      <c r="F43" s="40" t="n">
        <f aca="false">'RSEA vs Quoted Comparison'!D44</f>
        <v>24.99</v>
      </c>
      <c r="G43" s="40" t="n">
        <f aca="false">'RSEA vs Quoted Comparison'!E44</f>
        <v>22.7181818181818</v>
      </c>
      <c r="H43" s="38"/>
      <c r="I43" s="38"/>
      <c r="J43" s="40" t="n">
        <v>21.12</v>
      </c>
      <c r="K43" s="40" t="n">
        <f aca="false">J43/1.1</f>
        <v>19.2</v>
      </c>
      <c r="L43" s="38"/>
      <c r="M43" s="38"/>
      <c r="N43" s="40" t="n">
        <v>10.29</v>
      </c>
      <c r="O43" s="40" t="n">
        <f aca="false">N43/1.1</f>
        <v>9.35454545454545</v>
      </c>
      <c r="P43" s="40" t="n">
        <v>32.72</v>
      </c>
      <c r="Q43" s="40" t="n">
        <f aca="false">P43/1.1</f>
        <v>29.7454545454545</v>
      </c>
      <c r="R43" s="40" t="n">
        <f aca="false">IF(COUNT(G43,I43,K43,M43,O43,Q43)=0,"",MIN(G43,I43,K43,M43,O43,Q43))</f>
        <v>9.35454545454545</v>
      </c>
      <c r="S43" s="41" t="n">
        <f aca="false">IF(OR(D43="",R43=""),"",D43/R43-1)</f>
        <v>-0.714577259475219</v>
      </c>
      <c r="T43" s="39" t="s">
        <v>339</v>
      </c>
    </row>
    <row r="44" customFormat="false" ht="95.5" hidden="false" customHeight="false" outlineLevel="0" collapsed="false">
      <c r="A44" s="38" t="s">
        <v>223</v>
      </c>
      <c r="B44" s="38" t="s">
        <v>97</v>
      </c>
      <c r="C44" s="39" t="s">
        <v>98</v>
      </c>
      <c r="D44" s="40" t="n">
        <f aca="false">'RSEA vs Quoted Comparison'!F45</f>
        <v>10.69</v>
      </c>
      <c r="E44" s="40" t="n">
        <f aca="false">'RSEA vs Quoted Comparison'!G45</f>
        <v>11.759</v>
      </c>
      <c r="F44" s="40" t="n">
        <f aca="false">'RSEA vs Quoted Comparison'!D45</f>
        <v>44.99</v>
      </c>
      <c r="G44" s="40" t="n">
        <f aca="false">'RSEA vs Quoted Comparison'!E45</f>
        <v>40.9</v>
      </c>
      <c r="H44" s="40" t="n">
        <v>25.75</v>
      </c>
      <c r="I44" s="40" t="n">
        <f aca="false">H44/1.1</f>
        <v>23.4090909090909</v>
      </c>
      <c r="J44" s="38"/>
      <c r="K44" s="38"/>
      <c r="L44" s="40" t="n">
        <v>26.5</v>
      </c>
      <c r="M44" s="40" t="n">
        <f aca="false">L44/1.1</f>
        <v>24.0909090909091</v>
      </c>
      <c r="N44" s="38"/>
      <c r="O44" s="38"/>
      <c r="P44" s="38"/>
      <c r="Q44" s="38"/>
      <c r="R44" s="40" t="n">
        <f aca="false">IF(COUNT(G44,I44,K44,M44,O44,Q44)=0,"",MIN(G44,I44,K44,M44,O44,Q44))</f>
        <v>23.4090909090909</v>
      </c>
      <c r="S44" s="41" t="n">
        <f aca="false">IF(OR(D44="",R44=""),"",D44/R44-1)</f>
        <v>-0.543339805825243</v>
      </c>
      <c r="T44" s="39" t="s">
        <v>340</v>
      </c>
    </row>
    <row r="45" customFormat="false" ht="55.2" hidden="false" customHeight="false" outlineLevel="0" collapsed="false">
      <c r="A45" s="38" t="s">
        <v>223</v>
      </c>
      <c r="B45" s="38" t="s">
        <v>99</v>
      </c>
      <c r="C45" s="39" t="s">
        <v>100</v>
      </c>
      <c r="D45" s="40" t="n">
        <f aca="false">'RSEA vs Quoted Comparison'!F46</f>
        <v>2.67</v>
      </c>
      <c r="E45" s="40" t="n">
        <f aca="false">'RSEA vs Quoted Comparison'!G46</f>
        <v>2.937</v>
      </c>
      <c r="F45" s="40" t="n">
        <f aca="false">'RSEA vs Quoted Comparison'!D46</f>
        <v>24.99</v>
      </c>
      <c r="G45" s="40" t="n">
        <f aca="false">'RSEA vs Quoted Comparison'!E46</f>
        <v>22.7181818181818</v>
      </c>
      <c r="H45" s="38"/>
      <c r="I45" s="38"/>
      <c r="J45" s="38"/>
      <c r="K45" s="38"/>
      <c r="L45" s="38"/>
      <c r="M45" s="38"/>
      <c r="N45" s="38"/>
      <c r="O45" s="38"/>
      <c r="P45" s="38"/>
      <c r="Q45" s="38"/>
      <c r="R45" s="40" t="n">
        <f aca="false">IF(COUNT(G45,I45,K45,M45,O45,Q45)=0,"",MIN(G45,I45,K45,M45,O45,Q45))</f>
        <v>22.7181818181818</v>
      </c>
      <c r="S45" s="41" t="n">
        <f aca="false">IF(OR(D45="",R45=""),"",D45/R45-1)</f>
        <v>-0.882472989195678</v>
      </c>
      <c r="T45" s="39" t="s">
        <v>338</v>
      </c>
    </row>
    <row r="46" customFormat="false" ht="55.2" hidden="false" customHeight="false" outlineLevel="0" collapsed="false">
      <c r="A46" s="38" t="s">
        <v>223</v>
      </c>
      <c r="B46" s="38" t="s">
        <v>103</v>
      </c>
      <c r="C46" s="39" t="s">
        <v>104</v>
      </c>
      <c r="D46" s="40" t="n">
        <f aca="false">'RSEA vs Quoted Comparison'!F47</f>
        <v>9.5</v>
      </c>
      <c r="E46" s="40" t="n">
        <f aca="false">'RSEA vs Quoted Comparison'!G47</f>
        <v>10.45</v>
      </c>
      <c r="F46" s="40" t="n">
        <f aca="false">'RSEA vs Quoted Comparison'!D47</f>
        <v>44.99</v>
      </c>
      <c r="G46" s="40" t="n">
        <f aca="false">'RSEA vs Quoted Comparison'!E47</f>
        <v>40.9</v>
      </c>
      <c r="H46" s="38"/>
      <c r="I46" s="38"/>
      <c r="J46" s="38"/>
      <c r="K46" s="38"/>
      <c r="L46" s="38"/>
      <c r="M46" s="38"/>
      <c r="N46" s="38"/>
      <c r="O46" s="38"/>
      <c r="P46" s="38"/>
      <c r="Q46" s="38"/>
      <c r="R46" s="40" t="n">
        <f aca="false">IF(COUNT(G46,I46,K46,M46,O46,Q46)=0,"",MIN(G46,I46,K46,M46,O46,Q46))</f>
        <v>40.9</v>
      </c>
      <c r="S46" s="41" t="n">
        <f aca="false">IF(OR(D46="",R46=""),"",D46/R46-1)</f>
        <v>-0.767726161369193</v>
      </c>
      <c r="T46" s="39" t="s">
        <v>338</v>
      </c>
    </row>
    <row r="47" customFormat="false" ht="55.2" hidden="false" customHeight="false" outlineLevel="0" collapsed="false">
      <c r="A47" s="38" t="s">
        <v>223</v>
      </c>
      <c r="B47" s="38" t="s">
        <v>105</v>
      </c>
      <c r="C47" s="39" t="s">
        <v>106</v>
      </c>
      <c r="D47" s="40" t="n">
        <f aca="false">'RSEA vs Quoted Comparison'!F48</f>
        <v>10.69</v>
      </c>
      <c r="E47" s="40" t="n">
        <f aca="false">'RSEA vs Quoted Comparison'!G48</f>
        <v>11.759</v>
      </c>
      <c r="F47" s="40" t="n">
        <f aca="false">'RSEA vs Quoted Comparison'!D48</f>
        <v>44.99</v>
      </c>
      <c r="G47" s="40" t="n">
        <f aca="false">'RSEA vs Quoted Comparison'!E48</f>
        <v>40.9</v>
      </c>
      <c r="H47" s="38"/>
      <c r="I47" s="38"/>
      <c r="J47" s="38"/>
      <c r="K47" s="38"/>
      <c r="L47" s="38"/>
      <c r="M47" s="38"/>
      <c r="N47" s="38"/>
      <c r="O47" s="38"/>
      <c r="P47" s="38"/>
      <c r="Q47" s="38"/>
      <c r="R47" s="40" t="n">
        <f aca="false">IF(COUNT(G47,I47,K47,M47,O47,Q47)=0,"",MIN(G47,I47,K47,M47,O47,Q47))</f>
        <v>40.9</v>
      </c>
      <c r="S47" s="41" t="n">
        <f aca="false">IF(OR(D47="",R47=""),"",D47/R47-1)</f>
        <v>-0.738630806845966</v>
      </c>
      <c r="T47" s="39" t="s">
        <v>338</v>
      </c>
    </row>
    <row r="48" customFormat="false" ht="95.5" hidden="false" customHeight="false" outlineLevel="0" collapsed="false">
      <c r="A48" s="38" t="s">
        <v>223</v>
      </c>
      <c r="B48" s="38" t="s">
        <v>109</v>
      </c>
      <c r="C48" s="39" t="s">
        <v>110</v>
      </c>
      <c r="D48" s="40" t="n">
        <f aca="false">'RSEA vs Quoted Comparison'!F49</f>
        <v>5.35</v>
      </c>
      <c r="E48" s="40" t="n">
        <f aca="false">'RSEA vs Quoted Comparison'!G49</f>
        <v>5.885</v>
      </c>
      <c r="F48" s="40" t="n">
        <f aca="false">'RSEA vs Quoted Comparison'!D49</f>
        <v>32.99</v>
      </c>
      <c r="G48" s="40" t="n">
        <f aca="false">'RSEA vs Quoted Comparison'!E49</f>
        <v>29.9909090909091</v>
      </c>
      <c r="H48" s="40" t="n">
        <v>23</v>
      </c>
      <c r="I48" s="40" t="n">
        <f aca="false">H48/1.1</f>
        <v>20.9090909090909</v>
      </c>
      <c r="J48" s="40" t="n">
        <v>35.73</v>
      </c>
      <c r="K48" s="40" t="n">
        <f aca="false">J48/1.1</f>
        <v>32.4818181818182</v>
      </c>
      <c r="L48" s="40" t="n">
        <v>21.9</v>
      </c>
      <c r="M48" s="40" t="n">
        <f aca="false">L48/1.1</f>
        <v>19.9090909090909</v>
      </c>
      <c r="N48" s="38"/>
      <c r="O48" s="38"/>
      <c r="P48" s="38"/>
      <c r="Q48" s="38"/>
      <c r="R48" s="40" t="n">
        <f aca="false">IF(COUNT(G48,I48,K48,M48,O48,Q48)=0,"",MIN(G48,I48,K48,M48,O48,Q48))</f>
        <v>19.9090909090909</v>
      </c>
      <c r="S48" s="41" t="n">
        <f aca="false">IF(OR(D48="",R48=""),"",D48/R48-1)</f>
        <v>-0.731278538812785</v>
      </c>
      <c r="T48" s="39" t="s">
        <v>341</v>
      </c>
    </row>
    <row r="49" customFormat="false" ht="82.05" hidden="false" customHeight="false" outlineLevel="0" collapsed="false">
      <c r="A49" s="38" t="s">
        <v>223</v>
      </c>
      <c r="B49" s="38" t="s">
        <v>111</v>
      </c>
      <c r="C49" s="39" t="s">
        <v>112</v>
      </c>
      <c r="D49" s="40" t="n">
        <f aca="false">'RSEA vs Quoted Comparison'!F50</f>
        <v>5.35</v>
      </c>
      <c r="E49" s="40" t="n">
        <f aca="false">'RSEA vs Quoted Comparison'!G50</f>
        <v>5.885</v>
      </c>
      <c r="F49" s="40" t="n">
        <f aca="false">'RSEA vs Quoted Comparison'!D50</f>
        <v>49.99</v>
      </c>
      <c r="G49" s="40" t="n">
        <f aca="false">'RSEA vs Quoted Comparison'!E50</f>
        <v>45.4454545454545</v>
      </c>
      <c r="H49" s="40" t="n">
        <v>23</v>
      </c>
      <c r="I49" s="40" t="n">
        <f aca="false">H49/1.1</f>
        <v>20.9090909090909</v>
      </c>
      <c r="J49" s="40" t="n">
        <v>35.01</v>
      </c>
      <c r="K49" s="40" t="n">
        <f aca="false">J49/1.1</f>
        <v>31.8272727272727</v>
      </c>
      <c r="L49" s="40" t="n">
        <v>23</v>
      </c>
      <c r="M49" s="40" t="n">
        <f aca="false">L49/1.1</f>
        <v>20.9090909090909</v>
      </c>
      <c r="N49" s="40" t="n">
        <v>10.29</v>
      </c>
      <c r="O49" s="40" t="n">
        <f aca="false">N49/1.1</f>
        <v>9.35454545454545</v>
      </c>
      <c r="P49" s="38"/>
      <c r="Q49" s="38"/>
      <c r="R49" s="40" t="n">
        <f aca="false">IF(COUNT(G49,I49,K49,M49,O49,Q49)=0,"",MIN(G49,I49,K49,M49,O49,Q49))</f>
        <v>9.35454545454545</v>
      </c>
      <c r="S49" s="41" t="n">
        <f aca="false">IF(OR(D49="",R49=""),"",D49/R49-1)</f>
        <v>-0.428085519922255</v>
      </c>
      <c r="T49" s="39" t="s">
        <v>342</v>
      </c>
    </row>
    <row r="50" customFormat="false" ht="55.2" hidden="false" customHeight="false" outlineLevel="0" collapsed="false">
      <c r="A50" s="38" t="s">
        <v>223</v>
      </c>
      <c r="B50" s="38" t="s">
        <v>115</v>
      </c>
      <c r="C50" s="39" t="s">
        <v>116</v>
      </c>
      <c r="D50" s="40" t="n">
        <f aca="false">'RSEA vs Quoted Comparison'!F51</f>
        <v>2.67</v>
      </c>
      <c r="E50" s="40" t="n">
        <f aca="false">'RSEA vs Quoted Comparison'!G51</f>
        <v>2.937</v>
      </c>
      <c r="F50" s="40" t="n">
        <f aca="false">'RSEA vs Quoted Comparison'!D51</f>
        <v>27.99</v>
      </c>
      <c r="G50" s="40" t="n">
        <f aca="false">'RSEA vs Quoted Comparison'!E51</f>
        <v>25.4454545454545</v>
      </c>
      <c r="H50" s="38"/>
      <c r="I50" s="38"/>
      <c r="J50" s="38"/>
      <c r="K50" s="38"/>
      <c r="L50" s="38"/>
      <c r="M50" s="38"/>
      <c r="N50" s="38"/>
      <c r="O50" s="38"/>
      <c r="P50" s="38"/>
      <c r="Q50" s="38"/>
      <c r="R50" s="40" t="n">
        <f aca="false">IF(COUNT(G50,I50,K50,M50,O50,Q50)=0,"",MIN(G50,I50,K50,M50,O50,Q50))</f>
        <v>25.4454545454545</v>
      </c>
      <c r="S50" s="41" t="n">
        <f aca="false">IF(OR(D50="",R50=""),"",D50/R50-1)</f>
        <v>-0.895069667738478</v>
      </c>
      <c r="T50" s="39" t="s">
        <v>338</v>
      </c>
    </row>
    <row r="51" customFormat="false" ht="55.2" hidden="false" customHeight="false" outlineLevel="0" collapsed="false">
      <c r="A51" s="38" t="s">
        <v>223</v>
      </c>
      <c r="B51" s="38" t="s">
        <v>119</v>
      </c>
      <c r="C51" s="39" t="s">
        <v>120</v>
      </c>
      <c r="D51" s="40" t="n">
        <f aca="false">'RSEA vs Quoted Comparison'!F52</f>
        <v>9.5</v>
      </c>
      <c r="E51" s="40" t="n">
        <f aca="false">'RSEA vs Quoted Comparison'!G52</f>
        <v>10.45</v>
      </c>
      <c r="F51" s="40" t="n">
        <f aca="false">'RSEA vs Quoted Comparison'!D52</f>
        <v>44.99</v>
      </c>
      <c r="G51" s="40" t="n">
        <f aca="false">'RSEA vs Quoted Comparison'!E52</f>
        <v>40.9</v>
      </c>
      <c r="H51" s="38"/>
      <c r="I51" s="38"/>
      <c r="J51" s="38"/>
      <c r="K51" s="38"/>
      <c r="L51" s="38"/>
      <c r="M51" s="38"/>
      <c r="N51" s="38"/>
      <c r="O51" s="38"/>
      <c r="P51" s="38"/>
      <c r="Q51" s="38"/>
      <c r="R51" s="40" t="n">
        <f aca="false">IF(COUNT(G51,I51,K51,M51,O51,Q51)=0,"",MIN(G51,I51,K51,M51,O51,Q51))</f>
        <v>40.9</v>
      </c>
      <c r="S51" s="41" t="n">
        <f aca="false">IF(OR(D51="",R51=""),"",D51/R51-1)</f>
        <v>-0.767726161369193</v>
      </c>
      <c r="T51" s="39" t="s">
        <v>338</v>
      </c>
    </row>
    <row r="52" customFormat="false" ht="108.95" hidden="false" customHeight="false" outlineLevel="0" collapsed="false">
      <c r="A52" s="38" t="s">
        <v>223</v>
      </c>
      <c r="B52" s="38" t="s">
        <v>121</v>
      </c>
      <c r="C52" s="39" t="s">
        <v>122</v>
      </c>
      <c r="D52" s="40" t="n">
        <f aca="false">'RSEA vs Quoted Comparison'!F53</f>
        <v>2</v>
      </c>
      <c r="E52" s="40" t="n">
        <f aca="false">'RSEA vs Quoted Comparison'!G53</f>
        <v>2.2</v>
      </c>
      <c r="F52" s="40" t="n">
        <f aca="false">'RSEA vs Quoted Comparison'!D53</f>
        <v>49.99</v>
      </c>
      <c r="G52" s="40" t="n">
        <f aca="false">'RSEA vs Quoted Comparison'!E53</f>
        <v>45.4454545454545</v>
      </c>
      <c r="H52" s="40" t="n">
        <v>28.5</v>
      </c>
      <c r="I52" s="40" t="n">
        <f aca="false">H52/1.1</f>
        <v>25.9090909090909</v>
      </c>
      <c r="J52" s="40" t="n">
        <v>22.12</v>
      </c>
      <c r="K52" s="40" t="n">
        <f aca="false">J52/1.1</f>
        <v>20.1090909090909</v>
      </c>
      <c r="L52" s="38"/>
      <c r="M52" s="38"/>
      <c r="N52" s="40" t="n">
        <v>10.29</v>
      </c>
      <c r="O52" s="40" t="n">
        <f aca="false">N52/1.1</f>
        <v>9.35454545454545</v>
      </c>
      <c r="P52" s="40" t="n">
        <v>61.33</v>
      </c>
      <c r="Q52" s="40" t="n">
        <f aca="false">P52/1.1</f>
        <v>55.7545454545455</v>
      </c>
      <c r="R52" s="40" t="n">
        <f aca="false">IF(COUNT(G52,I52,K52,M52,O52,Q52)=0,"",MIN(G52,I52,K52,M52,O52,Q52))</f>
        <v>9.35454545454545</v>
      </c>
      <c r="S52" s="41" t="n">
        <f aca="false">IF(OR(D52="",R52=""),"",D52/R52-1)</f>
        <v>-0.78620019436346</v>
      </c>
      <c r="T52" s="39" t="s">
        <v>343</v>
      </c>
    </row>
    <row r="53" customFormat="false" ht="55.2" hidden="false" customHeight="false" outlineLevel="0" collapsed="false">
      <c r="A53" s="38" t="s">
        <v>223</v>
      </c>
      <c r="B53" s="38" t="s">
        <v>123</v>
      </c>
      <c r="C53" s="39" t="s">
        <v>124</v>
      </c>
      <c r="D53" s="40" t="n">
        <f aca="false">'RSEA vs Quoted Comparison'!F54</f>
        <v>2.67</v>
      </c>
      <c r="E53" s="40" t="n">
        <f aca="false">'RSEA vs Quoted Comparison'!G54</f>
        <v>2.937</v>
      </c>
      <c r="F53" s="40" t="n">
        <f aca="false">'RSEA vs Quoted Comparison'!D54</f>
        <v>32.99</v>
      </c>
      <c r="G53" s="40" t="n">
        <f aca="false">'RSEA vs Quoted Comparison'!E54</f>
        <v>29.9909090909091</v>
      </c>
      <c r="H53" s="38"/>
      <c r="I53" s="38"/>
      <c r="J53" s="38"/>
      <c r="K53" s="38"/>
      <c r="L53" s="38"/>
      <c r="M53" s="38"/>
      <c r="N53" s="38"/>
      <c r="O53" s="38"/>
      <c r="P53" s="38"/>
      <c r="Q53" s="38"/>
      <c r="R53" s="40" t="n">
        <f aca="false">IF(COUNT(G53,I53,K53,M53,O53,Q53)=0,"",MIN(G53,I53,K53,M53,O53,Q53))</f>
        <v>29.9909090909091</v>
      </c>
      <c r="S53" s="41" t="n">
        <f aca="false">IF(OR(D53="",R53=""),"",D53/R53-1)</f>
        <v>-0.910973022127918</v>
      </c>
      <c r="T53" s="39" t="s">
        <v>338</v>
      </c>
    </row>
    <row r="54" customFormat="false" ht="55.2" hidden="false" customHeight="false" outlineLevel="0" collapsed="false">
      <c r="A54" s="38" t="s">
        <v>223</v>
      </c>
      <c r="B54" s="38" t="s">
        <v>125</v>
      </c>
      <c r="C54" s="39" t="s">
        <v>126</v>
      </c>
      <c r="D54" s="40" t="n">
        <f aca="false">'RSEA vs Quoted Comparison'!F55</f>
        <v>4.01</v>
      </c>
      <c r="E54" s="40" t="n">
        <f aca="false">'RSEA vs Quoted Comparison'!G55</f>
        <v>4.411</v>
      </c>
      <c r="F54" s="40" t="n">
        <f aca="false">'RSEA vs Quoted Comparison'!D55</f>
        <v>37.99</v>
      </c>
      <c r="G54" s="40" t="n">
        <f aca="false">'RSEA vs Quoted Comparison'!E55</f>
        <v>34.5363636363636</v>
      </c>
      <c r="H54" s="38"/>
      <c r="I54" s="38"/>
      <c r="J54" s="38"/>
      <c r="K54" s="38"/>
      <c r="L54" s="38"/>
      <c r="M54" s="38"/>
      <c r="N54" s="38"/>
      <c r="O54" s="38"/>
      <c r="P54" s="38"/>
      <c r="Q54" s="38"/>
      <c r="R54" s="40" t="n">
        <f aca="false">IF(COUNT(G54,I54,K54,M54,O54,Q54)=0,"",MIN(G54,I54,K54,M54,O54,Q54))</f>
        <v>34.5363636363636</v>
      </c>
      <c r="S54" s="41" t="n">
        <f aca="false">IF(OR(D54="",R54=""),"",D54/R54-1)</f>
        <v>-0.883890497499342</v>
      </c>
      <c r="T54" s="39" t="s">
        <v>338</v>
      </c>
    </row>
    <row r="55" customFormat="false" ht="55.2" hidden="false" customHeight="false" outlineLevel="0" collapsed="false">
      <c r="A55" s="38" t="s">
        <v>223</v>
      </c>
      <c r="B55" s="38" t="s">
        <v>129</v>
      </c>
      <c r="C55" s="39" t="s">
        <v>130</v>
      </c>
      <c r="D55" s="40" t="n">
        <f aca="false">'RSEA vs Quoted Comparison'!F56</f>
        <v>10.69</v>
      </c>
      <c r="E55" s="40" t="n">
        <f aca="false">'RSEA vs Quoted Comparison'!G56</f>
        <v>11.759</v>
      </c>
      <c r="F55" s="40" t="n">
        <f aca="false">'RSEA vs Quoted Comparison'!D56</f>
        <v>37.99</v>
      </c>
      <c r="G55" s="40" t="n">
        <f aca="false">'RSEA vs Quoted Comparison'!E56</f>
        <v>34.5363636363636</v>
      </c>
      <c r="H55" s="38"/>
      <c r="I55" s="38"/>
      <c r="J55" s="38"/>
      <c r="K55" s="38"/>
      <c r="L55" s="38"/>
      <c r="M55" s="38"/>
      <c r="N55" s="38"/>
      <c r="O55" s="38"/>
      <c r="P55" s="38"/>
      <c r="Q55" s="38"/>
      <c r="R55" s="40" t="n">
        <f aca="false">IF(COUNT(G55,I55,K55,M55,O55,Q55)=0,"",MIN(G55,I55,K55,M55,O55,Q55))</f>
        <v>34.5363636363636</v>
      </c>
      <c r="S55" s="41" t="n">
        <f aca="false">IF(OR(D55="",R55=""),"",D55/R55-1)</f>
        <v>-0.690471176625428</v>
      </c>
      <c r="T55" s="39" t="s">
        <v>338</v>
      </c>
    </row>
    <row r="56" customFormat="false" ht="55.2" hidden="false" customHeight="false" outlineLevel="0" collapsed="false">
      <c r="A56" s="38" t="s">
        <v>223</v>
      </c>
      <c r="B56" s="38" t="s">
        <v>133</v>
      </c>
      <c r="C56" s="39" t="s">
        <v>134</v>
      </c>
      <c r="D56" s="40" t="n">
        <f aca="false">'RSEA vs Quoted Comparison'!F57</f>
        <v>10.69</v>
      </c>
      <c r="E56" s="40" t="n">
        <f aca="false">'RSEA vs Quoted Comparison'!G57</f>
        <v>11.759</v>
      </c>
      <c r="F56" s="40" t="n">
        <f aca="false">'RSEA vs Quoted Comparison'!D57</f>
        <v>37.99</v>
      </c>
      <c r="G56" s="40" t="n">
        <f aca="false">'RSEA vs Quoted Comparison'!E57</f>
        <v>34.5363636363636</v>
      </c>
      <c r="H56" s="38"/>
      <c r="I56" s="38"/>
      <c r="J56" s="38"/>
      <c r="K56" s="38"/>
      <c r="L56" s="38"/>
      <c r="M56" s="38"/>
      <c r="N56" s="38"/>
      <c r="O56" s="38"/>
      <c r="P56" s="38"/>
      <c r="Q56" s="38"/>
      <c r="R56" s="40" t="n">
        <f aca="false">IF(COUNT(G56,I56,K56,M56,O56,Q56)=0,"",MIN(G56,I56,K56,M56,O56,Q56))</f>
        <v>34.5363636363636</v>
      </c>
      <c r="S56" s="41" t="n">
        <f aca="false">IF(OR(D56="",R56=""),"",D56/R56-1)</f>
        <v>-0.690471176625428</v>
      </c>
      <c r="T56" s="39" t="s">
        <v>338</v>
      </c>
    </row>
    <row r="57" customFormat="false" ht="55.2" hidden="false" customHeight="false" outlineLevel="0" collapsed="false">
      <c r="A57" s="38" t="s">
        <v>223</v>
      </c>
      <c r="B57" s="38" t="s">
        <v>135</v>
      </c>
      <c r="C57" s="39" t="s">
        <v>136</v>
      </c>
      <c r="D57" s="40" t="n">
        <f aca="false">'RSEA vs Quoted Comparison'!F58</f>
        <v>10.69</v>
      </c>
      <c r="E57" s="40" t="n">
        <f aca="false">'RSEA vs Quoted Comparison'!G58</f>
        <v>11.759</v>
      </c>
      <c r="F57" s="40" t="n">
        <f aca="false">'RSEA vs Quoted Comparison'!D58</f>
        <v>44.99</v>
      </c>
      <c r="G57" s="40" t="n">
        <f aca="false">'RSEA vs Quoted Comparison'!E58</f>
        <v>40.9</v>
      </c>
      <c r="H57" s="38"/>
      <c r="I57" s="38"/>
      <c r="J57" s="38"/>
      <c r="K57" s="38"/>
      <c r="L57" s="38"/>
      <c r="M57" s="38"/>
      <c r="N57" s="38"/>
      <c r="O57" s="38"/>
      <c r="P57" s="38"/>
      <c r="Q57" s="38"/>
      <c r="R57" s="40" t="n">
        <f aca="false">IF(COUNT(G57,I57,K57,M57,O57,Q57)=0,"",MIN(G57,I57,K57,M57,O57,Q57))</f>
        <v>40.9</v>
      </c>
      <c r="S57" s="41" t="n">
        <f aca="false">IF(OR(D57="",R57=""),"",D57/R57-1)</f>
        <v>-0.738630806845966</v>
      </c>
      <c r="T57" s="39" t="s">
        <v>338</v>
      </c>
    </row>
    <row r="58" customFormat="false" ht="55.2" hidden="false" customHeight="false" outlineLevel="0" collapsed="false">
      <c r="A58" s="38" t="s">
        <v>223</v>
      </c>
      <c r="B58" s="38" t="s">
        <v>139</v>
      </c>
      <c r="C58" s="39" t="s">
        <v>140</v>
      </c>
      <c r="D58" s="40" t="n">
        <f aca="false">'RSEA vs Quoted Comparison'!F59</f>
        <v>2.89</v>
      </c>
      <c r="E58" s="40" t="n">
        <f aca="false">'RSEA vs Quoted Comparison'!G59</f>
        <v>3.179</v>
      </c>
      <c r="F58" s="40" t="n">
        <f aca="false">'RSEA vs Quoted Comparison'!D59</f>
        <v>32.99</v>
      </c>
      <c r="G58" s="40" t="n">
        <f aca="false">'RSEA vs Quoted Comparison'!E59</f>
        <v>29.9909090909091</v>
      </c>
      <c r="H58" s="38"/>
      <c r="I58" s="38"/>
      <c r="J58" s="38"/>
      <c r="K58" s="38"/>
      <c r="L58" s="38"/>
      <c r="M58" s="38"/>
      <c r="N58" s="38"/>
      <c r="O58" s="38"/>
      <c r="P58" s="38"/>
      <c r="Q58" s="38"/>
      <c r="R58" s="40" t="n">
        <f aca="false">IF(COUNT(G58,I58,K58,M58,O58,Q58)=0,"",MIN(G58,I58,K58,M58,O58,Q58))</f>
        <v>29.9909090909091</v>
      </c>
      <c r="S58" s="41" t="n">
        <f aca="false">IF(OR(D58="",R58=""),"",D58/R58-1)</f>
        <v>-0.903637465898757</v>
      </c>
      <c r="T58" s="39" t="s">
        <v>338</v>
      </c>
    </row>
    <row r="59" customFormat="false" ht="55.2" hidden="false" customHeight="false" outlineLevel="0" collapsed="false">
      <c r="A59" s="38" t="s">
        <v>223</v>
      </c>
      <c r="B59" s="38" t="s">
        <v>143</v>
      </c>
      <c r="C59" s="39" t="s">
        <v>144</v>
      </c>
      <c r="D59" s="40" t="n">
        <f aca="false">'RSEA vs Quoted Comparison'!F60</f>
        <v>1.94</v>
      </c>
      <c r="E59" s="40" t="n">
        <f aca="false">'RSEA vs Quoted Comparison'!G60</f>
        <v>2.134</v>
      </c>
      <c r="F59" s="40" t="n">
        <f aca="false">'RSEA vs Quoted Comparison'!D60</f>
        <v>49.99</v>
      </c>
      <c r="G59" s="40" t="n">
        <f aca="false">'RSEA vs Quoted Comparison'!E60</f>
        <v>45.4454545454545</v>
      </c>
      <c r="H59" s="38"/>
      <c r="I59" s="38"/>
      <c r="J59" s="38"/>
      <c r="K59" s="38"/>
      <c r="L59" s="38"/>
      <c r="M59" s="38"/>
      <c r="N59" s="38"/>
      <c r="O59" s="38"/>
      <c r="P59" s="38"/>
      <c r="Q59" s="38"/>
      <c r="R59" s="40" t="n">
        <f aca="false">IF(COUNT(G59,I59,K59,M59,O59,Q59)=0,"",MIN(G59,I59,K59,M59,O59,Q59))</f>
        <v>45.4454545454545</v>
      </c>
      <c r="S59" s="41" t="n">
        <f aca="false">IF(OR(D59="",R59=""),"",D59/R59-1)</f>
        <v>-0.957311462292458</v>
      </c>
      <c r="T59" s="39" t="s">
        <v>338</v>
      </c>
    </row>
    <row r="60" customFormat="false" ht="55.2" hidden="false" customHeight="false" outlineLevel="0" collapsed="false">
      <c r="A60" s="38" t="s">
        <v>223</v>
      </c>
      <c r="B60" s="38" t="s">
        <v>149</v>
      </c>
      <c r="C60" s="39" t="s">
        <v>150</v>
      </c>
      <c r="D60" s="40" t="n">
        <f aca="false">'RSEA vs Quoted Comparison'!F61</f>
        <v>10.69</v>
      </c>
      <c r="E60" s="40" t="n">
        <f aca="false">'RSEA vs Quoted Comparison'!G61</f>
        <v>11.759</v>
      </c>
      <c r="F60" s="40" t="n">
        <f aca="false">'RSEA vs Quoted Comparison'!D61</f>
        <v>49.99</v>
      </c>
      <c r="G60" s="40" t="n">
        <f aca="false">'RSEA vs Quoted Comparison'!E61</f>
        <v>45.4454545454545</v>
      </c>
      <c r="H60" s="38"/>
      <c r="I60" s="38"/>
      <c r="J60" s="38"/>
      <c r="K60" s="38"/>
      <c r="L60" s="38"/>
      <c r="M60" s="38"/>
      <c r="N60" s="38"/>
      <c r="O60" s="38"/>
      <c r="P60" s="38"/>
      <c r="Q60" s="38"/>
      <c r="R60" s="40" t="n">
        <f aca="false">IF(COUNT(G60,I60,K60,M60,O60,Q60)=0,"",MIN(G60,I60,K60,M60,O60,Q60))</f>
        <v>45.4454545454545</v>
      </c>
      <c r="S60" s="41" t="n">
        <f aca="false">IF(OR(D60="",R60=""),"",D60/R60-1)</f>
        <v>-0.764772954590918</v>
      </c>
      <c r="T60" s="39" t="s">
        <v>338</v>
      </c>
    </row>
    <row r="61" customFormat="false" ht="55.2" hidden="false" customHeight="false" outlineLevel="0" collapsed="false">
      <c r="A61" s="38" t="s">
        <v>223</v>
      </c>
      <c r="B61" s="38" t="s">
        <v>155</v>
      </c>
      <c r="C61" s="39" t="s">
        <v>156</v>
      </c>
      <c r="D61" s="40" t="n">
        <f aca="false">'RSEA vs Quoted Comparison'!F62</f>
        <v>3.201</v>
      </c>
      <c r="E61" s="40" t="n">
        <f aca="false">'RSEA vs Quoted Comparison'!G62</f>
        <v>3.5211</v>
      </c>
      <c r="F61" s="40" t="n">
        <f aca="false">'RSEA vs Quoted Comparison'!D62</f>
        <v>32.99</v>
      </c>
      <c r="G61" s="40" t="n">
        <f aca="false">'RSEA vs Quoted Comparison'!E62</f>
        <v>29.9909090909091</v>
      </c>
      <c r="H61" s="38"/>
      <c r="I61" s="38"/>
      <c r="J61" s="38"/>
      <c r="K61" s="38"/>
      <c r="L61" s="38"/>
      <c r="M61" s="38"/>
      <c r="N61" s="38"/>
      <c r="O61" s="38"/>
      <c r="P61" s="38"/>
      <c r="Q61" s="38"/>
      <c r="R61" s="40" t="n">
        <f aca="false">IF(COUNT(G61,I61,K61,M61,O61,Q61)=0,"",MIN(G61,I61,K61,M61,O61,Q61))</f>
        <v>29.9909090909091</v>
      </c>
      <c r="S61" s="41" t="n">
        <f aca="false">IF(OR(D61="",R61=""),"",D61/R61-1)</f>
        <v>-0.893267656865717</v>
      </c>
      <c r="T61" s="39" t="s">
        <v>338</v>
      </c>
    </row>
    <row r="62" customFormat="false" ht="55.2" hidden="false" customHeight="false" outlineLevel="0" collapsed="false">
      <c r="A62" s="38" t="s">
        <v>223</v>
      </c>
      <c r="B62" s="38" t="s">
        <v>157</v>
      </c>
      <c r="C62" s="39" t="s">
        <v>158</v>
      </c>
      <c r="D62" s="40" t="n">
        <f aca="false">'RSEA vs Quoted Comparison'!F63</f>
        <v>5.35</v>
      </c>
      <c r="E62" s="40" t="n">
        <f aca="false">'RSEA vs Quoted Comparison'!G63</f>
        <v>5.885</v>
      </c>
      <c r="F62" s="40" t="n">
        <f aca="false">'RSEA vs Quoted Comparison'!D63</f>
        <v>32.99</v>
      </c>
      <c r="G62" s="40" t="n">
        <f aca="false">'RSEA vs Quoted Comparison'!E63</f>
        <v>29.9909090909091</v>
      </c>
      <c r="H62" s="38"/>
      <c r="I62" s="38"/>
      <c r="J62" s="38"/>
      <c r="K62" s="38"/>
      <c r="L62" s="38"/>
      <c r="M62" s="38"/>
      <c r="N62" s="38"/>
      <c r="O62" s="38"/>
      <c r="P62" s="38"/>
      <c r="Q62" s="38"/>
      <c r="R62" s="40" t="n">
        <f aca="false">IF(COUNT(G62,I62,K62,M62,O62,Q62)=0,"",MIN(G62,I62,K62,M62,O62,Q62))</f>
        <v>29.9909090909091</v>
      </c>
      <c r="S62" s="41" t="n">
        <f aca="false">IF(OR(D62="",R62=""),"",D62/R62-1)</f>
        <v>-0.821612609881782</v>
      </c>
      <c r="T62" s="39" t="s">
        <v>338</v>
      </c>
    </row>
    <row r="63" customFormat="false" ht="55.2" hidden="false" customHeight="false" outlineLevel="0" collapsed="false">
      <c r="A63" s="38" t="s">
        <v>223</v>
      </c>
      <c r="B63" s="38" t="s">
        <v>161</v>
      </c>
      <c r="C63" s="39" t="s">
        <v>162</v>
      </c>
      <c r="D63" s="40" t="n">
        <f aca="false">'RSEA vs Quoted Comparison'!F64</f>
        <v>2.67</v>
      </c>
      <c r="E63" s="40" t="n">
        <f aca="false">'RSEA vs Quoted Comparison'!G64</f>
        <v>2.937</v>
      </c>
      <c r="F63" s="40" t="n">
        <f aca="false">'RSEA vs Quoted Comparison'!D64</f>
        <v>32.99</v>
      </c>
      <c r="G63" s="40" t="n">
        <f aca="false">'RSEA vs Quoted Comparison'!E64</f>
        <v>29.9909090909091</v>
      </c>
      <c r="H63" s="38"/>
      <c r="I63" s="38"/>
      <c r="J63" s="38"/>
      <c r="K63" s="38"/>
      <c r="L63" s="38"/>
      <c r="M63" s="38"/>
      <c r="N63" s="38"/>
      <c r="O63" s="38"/>
      <c r="P63" s="38"/>
      <c r="Q63" s="38"/>
      <c r="R63" s="40" t="n">
        <f aca="false">IF(COUNT(G63,I63,K63,M63,O63,Q63)=0,"",MIN(G63,I63,K63,M63,O63,Q63))</f>
        <v>29.9909090909091</v>
      </c>
      <c r="S63" s="41" t="n">
        <f aca="false">IF(OR(D63="",R63=""),"",D63/R63-1)</f>
        <v>-0.910973022127918</v>
      </c>
      <c r="T63" s="39" t="s">
        <v>338</v>
      </c>
    </row>
    <row r="64" customFormat="false" ht="95.5" hidden="false" customHeight="false" outlineLevel="0" collapsed="false">
      <c r="A64" s="38" t="s">
        <v>223</v>
      </c>
      <c r="B64" s="38" t="s">
        <v>163</v>
      </c>
      <c r="C64" s="39" t="s">
        <v>164</v>
      </c>
      <c r="D64" s="40" t="n">
        <f aca="false">'RSEA vs Quoted Comparison'!F65</f>
        <v>10.69</v>
      </c>
      <c r="E64" s="40" t="n">
        <f aca="false">'RSEA vs Quoted Comparison'!G65</f>
        <v>11.759</v>
      </c>
      <c r="F64" s="40" t="n">
        <f aca="false">'RSEA vs Quoted Comparison'!D65</f>
        <v>32.99</v>
      </c>
      <c r="G64" s="40" t="n">
        <f aca="false">'RSEA vs Quoted Comparison'!E65</f>
        <v>29.9909090909091</v>
      </c>
      <c r="H64" s="40" t="n">
        <v>30</v>
      </c>
      <c r="I64" s="40" t="n">
        <f aca="false">H64/1.1</f>
        <v>27.2727272727273</v>
      </c>
      <c r="J64" s="40" t="n">
        <v>33.19</v>
      </c>
      <c r="K64" s="40" t="n">
        <f aca="false">J64/1.1</f>
        <v>30.1727272727273</v>
      </c>
      <c r="L64" s="40" t="n">
        <v>36.5</v>
      </c>
      <c r="M64" s="40" t="n">
        <f aca="false">L64/1.1</f>
        <v>33.1818181818182</v>
      </c>
      <c r="N64" s="40" t="n">
        <v>40.59</v>
      </c>
      <c r="O64" s="40" t="n">
        <f aca="false">N64/1.1</f>
        <v>36.9</v>
      </c>
      <c r="P64" s="40" t="n">
        <v>35.06</v>
      </c>
      <c r="Q64" s="40" t="n">
        <f aca="false">P64/1.1</f>
        <v>31.8727272727273</v>
      </c>
      <c r="R64" s="40" t="n">
        <f aca="false">IF(COUNT(G64,I64,K64,M64,O64,Q64)=0,"",MIN(G64,I64,K64,M64,O64,Q64))</f>
        <v>27.2727272727273</v>
      </c>
      <c r="S64" s="41" t="n">
        <f aca="false">IF(OR(D64="",R64=""),"",D64/R64-1)</f>
        <v>-0.608033333333333</v>
      </c>
      <c r="T64" s="39" t="s">
        <v>344</v>
      </c>
    </row>
    <row r="66" customFormat="false" ht="15" hidden="false" customHeight="false" outlineLevel="0" collapsed="false">
      <c r="A66" s="42" t="s">
        <v>224</v>
      </c>
    </row>
    <row r="67" customFormat="false" ht="15" hidden="false" customHeight="false" outlineLevel="0" collapsed="false">
      <c r="A67" s="31" t="s">
        <v>284</v>
      </c>
      <c r="B67" s="31"/>
      <c r="C67" s="31"/>
      <c r="D67" s="43" t="n">
        <f aca="false">COUNTA(B5:B64)</f>
        <v>60</v>
      </c>
    </row>
    <row r="68" customFormat="false" ht="15" hidden="false" customHeight="false" outlineLevel="0" collapsed="false">
      <c r="A68" s="31" t="s">
        <v>345</v>
      </c>
      <c r="B68" s="31"/>
      <c r="C68" s="31"/>
      <c r="D68" s="43" t="n">
        <f aca="false">COUNT(I5:I64)+COUNT(K5:K64)+COUNT(M5:M64)+COUNT(O5:O64)+COUNT(Q5:Q64)</f>
        <v>135</v>
      </c>
    </row>
    <row r="69" customFormat="false" ht="15" hidden="false" customHeight="false" outlineLevel="0" collapsed="false">
      <c r="A69" s="31" t="s">
        <v>286</v>
      </c>
      <c r="B69" s="31"/>
      <c r="C69" s="31"/>
      <c r="D69" s="43" t="n">
        <f aca="false">COUNTIF(S5:S64,"&lt;0")</f>
        <v>53</v>
      </c>
    </row>
    <row r="70" customFormat="false" ht="15" hidden="false" customHeight="false" outlineLevel="0" collapsed="false">
      <c r="A70" s="31" t="s">
        <v>287</v>
      </c>
      <c r="B70" s="31"/>
      <c r="C70" s="31"/>
      <c r="D70" s="43" t="n">
        <f aca="false">COUNTIF(S5:S64,"&gt;0")</f>
        <v>7</v>
      </c>
    </row>
    <row r="71" customFormat="false" ht="15" hidden="false" customHeight="false" outlineLevel="0" collapsed="false">
      <c r="A71" s="31" t="s">
        <v>288</v>
      </c>
      <c r="B71" s="31"/>
      <c r="C71" s="31"/>
      <c r="D71" s="44" t="n">
        <f aca="false">AVERAGE(S5:S64)</f>
        <v>-0.519185577856903</v>
      </c>
    </row>
    <row r="72" customFormat="false" ht="15" hidden="false" customHeight="false" outlineLevel="0" collapsed="false">
      <c r="A72" s="31" t="s">
        <v>289</v>
      </c>
      <c r="B72" s="31"/>
      <c r="C72" s="31"/>
      <c r="D72" s="44" t="n">
        <f aca="false">MEDIAN(S5:S64)</f>
        <v>-0.578387096774194</v>
      </c>
    </row>
  </sheetData>
  <mergeCells count="9">
    <mergeCell ref="A1:T1"/>
    <mergeCell ref="A2:T2"/>
    <mergeCell ref="A3:T3"/>
    <mergeCell ref="A67:C67"/>
    <mergeCell ref="A68:C68"/>
    <mergeCell ref="A69:C69"/>
    <mergeCell ref="A70:C70"/>
    <mergeCell ref="A71:C71"/>
    <mergeCell ref="A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2026-10-14T03:37:31Z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