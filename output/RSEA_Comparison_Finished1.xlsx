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RSEA Safety Signs" sheetId="1" state="visible" r:id="rId3"/>
    <sheet name="Notes" sheetId="2" state="visible" r:id="rId4"/>
    <sheet name="1.6 AL ON WEBSITE" sheetId="3" state="visible" r:id="rId5"/>
    <sheet name="CORFLUTE 6MM ON WEBSITE" sheetId="4" state="visible" r:id="rId6"/>
    <sheet name="POLY ON WEBSITE" sheetId="5" state="visible" r:id="rId7"/>
    <sheet name="RSEA vs Quoted Comparison" sheetId="6" state="visible" r:id="rId8"/>
    <sheet name="Market Comparis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<sst xmlns="http://schemas.openxmlformats.org/spreadsheetml/2006/main" count="1342" uniqueCount="310">
  <si>
    <t xml:space="preserve">RSEA Code</t>
  </si>
  <si>
    <t xml:space="preserve">Product / Sign</t>
  </si>
  <si>
    <t xml:space="preserve">Price (AUD inc GST)</t>
  </si>
  <si>
    <t xml:space="preserve">Source</t>
  </si>
  <si>
    <t xml:space="preserve">1046218</t>
  </si>
  <si>
    <t xml:space="preserve">Security Notice This Area Is Under 24 Hours W'Picto Poly 450x300 SW023LSP</t>
  </si>
  <si>
    <t xml:space="preserve">https://www.rsea.com.au/road-safety/road-safety-signage</t>
  </si>
  <si>
    <t xml:space="preserve">114090</t>
  </si>
  <si>
    <t xml:space="preserve">Security Sign This Area Is Under 24 Hour Surv Metal 450x300 SW023LSM</t>
  </si>
  <si>
    <t xml:space="preserve">201032</t>
  </si>
  <si>
    <t xml:space="preserve">Uniform Safety Flat Plate Swing Stand Reduce Speed Metal SG519-ALUM</t>
  </si>
  <si>
    <t xml:space="preserve">201033</t>
  </si>
  <si>
    <t xml:space="preserve">Unifrom Safety Sign Flate Plat Swing Stand End Roadwork Metal SG501-ALUM</t>
  </si>
  <si>
    <t xml:space="preserve">60268</t>
  </si>
  <si>
    <t xml:space="preserve">Stop 600mm Octagonal Metal Traffic Sign R1-1A-1X</t>
  </si>
  <si>
    <t xml:space="preserve">60273</t>
  </si>
  <si>
    <t xml:space="preserve">Give Way 750mm Triangle Metal Traffic Sign R1-2A</t>
  </si>
  <si>
    <t xml:space="preserve">60290</t>
  </si>
  <si>
    <t xml:space="preserve">Keep Left Arrow 450x600mm Metal Traffic Sign R2-3AL</t>
  </si>
  <si>
    <t xml:space="preserve">60314</t>
  </si>
  <si>
    <t xml:space="preserve">Lime Green Pedestrian Crossing Sign 600mm</t>
  </si>
  <si>
    <t xml:space="preserve">60495</t>
  </si>
  <si>
    <t xml:space="preserve">Multi-Message 1200x900mm Standard Black Frame MMF</t>
  </si>
  <si>
    <t xml:space="preserve">60496</t>
  </si>
  <si>
    <t xml:space="preserve">Bi-Pod Folding Legs (Pair) FBL1 MMBL</t>
  </si>
  <si>
    <t xml:space="preserve">60515</t>
  </si>
  <si>
    <t xml:space="preserve">Sign Post Wizard Socket 400-450mm</t>
  </si>
  <si>
    <t xml:space="preserve">60520</t>
  </si>
  <si>
    <t xml:space="preserve">De Neefe Sign Post Gibb Key - PW-GIB-KEY RK</t>
  </si>
  <si>
    <t xml:space="preserve">60523</t>
  </si>
  <si>
    <t xml:space="preserve">DeNeefe Sign Post TD1 Bracket BR-46-A</t>
  </si>
  <si>
    <t xml:space="preserve">60781</t>
  </si>
  <si>
    <t xml:space="preserve">On Side Road 1200x300mm Multi-Message Sign CT284-37-12X3</t>
  </si>
  <si>
    <t xml:space="preserve">60791</t>
  </si>
  <si>
    <t xml:space="preserve">Speed 50km 600x600mm Multi-Message Sign CT284-50kh</t>
  </si>
  <si>
    <t xml:space="preserve">60795</t>
  </si>
  <si>
    <t xml:space="preserve">End Road Work 600x600mm Multi-Message Sign CT284-29H</t>
  </si>
  <si>
    <t xml:space="preserve">60799</t>
  </si>
  <si>
    <t xml:space="preserve">Pedestrians Watch Your Step 600 x 600mm Multi-Message Sign</t>
  </si>
  <si>
    <t xml:space="preserve">60821</t>
  </si>
  <si>
    <t xml:space="preserve">Pedestrians Watch Your Step 900x600mm Boxed Edge Sign T8-1A</t>
  </si>
  <si>
    <t xml:space="preserve">60823</t>
  </si>
  <si>
    <t xml:space="preserve">Pedestrians Right Arrow 1200x300mm Boxed Edge Sign T8-2AR</t>
  </si>
  <si>
    <t xml:space="preserve">60825</t>
  </si>
  <si>
    <t xml:space="preserve">Pedestrians Left Arrow 1200x300mm Boxed Edge Sign T8-2AL</t>
  </si>
  <si>
    <t xml:space="preserve">60827</t>
  </si>
  <si>
    <t xml:space="preserve">Use Other Footpath 900x600mm Boxed Edge Sign T8-3A</t>
  </si>
  <si>
    <t xml:space="preserve">60831</t>
  </si>
  <si>
    <t xml:space="preserve">Symbolic Truck 600x600mm Multi-Message Sign CT284-T2-25LH</t>
  </si>
  <si>
    <t xml:space="preserve">60837</t>
  </si>
  <si>
    <t xml:space="preserve">6mm Corflute- 1200x300mm Class 1 Reflective On Side Road (B/Y)</t>
  </si>
  <si>
    <t xml:space="preserve">60846</t>
  </si>
  <si>
    <t xml:space="preserve">UNISAF Corflute Multi Message Sign Blank Yellow T9-91</t>
  </si>
  <si>
    <t xml:space="preserve">60877</t>
  </si>
  <si>
    <t xml:space="preserve">Symbolic Worker 600x600mm Multi-Message Sign CT284-40FR</t>
  </si>
  <si>
    <t xml:space="preserve">60885</t>
  </si>
  <si>
    <t xml:space="preserve">Speed 60km 600x600mm Multi-Message Sign TC210</t>
  </si>
  <si>
    <t xml:space="preserve">60886</t>
  </si>
  <si>
    <t xml:space="preserve">Speed 40km 600x600mm Multi-Message Sign CT284-24H</t>
  </si>
  <si>
    <t xml:space="preserve">60887</t>
  </si>
  <si>
    <t xml:space="preserve">Prepare To Stop 1200x300mm Multi-Message Sign CT284-15H</t>
  </si>
  <si>
    <t xml:space="preserve">60895</t>
  </si>
  <si>
    <t xml:space="preserve">Roadwork Ahead 1200x300mm Multi-Message Sign TC221</t>
  </si>
  <si>
    <t xml:space="preserve">60896</t>
  </si>
  <si>
    <t xml:space="preserve">Drive Safety 1200x300mm Multi-Message Sign CT284-18H</t>
  </si>
  <si>
    <t xml:space="preserve">60898</t>
  </si>
  <si>
    <t xml:space="preserve">Road Closed 1200x300mm Multi-Message Sign CT284-49H</t>
  </si>
  <si>
    <t xml:space="preserve">60991</t>
  </si>
  <si>
    <t xml:space="preserve">Detour Left Arrow 1200x300mm Multi-Message Sign TC230</t>
  </si>
  <si>
    <t xml:space="preserve">60992</t>
  </si>
  <si>
    <t xml:space="preserve">Detour Right Arrow 1200x300mm Multi-Message Sign TC231</t>
  </si>
  <si>
    <t xml:space="preserve">61021</t>
  </si>
  <si>
    <t xml:space="preserve">Pedestrians Right Arrow 1200x300mm Multi-Message Sign CT284-T8-2R38</t>
  </si>
  <si>
    <t xml:space="preserve">61022</t>
  </si>
  <si>
    <t xml:space="preserve">Pedestrians Left Arrow 1200x300mm Multi-Message Sign CT284-T8-2L38</t>
  </si>
  <si>
    <t xml:space="preserve">61027</t>
  </si>
  <si>
    <t xml:space="preserve">Footpath Closed 900x600mm Boxed Edge Sign T-FPATHCL</t>
  </si>
  <si>
    <t xml:space="preserve">61038</t>
  </si>
  <si>
    <t xml:space="preserve">Symbolic Worker 600x600mm Flat Plate Swing Sign SS6060-WM-FLDN</t>
  </si>
  <si>
    <t xml:space="preserve">61041</t>
  </si>
  <si>
    <t xml:space="preserve">Regulatory Sign Speed Restriction 10km 450x600mm Metal</t>
  </si>
  <si>
    <t xml:space="preserve">61138</t>
  </si>
  <si>
    <t xml:space="preserve">Regulatory Sign No Entry Metal 450x450 R2-4A-1</t>
  </si>
  <si>
    <t xml:space="preserve">61347</t>
  </si>
  <si>
    <t xml:space="preserve">Symbolic Worker 900x600mm Boxed Edge Sign T1-5A</t>
  </si>
  <si>
    <t xml:space="preserve">61413</t>
  </si>
  <si>
    <t xml:space="preserve">Sign Swing Stand 900x600mm SS9060</t>
  </si>
  <si>
    <t xml:space="preserve">61436</t>
  </si>
  <si>
    <t xml:space="preserve">Sign Swing Stand 600x600mm SS6060</t>
  </si>
  <si>
    <t xml:space="preserve">61469</t>
  </si>
  <si>
    <t xml:space="preserve">Use Other Footpath 600x600mm Multi-Message Sign TC55 T9-24</t>
  </si>
  <si>
    <t xml:space="preserve">61877</t>
  </si>
  <si>
    <t xml:space="preserve">Symbolic Lollipop Man 600x600mm Multi-Message Sign CT284-T1-200-DG</t>
  </si>
  <si>
    <t xml:space="preserve">674865</t>
  </si>
  <si>
    <t xml:space="preserve">Hazchem Sticker Flammable Liquid 3 Each Sticker 100sq 860059 HLL103A</t>
  </si>
  <si>
    <t xml:space="preserve">685029</t>
  </si>
  <si>
    <t xml:space="preserve">103MP 14M-LP Sign Eye Protection Must Be Worn Poly 300x225</t>
  </si>
  <si>
    <t xml:space="preserve">685151</t>
  </si>
  <si>
    <t xml:space="preserve">Building Site Sign All Visitors Must Report To Site Office Poly 600x450 116LP</t>
  </si>
  <si>
    <t xml:space="preserve">685177</t>
  </si>
  <si>
    <t xml:space="preserve">204MP 55D-LP Sign Danger No Smoking No Naked Flame Poly 300x225</t>
  </si>
  <si>
    <t xml:space="preserve">685224</t>
  </si>
  <si>
    <t xml:space="preserve">216MM 25D-LM Sign Danger Forklift Operating Area Metal 300x225</t>
  </si>
  <si>
    <t xml:space="preserve">685231</t>
  </si>
  <si>
    <t xml:space="preserve">217LP 127D-NP Sign Danger Construction Site Do Not Enter Poly 600x400</t>
  </si>
  <si>
    <t xml:space="preserve">685255</t>
  </si>
  <si>
    <t xml:space="preserve">Danger Sign Demolition Work In Progress Poly 600x450 223LP</t>
  </si>
  <si>
    <t xml:space="preserve">685264</t>
  </si>
  <si>
    <t xml:space="preserve">Danger Confined Space Entry By Permit Metal Sign 450x300mm</t>
  </si>
  <si>
    <t xml:space="preserve">685265</t>
  </si>
  <si>
    <t xml:space="preserve">225LSP 96D-MP Sign Danger Confined Space Entry By Permit Poly 450x300</t>
  </si>
  <si>
    <t xml:space="preserve">685612</t>
  </si>
  <si>
    <t xml:space="preserve">501LSP 20E-MP 835331 Sign First Aid Poly 450x300</t>
  </si>
  <si>
    <t xml:space="preserve">685619</t>
  </si>
  <si>
    <t xml:space="preserve">First Aid Triangular Off Wall Sign 225 x 225</t>
  </si>
  <si>
    <t xml:space="preserve">685622</t>
  </si>
  <si>
    <t xml:space="preserve">502MP 75E-LP Sign First Aid Station Poly 300x225</t>
  </si>
  <si>
    <t xml:space="preserve">685642</t>
  </si>
  <si>
    <t xml:space="preserve">First Aid Emergency Eye Wash Metal Sign 300x225mm 506MM</t>
  </si>
  <si>
    <t xml:space="preserve">685659</t>
  </si>
  <si>
    <t xml:space="preserve">509LP 88E-NP Sign Emergency Assembly AREA Poly 600x400</t>
  </si>
  <si>
    <t xml:space="preserve">685727</t>
  </si>
  <si>
    <t xml:space="preserve">Fire Equipment Sign Fire Extinguisher Off The Wall Poly 225x225 705OWP</t>
  </si>
  <si>
    <t xml:space="preserve">685735</t>
  </si>
  <si>
    <t xml:space="preserve">707MP 57E-LP Sign Fire Hose Reel &amp; Picto Poly 300x225</t>
  </si>
  <si>
    <t xml:space="preserve">685925</t>
  </si>
  <si>
    <t xml:space="preserve">952OLP 293-KP Sign Arrow Poly 450x200</t>
  </si>
  <si>
    <t xml:space="preserve">685976</t>
  </si>
  <si>
    <t xml:space="preserve">Speed 5km 600x400mm Metal Traffic Sign TC409LM</t>
  </si>
  <si>
    <t xml:space="preserve">685977</t>
  </si>
  <si>
    <t xml:space="preserve">Traffic Sign 5kph Speed Limit Poly 600x450 TC409LP</t>
  </si>
  <si>
    <t xml:space="preserve">685980</t>
  </si>
  <si>
    <t xml:space="preserve">Speed 10km 600x400mm Metal Traffic Sign TC410LM</t>
  </si>
  <si>
    <t xml:space="preserve">686007</t>
  </si>
  <si>
    <t xml:space="preserve">Traffic Sign Beware Pedestrians Poly 600x450 TC418LP</t>
  </si>
  <si>
    <t xml:space="preserve">686173</t>
  </si>
  <si>
    <t xml:space="preserve">425LP 67P-NP Sign Warning Authorised Personnel Poly 600x450</t>
  </si>
  <si>
    <t xml:space="preserve">686188</t>
  </si>
  <si>
    <t xml:space="preserve">Disabled Parking 450x300mm Metal Traffic Sign TC420LSM</t>
  </si>
  <si>
    <t xml:space="preserve">686245</t>
  </si>
  <si>
    <t xml:space="preserve">HLTM108P H8-XP 835630 Hazchem Corrosive 8 Poly 270x270</t>
  </si>
  <si>
    <t xml:space="preserve">686503</t>
  </si>
  <si>
    <t xml:space="preserve">Traffic Sign No Parking Metal 600x450 TC426LM</t>
  </si>
  <si>
    <t xml:space="preserve">686553</t>
  </si>
  <si>
    <t xml:space="preserve">Exit &amp; Evacuation Sign Exit Luminous Poly Lum 350x140 601OLUP</t>
  </si>
  <si>
    <t xml:space="preserve">686671</t>
  </si>
  <si>
    <t xml:space="preserve">Uniform Safety Double Sided Brackets Silver for Galvanised Poles DSB</t>
  </si>
  <si>
    <t xml:space="preserve">686829</t>
  </si>
  <si>
    <t xml:space="preserve">No Standing Anytime Double Arrow Symbolic Metal 300 x 450mm</t>
  </si>
  <si>
    <t xml:space="preserve">712169</t>
  </si>
  <si>
    <t xml:space="preserve">Danger Workers Above Poly Sign 600x450mm</t>
  </si>
  <si>
    <t xml:space="preserve">712752</t>
  </si>
  <si>
    <t xml:space="preserve">840307 TC426LSM Sign No Parking Metal 450x300</t>
  </si>
  <si>
    <t xml:space="preserve">713252</t>
  </si>
  <si>
    <t xml:space="preserve">841090 415MM 112P-LM Sign Prohibition No Smoking In This Area Metal 300x225</t>
  </si>
  <si>
    <t xml:space="preserve">715740</t>
  </si>
  <si>
    <t xml:space="preserve">432MP 840223 153P-LP Sign Prohibition No Pedestrian Access Poly 300x225</t>
  </si>
  <si>
    <t xml:space="preserve">715804</t>
  </si>
  <si>
    <t xml:space="preserve">General Sign Lunch Room Poly 450x300 944LSP</t>
  </si>
  <si>
    <t xml:space="preserve">716586</t>
  </si>
  <si>
    <t xml:space="preserve">832221 892LSM Restricted Area Auth Personnel Only Metal 450x300</t>
  </si>
  <si>
    <t xml:space="preserve">717991</t>
  </si>
  <si>
    <t xml:space="preserve">Danger Sign Flammable Material Storage Area Poly 300x225 256MP</t>
  </si>
  <si>
    <t xml:space="preserve">869094</t>
  </si>
  <si>
    <t xml:space="preserve">Danger Sign Overhead Power Lines Corflute 600x450 265LC</t>
  </si>
  <si>
    <t xml:space="preserve">869123</t>
  </si>
  <si>
    <t xml:space="preserve">Door Signs Site Office Poly 450x300 953LSP</t>
  </si>
  <si>
    <t xml:space="preserve">869206</t>
  </si>
  <si>
    <t xml:space="preserve">Regulatory Sign Speed 5km CL1 Aluminium 600x450 TC409C1</t>
  </si>
  <si>
    <t xml:space="preserve">869260</t>
  </si>
  <si>
    <t xml:space="preserve">Danger Sign Construction Site Builder Reg Corflute 600x450 874LC</t>
  </si>
  <si>
    <t xml:space="preserve">869327</t>
  </si>
  <si>
    <t xml:space="preserve">Security Sign Elec Surveillance Protects Property SW022LSM Metal450x300</t>
  </si>
  <si>
    <t xml:space="preserve">Reverse Parking Only 450x300mm Metal Traffic Sign TC454LSM</t>
  </si>
  <si>
    <t xml:space="preserve">869668</t>
  </si>
  <si>
    <t xml:space="preserve">Traffic Sign 20kmh Speed Limit CL1 Aluminium 600x450mm TC462C1</t>
  </si>
  <si>
    <t xml:space="preserve">869714</t>
  </si>
  <si>
    <t xml:space="preserve">Pedestrians Watch Your Step 900x600mm Flat Plate Sign SG503-ALUM</t>
  </si>
  <si>
    <t xml:space="preserve">869716</t>
  </si>
  <si>
    <t xml:space="preserve">Symbolic Worker 900x600mm Flat Plate Sign SG516-ALUM</t>
  </si>
  <si>
    <t xml:space="preserve">869718</t>
  </si>
  <si>
    <t xml:space="preserve">Use Other Footpath 900x600mm Flat Plate Sign SG504-ALUM</t>
  </si>
  <si>
    <t xml:space="preserve">869719</t>
  </si>
  <si>
    <t xml:space="preserve">UNISAF Flat Plate suite Swing Stand - Pedestrians Right Arrow 900x600 - SG515-ALUM</t>
  </si>
  <si>
    <t xml:space="preserve">869720</t>
  </si>
  <si>
    <t xml:space="preserve">UNISAF Flat Plate suit Swing Stand Pedestrians Left Arrow 900x600mm - SG514-ALUM</t>
  </si>
  <si>
    <t xml:space="preserve">869721</t>
  </si>
  <si>
    <t xml:space="preserve">Symbolic Chevron 600x600mm Flat Plate Sign SG210-ALUM</t>
  </si>
  <si>
    <t xml:space="preserve">RSEA Road Safety Signage</t>
  </si>
  <si>
    <t xml:space="preserve">Catalogue extract</t>
  </si>
  <si>
    <t xml:space="preserve">Captured</t>
  </si>
  <si>
    <t xml:space="preserve">8 September 2026</t>
  </si>
  <si>
    <t xml:space="preserve">Note</t>
  </si>
  <si>
    <t xml:space="preserve">Prices shown are displayed RSEA prices including GST and may change.</t>
  </si>
  <si>
    <t xml:space="preserve">Site/Warehouse safety sign </t>
  </si>
  <si>
    <t xml:space="preserve">Traffic control temp signage assuming this is 900x600 no sizes provided, more used for gardnening or side road works. Swing stand holes required </t>
  </si>
  <si>
    <t xml:space="preserve">Traffic signage, STOP sign, only sold in one size at RSEA, comes in 3 different standard sizes. </t>
  </si>
  <si>
    <t xml:space="preserve">Traffic signage, GIVE WAY sign, only sold in one size at RSEA comes in 4 different standard sizes</t>
  </si>
  <si>
    <t xml:space="preserve">Traffic signage, KEEP LEFT sign, only sold in one size at RSEA, comes in 3 different standard sizes </t>
  </si>
  <si>
    <t xml:space="preserve">Traffic signage, PEDESTRIAN CROSSING sign, only sold in one size at RSEA, comes in 3 standard sizes. </t>
  </si>
  <si>
    <t xml:space="preserve">Traffic signage, 10KM SPEED sign, only sold in one size at RSEA. Comes in 4 standard sizes </t>
  </si>
  <si>
    <t xml:space="preserve">Traffic signage, NO ENTRY sign, only one size sold at RSEA. Comes in 5 standard sizes.</t>
  </si>
  <si>
    <t xml:space="preserve">Site/Warehouse safety sign - Not to spec to be a traffic sign, incorrect sizes, used for warehouses or entrances into warehouse parking.</t>
  </si>
  <si>
    <t xml:space="preserve">Private car park signage</t>
  </si>
  <si>
    <t xml:space="preserve">Site/warehouse/office space signage </t>
  </si>
  <si>
    <t xml:space="preserve">Traffic signage, 5KM SPEED sign, RSEA stock one size comes in 4 standard sizes</t>
  </si>
  <si>
    <t xml:space="preserve">Traffic signage, 20KM SPEED sign, RSEA stock one size comes in 4 standard sizes</t>
  </si>
  <si>
    <t xml:space="preserve">assuming 600x600? $13.07</t>
  </si>
  <si>
    <t xml:space="preserve">QOUTED ALL ON NON REFLECTIVE 2105, NO INFO ONLINE REGARDING REFLECTIVITY. </t>
  </si>
  <si>
    <t xml:space="preserve">RSEA Website Prices vs Our Quoted Prices</t>
  </si>
  <si>
    <t xml:space="preserve">Methodology: RSEA's website prices (Tab "RSEA Safety Signs") are displayed INCLUDING GST (per the Notes tab). Our quoted prices in Tabs 3-5 are EX GST trade quotes. To compare on a like-for-like basis, RSEA's price is also shown ex GST (÷1.1) alongside an inc-GST version of our quote (×1.1), so both an ex-GST and an inc-GST comparison are available.</t>
  </si>
  <si>
    <t xml:space="preserve">Source data captured 8 September 2026 from rsea.com.au/road-safety/road-safety-signage (per Notes tab). Re-verified live against rsea.com.au on 8 October 2026 for all 60 quoted items below — all 60 matched the live website price exactly, no changes found.</t>
  </si>
  <si>
    <t xml:space="preserve">Category</t>
  </si>
  <si>
    <t xml:space="preserve">RSEA Website Price
(inc GST)</t>
  </si>
  <si>
    <t xml:space="preserve">RSEA Website Price
(ex GST)</t>
  </si>
  <si>
    <t xml:space="preserve">Our Quoted Price
(ex GST)</t>
  </si>
  <si>
    <t xml:space="preserve">Our Quoted Price
(inc GST)</t>
  </si>
  <si>
    <t xml:space="preserve">Our Quoted Price - 1220 Stock
(ex GST)</t>
  </si>
  <si>
    <t xml:space="preserve">Our Quoted Price - 1220 Stock
(inc GST)</t>
  </si>
  <si>
    <t xml:space="preserve">Difference, ex GST
(RSEA − Ours)</t>
  </si>
  <si>
    <t xml:space="preserve">RSEA Price as %
above Our Quote</t>
  </si>
  <si>
    <t xml:space="preserve">Notes</t>
  </si>
  <si>
    <t xml:space="preserve">1.6mm Aluminium</t>
  </si>
  <si>
    <t xml:space="preserve">6mm Corflute</t>
  </si>
  <si>
    <t xml:space="preserve">Source tab D2 held text "assuming 600x600? $13.07" - CONFIRMED 8 Oct 2026: RSEA's own product page lists this item as 600x600mm Corflute, so Jess's size assumption was correct ($13.07 used as the quote).</t>
  </si>
  <si>
    <t xml:space="preserve">Poly</t>
  </si>
  <si>
    <t xml:space="preserve">Summary</t>
  </si>
  <si>
    <t xml:space="preserve">Items compared</t>
  </si>
  <si>
    <t xml:space="preserve">Items where RSEA is more expensive than our quote (ex GST)</t>
  </si>
  <si>
    <t xml:space="preserve">Items where our quote is more expensive than RSEA (ex GST)</t>
  </si>
  <si>
    <t xml:space="preserve">Average RSEA price vs our quote (ex GST)</t>
  </si>
  <si>
    <t xml:space="preserve">Median RSEA price vs our quote (ex GST) — less skewed by outliers</t>
  </si>
  <si>
    <t xml:space="preserve">Market-Wide Price Comparison — Our Pricing, RSEA &amp; 9 Retailers (All GST Bases Confirmed)</t>
  </si>
  <si>
    <t xml:space="preserve">Methodology: all 9 retailers' GST treatment is now confirmed (4 stated it directly on-site; the remaining 5 — Safety Signs Australia, SafetyXpress, Traffic Control Products, National Safety Signs, Seton — were confirmed by direct check). Safety Signs Australia, SafetyXpress, National Safety Signs and Seton display prices INC GST; Traffic Control Products displays EX GST; HiVis displays EX GST; Jaybro and eSafety Supplies display both inc and ex GST directly; All Trades Group marks its prices "Tax included" (INC GST). Every price below is shown both ex and inc GST, with whichever figure is NOT the retailer's own displayed figure calculated (×1.1 or ÷1.1). Our Quoted Price (both 1200- and 1220-stock) and the RSEA Website Price are pulled by formula from the 'RSEA vs Quoted Comparison' tab; competitor figures were captured live from each retailer's own website on 14 October 2026 and are hardcoded (not formulas) since they come from outside this workbook.</t>
  </si>
  <si>
    <t xml:space="preserve">Where a retailer did not carry the exact size/material of our line item, the closest equivalent sign TYPE was used instead and the mismatch is flagged in the Notes column — treat those rows as directionally indicative, not an exact apples-to-apples match. "N/A" means that retailer does not appear to carry a comparable product (confirmed via the research, not a blank/forgotten cell). Seton additionally blocked direct automated access (403/bot protection) during research, so its prices were recovered from search-engine cache only and are flagged LOW CONFIDENCE in the Notes column — that is a data-reliability flag, separate from its (confirmed) GST treatment. Sources: hivis.com/collections/signage · jaybro.com.au/road-traffic/permanent-signs/regulatory-signs/ · alltradesgroup.net.au/collections/site-safety-signage-roads-traffic-signs · esafetysupplies.com.au/collections/traffic-road-safety-sign · safetysigns.com.au/collections/road-car-park-signs · safetyxpress.com.au/traffic-signs/ · trafficcontrolproducts.com.au/collections/road-signs-traffic · nationalsafetysigns.com.au/product-category/road-and-traffic-signs/road-signs/ · seton.net.au. Captured 14 October 2026.</t>
  </si>
  <si>
    <t xml:space="preserve">HiVis
(ex GST, as shown)</t>
  </si>
  <si>
    <t xml:space="preserve">HiVis
(inc GST, calc.)</t>
  </si>
  <si>
    <t xml:space="preserve">Jaybro
(inc GST, as shown)</t>
  </si>
  <si>
    <t xml:space="preserve">Jaybro
(ex GST, as shown)</t>
  </si>
  <si>
    <t xml:space="preserve">All Trades Group
(inc GST, as shown)</t>
  </si>
  <si>
    <t xml:space="preserve">All Trades Group
(ex GST, calc.)</t>
  </si>
  <si>
    <t xml:space="preserve">eSafety Supplies
(inc GST, as shown)</t>
  </si>
  <si>
    <t xml:space="preserve">eSafety Supplies
(ex GST, as shown)</t>
  </si>
  <si>
    <t xml:space="preserve">Safety Signs Australia
(inc GST, as shown)</t>
  </si>
  <si>
    <t xml:space="preserve">Safety Signs Australia
(ex GST, calc.)</t>
  </si>
  <si>
    <t xml:space="preserve">SafetyXpress
(inc GST, as shown)</t>
  </si>
  <si>
    <t xml:space="preserve">SafetyXpress
(ex GST, calc.)</t>
  </si>
  <si>
    <t xml:space="preserve">Traffic Control Products
(ex GST, as shown)</t>
  </si>
  <si>
    <t xml:space="preserve">Traffic Control Products
(inc GST, calc.)</t>
  </si>
  <si>
    <t xml:space="preserve">National Safety Signs
(inc GST, as shown)</t>
  </si>
  <si>
    <t xml:space="preserve">National Safety Signs
(ex GST, calc.)</t>
  </si>
  <si>
    <t xml:space="preserve">Seton
(inc GST, as shown)</t>
  </si>
  <si>
    <t xml:space="preserve">Seton
(ex GST, calc.)</t>
  </si>
  <si>
    <t xml:space="preserve">Cheapest of RSEA +
9 Competitors (ex GST)</t>
  </si>
  <si>
    <t xml:space="preserve">Our Quote (1200 Stock)
vs Cheapest (ex GST;
neg. = we're cheaper)</t>
  </si>
  <si>
    <t xml:space="preserve">Our Quote (1220 Stock)
vs Cheapest (ex GST;
neg. = we're cheaper)</t>
  </si>
  <si>
    <t xml:space="preserve">Notes / Match Basis</t>
  </si>
  <si>
    <t xml:space="preserve">N/A</t>
  </si>
  <si>
    <t xml:space="preserve">All Trades Group: 300x225 poly or 600x450; no exact 450x300 | eSafety Supplies: 600x450 also stocked | Safety Signs Australia: 450x600, size differs | SafetyXpress: 3 sizes incl 300x450 | National Safety Signs: From, S2870 | Seton: LOW conf; 'Video Surveillance In Use', 300-450mm range</t>
  </si>
  <si>
    <t xml:space="preserve">Swing-stand temporary traffic-control sign - no comparable product found at any of the 9 researched retailers.</t>
  </si>
  <si>
    <t xml:space="preserve">HiVis: 600x600/750x750/900x900 options | Jaybro: 600x600 exact | All Trades Group: 600mm (450/600/750 avail) | eSafety Supplies: 600x600 exact | Safety Signs Australia: 600x600 Class1 refl alu | SafetyXpress: range 84.67-127.50, midpoint used | Traffic Control Products: 600x600 'Hexagonal' CL1X (alt 750x750=$75) | National Safety Signs: From, 600x600 or 750x750 | Seton: LOW conf - conflicting cache (also 183.95/169.50)</t>
  </si>
  <si>
    <t xml:space="preserve">HiVis: 750/900/1200mm | Jaybro: 750x750 exact | All Trades Group: 750mm triangular | eSafety Supplies: 750mm triangle | Safety Signs Australia: 750mm | SafetyXpress: 750mm | Traffic Control Products: 750mm | National Safety Signs: From, 750 or 900mm | Seton: LOW conf - 6-pack bulk tier price, single-unit unconfirmed</t>
  </si>
  <si>
    <t xml:space="preserve">HiVis: 300x400/450x600/600x800 | Jaybro: 450x600 exact | All Trades Group: 600x450mm | eSafety Supplies: 450x600 exact, sale price (was 86.65) | Safety Signs Australia: 450x600 | SafetyXpress: 450x600 | Traffic Control Products: 450x600 | National Safety Signs: From, 400x300/600x450/800x600 | Seton: MEDIUM conf, 450x600</t>
  </si>
  <si>
    <t xml:space="preserve">HiVis: 600/750/900mm | Jaybro: 600mm exact | All Trades Group: 600x600 or 750x750 (W6-1, size differs from 600mm round) | eSafety Supplies: 600mm exact | Safety Signs Australia: 600mm dia | SafetyXpress: 600mm dia | Traffic Control Products: 600mm dia | National Safety Signs: From, 600 or 750mm round | Seton: MEDIUM conf, 600mm dia</t>
  </si>
  <si>
    <t xml:space="preserve">HiVis: 10km/h, 450x600/600x800/900x1200 | Jaybro: 10km/h, 450x600 exact | All Trades Group: 10km/h, 300x225 or 600x450 | eSafety Supplies: 10km/h, 450x600 exact | Safety Signs Australia: 10km/h, 450x600 | SafetyXpress: 10km/h, upper of 25.64-31.19 range, 450x600 | Traffic Control Products: Not stocked - site only has 40-100km/h plates | National Safety Signs: From; custom-text R4-1 sign, speed typed in, shared across all speed rows | Seton: LOW conf, ~42-46 range, 450x600 Flute not alu</t>
  </si>
  <si>
    <t xml:space="preserve">HiVis: 450x750, size differs from 450x450 | Jaybro: 450x450 exact | All Trades Group: 600x450, size differs | eSafety Supplies: 450x450 exact | Safety Signs Australia: 450x450 exact | SafetyXpress: range 72.28-80.84, 450x450 exact | Traffic Control Products: 450x750, size differs | National Safety Signs: From, 450x450 avail | Seton: MEDIUM conf, 750x750 (not 450x450)</t>
  </si>
  <si>
    <t xml:space="preserve">Generic site/warehouse danger sign - no comparable product found at any of the 9 researched retailers (out of scope: these retailers focus on road/traffic signage).</t>
  </si>
  <si>
    <t xml:space="preserve">No metal-sign equivalent found at the 9 researched retailers for this specific size/material. See RSEA 685265 (Poly, Confined Space Entry By Permit) below for comparable market data.</t>
  </si>
  <si>
    <t xml:space="preserve">Generic site/warehouse safety sign - no comparable product found at any of the 9 researched retailers.</t>
  </si>
  <si>
    <t xml:space="preserve">eSafety Supplies: 5km/h, 450x600 (combined with item 16), not 600x400 | Safety Signs Australia: 5km/h, 450x600, not 600x400 | SafetyXpress: 5km/h plain metal, 450x600 | Traffic Control Products: Not stocked | National Safety Signs: From; shared custom-text speed sign | Seton: Not confirmed</t>
  </si>
  <si>
    <t xml:space="preserve">HiVis: 10km/h SKU reused, size differs (600x800 etc not 600x400) | All Trades Group: 10km/h SKU reused, size differs | eSafety Supplies: 10km/h, 450x600 (combined with item 5), not 600x400 | Safety Signs Australia: 10km/h SKU reused, size differs | SafetyXpress: 10km/h, size differs | Traffic Control Products: Not stocked | National Safety Signs: From; shared custom-text speed sign</t>
  </si>
  <si>
    <t xml:space="preserve">HiVis: 225x450, size differs from 450x300 | Jaybro: 225x450, size differs | All Trades Group: 300x225, size differs | eSafety Supplies: 225x450, closest size | Safety Signs Australia: 300x450, size differs | SafetyXpress: 300x450, size differs | Traffic Control Products: Not found | National Safety Signs: From | Seton: From, inc GST, 300x450</t>
  </si>
  <si>
    <t xml:space="preserve">HiVis: 225x450, much smaller than 600x450 target | Jaybro: 225x450, size differs | All Trades Group: 225x450, size differs | eSafety Supplies: 300x450 shown / 600x450 also stocked | Safety Signs Australia: Not found - only 300x450 exists | SafetyXpress: 600x450 variant, exact size | Traffic Control Products: Only directional-arrow variants stocked | National Safety Signs: From, generic RD124</t>
  </si>
  <si>
    <t xml:space="preserve">Jaybro: 225x450, size differs from 300x450 | All Trades Group: 'No Stopping' dual arrow closest wording, 225x450 | eSafety Supplies: 300x450 exact | Safety Signs Australia: 300x450 exact | SafetyXpress: 300x450 exact (upper of range) | Traffic Control Products: Not found | National Safety Signs: From, 'Bi-Directional' closest to double arrow | Seton: LOW conf - promo pricing, 300x450 exact</t>
  </si>
  <si>
    <t xml:space="preserve">HiVis: 225x450, close to 450x300 | Jaybro: 225x450, close | All Trades Group: 225x450, same SKU as 686503 | eSafety Supplies: 300x450, close | Safety Signs Australia: 300x450, close | SafetyXpress: 300x450, close | Traffic Control Products: Not found | National Safety Signs: From, shared with 686503</t>
  </si>
  <si>
    <t xml:space="preserve">Jaybro: Found differently-worded 'No Entry Authorised Prohibition' 600x450 $39.58inc/$35.98ex - size differs, see notes | All Trades Group: 450x300 exact size option available | eSafety Supplies: 300x450, 600x450 also stocked | Safety Signs Australia: 450x600, size differs | SafetyXpress: range 33.19-35.73, no exact 450x300 | Traffic Control Products: 450x300 exact, poly | National Safety Signs: From, R2543 'Restricted Area Do Not Enter'</t>
  </si>
  <si>
    <t xml:space="preserve">869339</t>
  </si>
  <si>
    <t xml:space="preserve">Jaybro: Not found | All Trades Group: 450x300 exact size option | eSafety Supplies: 300x450, 3mm ACP | Safety Signs Australia: 300x450, close | SafetyXpress: 300x450, close | Traffic Control Products: Not found | National Safety Signs: From | Seton: From, inc GST, 300x450</t>
  </si>
  <si>
    <t xml:space="preserve">HiVis: Not stocked (no 5km/h plate) | Jaybro: Not found separately | All Trades Group: Generic 5km/h reused, CL1 reflective not confirmed | eSafety Supplies: 5km/h, confirmed '1.6mm aluminium Class1 reflective' - good match | Safety Signs Australia: Generic 5km/h reused, size/spec differs | SafetyXpress: CL1/400 reflective alu, 450x600 - good match | Traffic Control Products: Not stocked | National Safety Signs: From; shared custom-text speed sign</t>
  </si>
  <si>
    <t xml:space="preserve">HiVis: 20km/h, SKU reused across speeds | Jaybro: 20km/h, 450x600 exact | All Trades Group: 20km/h, 600x450 dedicated item | eSafety Supplies: 20km/h, 450x600 dedicated item | Safety Signs Australia: 20km/h, 450x600 | SafetyXpress: CL1/400 reflective, range 98.07-130.08, midpoint | Traffic Control Products: Not stocked | National Safety Signs: From; shared custom-text speed sign</t>
  </si>
  <si>
    <t xml:space="preserve">HiVis: 1800x600, Boxed Edge STEEL not corflute - material/size differ | Jaybro: Not found (only POA corflute detour sign on site) | All Trades Group: Only $199.50 swing-stand version, not flat panel | eSafety Supplies: Not found | Safety Signs Australia: 300x1200, 6mm Corflute Class1 - exact match | SafetyXpress: 1200x300 corflute - good match | Traffic Control Products: 1200x300 corflute, SOLD OUT at capture | National Safety Signs: Not found</t>
  </si>
  <si>
    <t xml:space="preserve">eSafety Supplies: Not found | Safety Signs Australia: 600x600, 6mm Corflute Class1 - exact match (confirms Jess's size assumption) | SafetyXpress: range 30.24-64.03 incl 600x600 | Traffic Control Products: Not found separately | National Safety Signs: From, was 70.65, 600x600 MM981, yellow colour not confirmed</t>
  </si>
  <si>
    <t xml:space="preserve">HiVis: 1200x900, Boxed Edge STEEL 'Workmen Ahead Digger Man' not corflute | All Trades Group: Only swing-stand version exists | Safety Signs Australia: 600x600, 'Workmen' closest wording, 6mm Corflute | SafetyXpress: range 58.84-114.86 incl 600x600 | Traffic Control Products: 600x600, 'Digger Workman' corflute MMS - good match | National Safety Signs: Not found (closest is different boxed-edge sign)</t>
  </si>
  <si>
    <t xml:space="preserve">HiVis: 900x1200, Boxed Edge STEEL '40,60km/h Roadwork' not corflute | Safety Signs Australia: 600x600, '60 KM' 6mm Corflute - exact match | SafetyXpress: 600x600 corflute - exact match | Traffic Control Products: Not found (TCP only has 40/END40, no plain 60) | National Safety Signs: From, was 70.65, MM916 '60 kph' 600x600</t>
  </si>
  <si>
    <t xml:space="preserve">HiVis: 900x1200, Boxed Edge STEEL, same SKU as 60km item | Safety Signs Australia: 600x600, '40 KM' 6mm Corflute - exact match | SafetyXpress: 600x600 corflute - exact match | Traffic Control Products: 600x600, '40 (Speed)' corflute MMS - exact match | National Safety Signs: From, was 70.65, MM915 '40 kph' 600x600</t>
  </si>
  <si>
    <t xml:space="preserve">HiVis: From; 900x600/1200x900, Boxed Edge STEEL not corflute | Safety Signs Australia: 300x1200, 6mm Corflute - exact size &amp; material | SafetyXpress: range 58.84-59.26, 600x600 or 1200x300 corflute | Traffic Control Products: 600x600, 'PTS' corflute MMS, size differs from 1200x300 | National Safety Signs: From, was 70.65, MM914, 600x600, size differs</t>
  </si>
  <si>
    <t xml:space="preserve">HiVis: From; 1800x600/2400x900, Boxed Edge STEEL not corflute | All Trades Group: 600x600, confirmed 6mm corflute, size differs from 1200x300 | Safety Signs Australia: 300x1200, 6mm Corflute - exact match | SafetyXpress: range 57.75-90.17 incl 1200x300 | Traffic Control Products: 1200x300, corflute MMS reflective - exact match | National Safety Signs: From, was 70.65, MM920, 600x600, size differs</t>
  </si>
  <si>
    <t xml:space="preserve">Safety Signs Australia: 300x1200, 6mm Corflute - exact match | SafetyXpress: 1200x300 corflute - exact match | Traffic Control Products: 1200x300, 'White on Blue' corflute MMS - exact match | National Safety Signs: Not found</t>
  </si>
  <si>
    <t xml:space="preserve">HiVis: 1800x300, Boxed Edge STEEL not corflute | Safety Signs Australia: 300x1200, 6mm Corflute - exact match | SafetyXpress: range 58.84-59.26, 600x600 or 1200x300 corflute | Traffic Control Products: Not found (TCP has 900x600/1200x900/1800x300/600x600, none at 1200x300 corflute) | National Safety Signs: From, was 70.65, MM901, 600x600, '1.6mm alu OR 6mm corflute' choice, size differs</t>
  </si>
  <si>
    <t xml:space="preserve">HiVis: From; 1200x300/1800x450, material likely alu/boxed-edge not corflute | All Trades Group: 1200x300 Class1, 'boxed edge' material not confirmed as corflute | Safety Signs Australia: 300x1200, 6mm Corflute - exact match | SafetyXpress: 1200x300 corflute - exact match | Traffic Control Products: Only alu Boxed Edge ~$109.65, not corflute | National Safety Signs: INC GST; T5-1BL boxed-edge ALU not corflute, ~900x600 size differs</t>
  </si>
  <si>
    <t xml:space="preserve">HiVis: From; same as left-arrow SKU | All Trades Group: same note as detour left | Safety Signs Australia: 300x1200, 6mm Corflute - exact match | SafetyXpress: 1200x300 corflute - exact match | Traffic Control Products: Only alu Boxed Edge ~$109.65, not corflute | National Safety Signs: INC GST; T5-1BR boxed-edge ALU not corflute</t>
  </si>
  <si>
    <t xml:space="preserve">HiVis: 1200x300, 3mm aluminium Class400, not corflute but same size | eSafety Supplies: 1200x300, steel 3M Class1, NOT corflute | Safety Signs Australia: 300x1200, 6mm Corflute - exact match | SafetyXpress: 1200x300 MMS board, corflute | Traffic Control Products: 1200x300, Boxed Edge, NOT corflute | National Safety Signs: From, was 70.65, MM905 right variant, 600x600, size differs</t>
  </si>
  <si>
    <t xml:space="preserve">HiVis: 1200x300, 3mm aluminium Class400, not corflute but same size | eSafety Supplies: 1200x300, steel 3M Class1, NOT corflute | Safety Signs Australia: 300x1200, 6mm Corflute - exact match | SafetyXpress: 1200x300 MMS board, corflute | Traffic Control Products: 1200x300 corflute, SOLD OUT at capture | National Safety Signs: From, was 70.65, MM905 left variant, 600x600, size differs</t>
  </si>
  <si>
    <t xml:space="preserve">No comparable product found at any of the 9 researched retailers - likely generic site-safety signage outside their core road/traffic-sign range.</t>
  </si>
  <si>
    <t xml:space="preserve">Jaybro: 300x225 exact | All Trades Group: two fetches disagreed (42.50 vs 28.30); 300x225/450x300/600x450 avail | eSafety Supplies: 300x450, closest size | Safety Signs Australia: Not found - no exact wording/size/material match | SafetyXpress: 225x300, close | Traffic Control Products: Not found | National Safety Signs: From, M1890 | Seton: LOW conf, bulk tier range 31.16-34.28, 300x225 poly</t>
  </si>
  <si>
    <t xml:space="preserve">Jaybro: 600x450 exact | All Trades Group: 600x450 exact | eSafety Supplies: 600x450 exact | Safety Signs Australia: 18.00(corflute)/33.50(metal) avg, 450x600 size differs slightly | SafetyXpress: Not found - only differently-worded 'Construction Site Office' sign | Traffic Control Products: 600x450 exact, poly | National Safety Signs: Not found (only differently-worded 'All Vehicles Report')</t>
  </si>
  <si>
    <t xml:space="preserve">Jaybro: wording lacks 'By Permit' | Safety Signs Australia: 300x450 poly, size differs slightly, wording lacks 'By Permit' | SafetyXpress: 225x300 or 450x600, no exact 450x300, 'By Permit Only' wording exact | Traffic Control Products: 300x225 metal not poly, size differs, 'By Permit Only' wording exact | National Safety Signs: Not found</t>
  </si>
  <si>
    <t xml:space="preserve">Jaybro: 225x300, size differs from 450x300 | All Trades Group: 450x300 exact size | eSafety Supplies: 300x450, size differs slightly, polypropylene | Safety Signs Australia: 300x450 poly, size differs slightly | SafetyXpress: range 25.15-44.87 incl 300x450 | Traffic Control Products: 19.50/26.50 two sizes (300x225/450x600), no exact 450x300 | National Safety Signs: From, E1217</t>
  </si>
  <si>
    <t xml:space="preserve">Jaybro: 150x150, size differs from 225x225 | All Trades Group: 150x225, size differs | eSafety Supplies: 300x450, closest, '600x450 also stocked' | Safety Signs Australia: 225x225 poly EXACT, double-sided | SafetyXpress: range 21.11-23.12, 225x300 size differs slightly | Traffic Control Products: Only physical extinguisher unit stocked, not a wall sign | National Safety Signs: From, F1411, 225x225 not confirmed | Seton: MEDIUM conf, 225x225 poly EXACT, inc GST (55.75 ex)</t>
  </si>
  <si>
    <t xml:space="preserve">All Trades Group: 900x600 corflute, size differs (larger) | Safety Signs Australia: 450x600 poly EXACT | SafetyXpress: 450x600 metal EXACT size, material differs | Traffic Control Products: 600x450, 'Danger Crane Working Overhead' - different wording, poly | National Safety Signs: From, D10279 | Seton: LOW conf, bulk tier range 33.21-36.91, 600x450 Flute</t>
  </si>
  <si>
    <t xml:space="preserve">Items compared (60 total line items)</t>
  </si>
  <si>
    <t xml:space="preserve">Total numeric price points captured across these 9 retailers (ex GST columns)</t>
  </si>
  <si>
    <t xml:space="preserve">Items where our 1200-Stock quote is cheaper than the cheapest of RSEA/competitors</t>
  </si>
  <si>
    <t xml:space="preserve">Items where RSEA or a competitor undercuts our 1200-Stock quote</t>
  </si>
  <si>
    <t xml:space="preserve">Average of (our 1200-Stock quote ÷ cheapest − 1), ex GST — negative means our quote is cheaper</t>
  </si>
  <si>
    <t xml:space="preserve">Median of (our 1200-Stock quote ÷ cheapest − 1), ex GST — negative means our quote is cheaper</t>
  </si>
  <si>
    <t xml:space="preserve">Items where our 1220-Stock quote is cheaper than the cheapest of RSEA/competitors</t>
  </si>
  <si>
    <t xml:space="preserve">Items where RSEA or a competitor undercuts our 1220-Stock quote</t>
  </si>
  <si>
    <t xml:space="preserve">Average of (our 1220-Stock quote ÷ cheapest − 1), ex GST — negative means our quote is cheaper</t>
  </si>
  <si>
    <t xml:space="preserve">Median of (our 1220-Stock quote ÷ cheapest − 1), ex GST — negative means our quote is cheaper</t>
  </si>
</sst>
</file>

<file path=xl/styles.xml><?xml version="1.0" encoding="utf-8"?>
<styleSheet xmlns="http://schemas.openxmlformats.org/spreadsheetml/2006/main">
  <numFmts count="6">
    <numFmt numFmtId="164" formatCode="General"/>
    <numFmt numFmtId="165" formatCode="\$#,##0.00"/>
    <numFmt numFmtId="166" formatCode="\$#,##0.00_);[RED]&quot;($&quot;#,##0.00\)"/>
    <numFmt numFmtId="167" formatCode="0.0000"/>
    <numFmt numFmtId="168" formatCode="0.0%"/>
    <numFmt numFmtId="169" formatCode="0"/>
  </numFmts>
  <fonts count="19">
    <font>
      <sz val="11"/>
      <name val="Calibri"/>
      <family val="0"/>
      <charset val="1"/>
    </font>
    <font>
      <sz val="10"/>
      <name val="Arial"/>
      <family val="0"/>
    </font>
    <font>
      <sz val="10"/>
      <name val="Arial"/>
      <family val="0"/>
    </font>
    <font>
      <sz val="10"/>
      <name val="Arial"/>
      <family val="0"/>
    </font>
    <font>
      <b val="true"/>
      <sz val="11"/>
      <color rgb="FFFFFFFF"/>
      <name val="Calibri"/>
      <family val="2"/>
      <charset val="1"/>
    </font>
    <font>
      <sz val="11"/>
      <color theme="1"/>
      <name val="Calibri"/>
      <family val="2"/>
      <charset val="1"/>
    </font>
    <font>
      <sz val="12"/>
      <color theme="1"/>
      <name val="Calibri"/>
      <family val="2"/>
      <charset val="1"/>
    </font>
    <font>
      <b val="true"/>
      <sz val="11"/>
      <color rgb="FF000000"/>
      <name val="Calibri"/>
      <family val="2"/>
      <charset val="1"/>
    </font>
    <font>
      <b val="true"/>
      <sz val="14"/>
      <color rgb="FF17365D"/>
      <name val="Calibri"/>
      <family val="2"/>
      <charset val="1"/>
    </font>
    <font>
      <i val="true"/>
      <sz val="10"/>
      <color rgb="FF595959"/>
      <name val="Calibri"/>
      <family val="2"/>
      <charset val="1"/>
    </font>
    <font>
      <b val="true"/>
      <sz val="11"/>
      <color rgb="FFFFFFFF"/>
      <name val="Calibri"/>
      <family val="0"/>
      <charset val="1"/>
    </font>
    <font>
      <sz val="11"/>
      <color rgb="FF375623"/>
      <name val="Calibri"/>
      <family val="2"/>
      <charset val="1"/>
    </font>
    <font>
      <b val="true"/>
      <sz val="12"/>
      <color rgb="FF17365D"/>
      <name val="Calibri"/>
      <family val="2"/>
      <charset val="1"/>
    </font>
    <font>
      <b val="true"/>
      <sz val="11"/>
      <name val="Calibri"/>
      <family val="2"/>
      <charset val="1"/>
    </font>
    <font>
      <b val="true"/>
      <sz val="14"/>
      <color rgb="FF17365D"/>
      <name val="Calibri"/>
      <family val="0"/>
      <charset val="1"/>
    </font>
    <font>
      <sz val="10"/>
      <color rgb="FF595959"/>
      <name val="Calibri"/>
      <family val="0"/>
      <charset val="1"/>
    </font>
    <font>
      <i val="true"/>
      <sz val="11"/>
      <color rgb="FF9B9B9B"/>
      <name val="Calibri"/>
      <family val="0"/>
      <charset val="1"/>
    </font>
    <font>
      <b val="true"/>
      <sz val="12"/>
      <color rgb="FF17365D"/>
      <name val="Calibri"/>
      <family val="0"/>
      <charset val="1"/>
    </font>
    <font>
      <b val="true"/>
      <sz val="11"/>
      <name val="Calibri"/>
      <family val="0"/>
      <charset val="1"/>
    </font>
  </fonts>
  <fills count="7">
    <fill>
      <patternFill patternType="none"/>
    </fill>
    <fill>
      <patternFill patternType="gray125"/>
    </fill>
    <fill>
      <patternFill patternType="solid">
        <fgColor rgb="FF17365D"/>
        <bgColor rgb="FF333399"/>
      </patternFill>
    </fill>
    <fill>
      <patternFill patternType="solid">
        <fgColor theme="4" tint="0.7998"/>
        <bgColor rgb="FFCCFFFF"/>
      </patternFill>
    </fill>
    <fill>
      <patternFill patternType="solid">
        <fgColor rgb="FFFFFF00"/>
        <bgColor rgb="FFFFFF00"/>
      </patternFill>
    </fill>
    <fill>
      <patternFill patternType="solid">
        <fgColor theme="0"/>
        <bgColor rgb="FFFFFFCC"/>
      </patternFill>
    </fill>
    <fill>
      <patternFill patternType="solid">
        <fgColor rgb="FFE2EFDA"/>
        <bgColor rgb="FFFFFFCC"/>
      </patternFill>
    </fill>
  </fills>
  <borders count="4">
    <border diagonalUp="false" diagonalDown="false">
      <left/>
      <right/>
      <top/>
      <bottom/>
      <diagonal/>
    </border>
    <border diagonalUp="false" diagonalDown="false">
      <left style="thin">
        <color theme="4" tint="0.3998"/>
      </left>
      <right/>
      <top style="thin">
        <color theme="4" tint="0.3998"/>
      </top>
      <bottom style="thin">
        <color theme="4" tint="0.3998"/>
      </bottom>
      <diagonal/>
    </border>
    <border diagonalUp="false" diagonalDown="false">
      <left/>
      <right/>
      <top style="thin">
        <color theme="4" tint="0.3998"/>
      </top>
      <bottom style="thin">
        <color theme="4" tint="0.3998"/>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general" vertical="bottom" textRotation="0" wrapText="true" indent="0" shrinkToFit="false"/>
      <protection locked="true" hidden="false"/>
    </xf>
    <xf numFmtId="165" fontId="5" fillId="0" borderId="2" xfId="0" applyFont="true" applyBorder="true" applyAlignment="true" applyProtection="false">
      <alignment horizontal="general" vertical="bottom" textRotation="0" wrapText="true" indent="0" shrinkToFit="false"/>
      <protection locked="true" hidden="false"/>
    </xf>
    <xf numFmtId="166" fontId="0" fillId="0" borderId="2" xfId="0" applyFont="false" applyBorder="tru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bottom" textRotation="0" wrapText="false" indent="0" shrinkToFit="false"/>
      <protection locked="true" hidden="false"/>
    </xf>
    <xf numFmtId="164" fontId="5" fillId="3" borderId="2" xfId="0" applyFont="true" applyBorder="true" applyAlignment="true" applyProtection="false">
      <alignment horizontal="general" vertical="bottom" textRotation="0" wrapText="true" indent="0" shrinkToFit="false"/>
      <protection locked="true" hidden="false"/>
    </xf>
    <xf numFmtId="165" fontId="5" fillId="3" borderId="2" xfId="0" applyFont="true" applyBorder="true" applyAlignment="true" applyProtection="false">
      <alignment horizontal="general" vertical="bottom" textRotation="0" wrapText="true" indent="0" shrinkToFit="false"/>
      <protection locked="true" hidden="false"/>
    </xf>
    <xf numFmtId="166" fontId="0" fillId="3" borderId="2" xfId="0" applyFont="false" applyBorder="true" applyAlignment="tru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general" vertical="bottom" textRotation="0" wrapText="tru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5" fontId="0" fillId="5" borderId="0" xfId="0" applyFont="fals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4" fillId="2" borderId="3" xfId="0" applyFont="true" applyBorder="true" applyAlignment="true" applyProtection="false">
      <alignment horizontal="center" vertical="center" textRotation="0" wrapText="true" indent="0" shrinkToFit="false"/>
      <protection locked="true" hidden="false"/>
    </xf>
    <xf numFmtId="164" fontId="10" fillId="2" borderId="0" xfId="0" applyFont="true" applyBorder="false" applyAlignment="true" applyProtection="false">
      <alignment horizontal="center" vertical="center" textRotation="0" wrapText="true" indent="0" shrinkToFit="false"/>
      <protection locked="true" hidden="false"/>
    </xf>
    <xf numFmtId="164" fontId="0" fillId="0" borderId="3" xfId="0" applyFont="true" applyBorder="true" applyAlignment="true" applyProtection="false">
      <alignment horizontal="center" vertical="center" textRotation="0" wrapText="true" indent="0" shrinkToFit="false"/>
      <protection locked="true" hidden="false"/>
    </xf>
    <xf numFmtId="164" fontId="0" fillId="0" borderId="3" xfId="0" applyFont="false" applyBorder="true" applyAlignment="true" applyProtection="false">
      <alignment horizontal="left" vertical="center" textRotation="0" wrapText="true" indent="0" shrinkToFit="false"/>
      <protection locked="true" hidden="false"/>
    </xf>
    <xf numFmtId="165" fontId="0" fillId="0" borderId="3" xfId="0" applyFont="false" applyBorder="true" applyAlignment="true" applyProtection="false">
      <alignment horizontal="center" vertical="center" textRotation="0" wrapText="true" indent="0" shrinkToFit="false"/>
      <protection locked="true" hidden="false"/>
    </xf>
    <xf numFmtId="168" fontId="0" fillId="0" borderId="3" xfId="0" applyFont="false" applyBorder="true" applyAlignment="true" applyProtection="false">
      <alignment horizontal="center" vertical="center" textRotation="0" wrapText="true" indent="0" shrinkToFit="false"/>
      <protection locked="true" hidden="false"/>
    </xf>
    <xf numFmtId="164" fontId="11" fillId="6" borderId="3" xfId="0" applyFont="true" applyBorder="true" applyAlignment="true" applyProtection="false">
      <alignment horizontal="center" vertical="center" textRotation="0" wrapText="true" indent="0" shrinkToFit="false"/>
      <protection locked="true" hidden="false"/>
    </xf>
    <xf numFmtId="164" fontId="11" fillId="6" borderId="3" xfId="0" applyFont="true" applyBorder="true" applyAlignment="true" applyProtection="false">
      <alignment horizontal="left" vertical="center" textRotation="0" wrapText="true" indent="0" shrinkToFit="false"/>
      <protection locked="true" hidden="false"/>
    </xf>
    <xf numFmtId="165" fontId="11" fillId="6" borderId="3" xfId="0" applyFont="true" applyBorder="true" applyAlignment="true" applyProtection="false">
      <alignment horizontal="center" vertical="center" textRotation="0" wrapText="true" indent="0" shrinkToFit="false"/>
      <protection locked="true" hidden="false"/>
    </xf>
    <xf numFmtId="168" fontId="11" fillId="6" borderId="3"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9" fontId="13" fillId="0" borderId="0" xfId="0" applyFont="true" applyBorder="false" applyAlignment="true" applyProtection="false">
      <alignment horizontal="center" vertical="center" textRotation="0" wrapText="true" indent="0" shrinkToFit="false"/>
      <protection locked="true" hidden="false"/>
    </xf>
    <xf numFmtId="168" fontId="13" fillId="0"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9" fontId="18" fillId="0" borderId="0" xfId="0" applyFont="true" applyBorder="false" applyAlignment="true" applyProtection="false">
      <alignment horizontal="general" vertical="bottom" textRotation="0" wrapText="false" indent="0" shrinkToFit="false"/>
      <protection locked="true" hidden="false"/>
    </xf>
    <xf numFmtId="168" fontId="18"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7365D"/>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1E5F5"/>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45B1E1"/>
      <rgbColor rgb="FF99CC00"/>
      <rgbColor rgb="FFFFCC00"/>
      <rgbColor rgb="FFFF9900"/>
      <rgbColor rgb="FFFF6600"/>
      <rgbColor rgb="FF595959"/>
      <rgbColor rgb="FF9B9B9B"/>
      <rgbColor rgb="FF17365D"/>
      <rgbColor rgb="FF339966"/>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79200</xdr:colOff>
      <xdr:row>52</xdr:row>
      <xdr:rowOff>65520</xdr:rowOff>
    </xdr:from>
    <xdr:to>
      <xdr:col>12</xdr:col>
      <xdr:colOff>406800</xdr:colOff>
      <xdr:row>57</xdr:row>
      <xdr:rowOff>263160</xdr:rowOff>
    </xdr:to>
    <xdr:pic>
      <xdr:nvPicPr>
        <xdr:cNvPr id="0" name="Picture 1" descr=""/>
        <xdr:cNvPicPr/>
      </xdr:nvPicPr>
      <xdr:blipFill>
        <a:blip r:embed="rId1"/>
        <a:stretch/>
      </xdr:blipFill>
      <xdr:spPr>
        <a:xfrm>
          <a:off x="17428680" y="22115880"/>
          <a:ext cx="2194560" cy="2340720"/>
        </a:xfrm>
        <a:prstGeom prst="rect">
          <a:avLst/>
        </a:prstGeom>
        <a:ln w="0">
          <a:noFill/>
        </a:ln>
      </xdr:spPr>
    </xdr:pic>
    <xdr:clientData/>
  </xdr:twoCellAnchor>
</xdr:wsDr>
</file>

<file path=xl/tables/table1.xml><?xml version="1.0" encoding="utf-8"?>
<table xmlns="http://schemas.openxmlformats.org/spreadsheetml/2006/main" id="1" name="RSEASafetySignsTable" displayName="RSEASafetySignsTable" ref="A1:D93" headerRowCount="1" totalsRowCount="0" totalsRowShown="0">
  <tableColumns count="4">
    <tableColumn id="1" name="RSEA Code"/>
    <tableColumn id="2" name="Product / Sign"/>
    <tableColumn id="3" name="Price (AUD inc GST)"/>
    <tableColumn id="4" name="Source"/>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3"/>
  <sheetViews>
    <sheetView showFormulas="false" showGridLines="true" showRowColHeaders="true" showZeros="true" rightToLeft="false" tabSelected="false" showOutlineSymbols="true" defaultGridColor="true" view="normal" topLeftCell="A43" colorId="64" zoomScale="125" zoomScaleNormal="125" zoomScalePageLayoutView="100" workbookViewId="0">
      <selection pane="topLeft" activeCell="D77" activeCellId="0" sqref="D77"/>
    </sheetView>
  </sheetViews>
  <sheetFormatPr defaultColWidth="8.83203125" defaultRowHeight="15" zeroHeight="false" outlineLevelRow="0" outlineLevelCol="0"/>
  <cols>
    <col collapsed="false" customWidth="true" hidden="false" outlineLevel="0" max="1" min="1" style="1" width="15"/>
    <col collapsed="false" customWidth="true" hidden="false" outlineLevel="0" max="2" min="2" style="1" width="55"/>
    <col collapsed="false" customWidth="true" hidden="false" outlineLevel="0" max="3" min="3" style="1" width="20"/>
    <col collapsed="false" customWidth="true" hidden="false" outlineLevel="0" max="4" min="4" style="1" width="48"/>
    <col collapsed="false" customWidth="true" hidden="false" outlineLevel="0" max="5" min="5" style="1" width="72.83"/>
  </cols>
  <sheetData>
    <row r="1" customFormat="false" ht="15" hidden="false" customHeight="true" outlineLevel="0" collapsed="false">
      <c r="A1" s="2" t="s">
        <v>0</v>
      </c>
      <c r="B1" s="2" t="s">
        <v>1</v>
      </c>
      <c r="C1" s="2" t="s">
        <v>2</v>
      </c>
      <c r="D1" s="2" t="s">
        <v>3</v>
      </c>
    </row>
    <row r="2" customFormat="false" ht="33.75" hidden="false" customHeight="true" outlineLevel="0" collapsed="false">
      <c r="A2" s="1" t="s">
        <v>4</v>
      </c>
      <c r="B2" s="3" t="s">
        <v>5</v>
      </c>
      <c r="C2" s="4" t="n">
        <v>37.99</v>
      </c>
      <c r="D2" s="3" t="s">
        <v>6</v>
      </c>
    </row>
    <row r="3" customFormat="false" ht="33.75" hidden="false" customHeight="true" outlineLevel="0" collapsed="false">
      <c r="A3" s="1" t="s">
        <v>7</v>
      </c>
      <c r="B3" s="3" t="s">
        <v>8</v>
      </c>
      <c r="C3" s="4" t="n">
        <v>42.99</v>
      </c>
      <c r="D3" s="3" t="s">
        <v>6</v>
      </c>
    </row>
    <row r="4" customFormat="false" ht="33.75" hidden="false" customHeight="true" outlineLevel="0" collapsed="false">
      <c r="A4" s="1" t="s">
        <v>9</v>
      </c>
      <c r="B4" s="3" t="s">
        <v>10</v>
      </c>
      <c r="C4" s="4" t="n">
        <v>134.99</v>
      </c>
      <c r="D4" s="3" t="s">
        <v>6</v>
      </c>
    </row>
    <row r="5" customFormat="false" ht="33.75" hidden="false" customHeight="true" outlineLevel="0" collapsed="false">
      <c r="A5" s="1" t="s">
        <v>11</v>
      </c>
      <c r="B5" s="3" t="s">
        <v>12</v>
      </c>
      <c r="C5" s="4" t="n">
        <v>167.99</v>
      </c>
      <c r="D5" s="3" t="s">
        <v>6</v>
      </c>
    </row>
    <row r="6" customFormat="false" ht="33.75" hidden="false" customHeight="true" outlineLevel="0" collapsed="false">
      <c r="A6" s="1" t="s">
        <v>13</v>
      </c>
      <c r="B6" s="3" t="s">
        <v>14</v>
      </c>
      <c r="C6" s="4" t="n">
        <v>147.99</v>
      </c>
      <c r="D6" s="3" t="s">
        <v>6</v>
      </c>
    </row>
    <row r="7" customFormat="false" ht="33.75" hidden="false" customHeight="true" outlineLevel="0" collapsed="false">
      <c r="A7" s="1" t="s">
        <v>15</v>
      </c>
      <c r="B7" s="3" t="s">
        <v>16</v>
      </c>
      <c r="C7" s="4" t="n">
        <v>167.99</v>
      </c>
      <c r="D7" s="3" t="s">
        <v>6</v>
      </c>
    </row>
    <row r="8" customFormat="false" ht="33.75" hidden="false" customHeight="true" outlineLevel="0" collapsed="false">
      <c r="A8" s="1" t="s">
        <v>17</v>
      </c>
      <c r="B8" s="3" t="s">
        <v>18</v>
      </c>
      <c r="C8" s="4" t="n">
        <v>142.99</v>
      </c>
      <c r="D8" s="3" t="s">
        <v>6</v>
      </c>
    </row>
    <row r="9" customFormat="false" ht="33.75" hidden="false" customHeight="true" outlineLevel="0" collapsed="false">
      <c r="A9" s="1" t="s">
        <v>19</v>
      </c>
      <c r="B9" s="3" t="s">
        <v>20</v>
      </c>
      <c r="C9" s="4" t="n">
        <v>157.99</v>
      </c>
      <c r="D9" s="3" t="s">
        <v>6</v>
      </c>
    </row>
    <row r="10" customFormat="false" ht="33.75" hidden="false" customHeight="true" outlineLevel="0" collapsed="false">
      <c r="A10" s="1" t="s">
        <v>21</v>
      </c>
      <c r="B10" s="3" t="s">
        <v>22</v>
      </c>
      <c r="C10" s="4" t="n">
        <v>132.99</v>
      </c>
      <c r="D10" s="3" t="s">
        <v>6</v>
      </c>
    </row>
    <row r="11" customFormat="false" ht="33.75" hidden="false" customHeight="true" outlineLevel="0" collapsed="false">
      <c r="A11" s="1" t="s">
        <v>23</v>
      </c>
      <c r="B11" s="3" t="s">
        <v>24</v>
      </c>
      <c r="C11" s="4" t="n">
        <v>57.99</v>
      </c>
      <c r="D11" s="3" t="s">
        <v>6</v>
      </c>
    </row>
    <row r="12" customFormat="false" ht="33.75" hidden="false" customHeight="true" outlineLevel="0" collapsed="false">
      <c r="A12" s="1" t="s">
        <v>25</v>
      </c>
      <c r="B12" s="3" t="s">
        <v>26</v>
      </c>
      <c r="C12" s="4" t="n">
        <v>52.99</v>
      </c>
      <c r="D12" s="3" t="s">
        <v>6</v>
      </c>
    </row>
    <row r="13" customFormat="false" ht="33.75" hidden="false" customHeight="true" outlineLevel="0" collapsed="false">
      <c r="A13" s="1" t="s">
        <v>27</v>
      </c>
      <c r="B13" s="3" t="s">
        <v>28</v>
      </c>
      <c r="C13" s="4" t="n">
        <v>9.99</v>
      </c>
      <c r="D13" s="3" t="s">
        <v>6</v>
      </c>
    </row>
    <row r="14" customFormat="false" ht="33.75" hidden="false" customHeight="true" outlineLevel="0" collapsed="false">
      <c r="A14" s="1" t="s">
        <v>29</v>
      </c>
      <c r="B14" s="3" t="s">
        <v>30</v>
      </c>
      <c r="C14" s="4" t="n">
        <v>12.99</v>
      </c>
      <c r="D14" s="3" t="s">
        <v>6</v>
      </c>
    </row>
    <row r="15" customFormat="false" ht="33.75" hidden="false" customHeight="true" outlineLevel="0" collapsed="false">
      <c r="A15" s="1" t="s">
        <v>31</v>
      </c>
      <c r="B15" s="3" t="s">
        <v>32</v>
      </c>
      <c r="C15" s="4" t="n">
        <v>57.99</v>
      </c>
      <c r="D15" s="3" t="s">
        <v>6</v>
      </c>
    </row>
    <row r="16" customFormat="false" ht="33.75" hidden="false" customHeight="true" outlineLevel="0" collapsed="false">
      <c r="A16" s="1" t="s">
        <v>33</v>
      </c>
      <c r="B16" s="3" t="s">
        <v>34</v>
      </c>
      <c r="C16" s="4" t="n">
        <v>57.99</v>
      </c>
      <c r="D16" s="3" t="s">
        <v>6</v>
      </c>
    </row>
    <row r="17" customFormat="false" ht="33.75" hidden="false" customHeight="true" outlineLevel="0" collapsed="false">
      <c r="A17" s="1" t="s">
        <v>35</v>
      </c>
      <c r="B17" s="3" t="s">
        <v>36</v>
      </c>
      <c r="C17" s="4" t="n">
        <v>57.99</v>
      </c>
      <c r="D17" s="3" t="s">
        <v>6</v>
      </c>
    </row>
    <row r="18" customFormat="false" ht="33.75" hidden="false" customHeight="true" outlineLevel="0" collapsed="false">
      <c r="A18" s="1" t="s">
        <v>37</v>
      </c>
      <c r="B18" s="3" t="s">
        <v>38</v>
      </c>
      <c r="C18" s="4" t="n">
        <v>59.99</v>
      </c>
      <c r="D18" s="3" t="s">
        <v>6</v>
      </c>
    </row>
    <row r="19" customFormat="false" ht="33.75" hidden="false" customHeight="true" outlineLevel="0" collapsed="false">
      <c r="A19" s="1" t="s">
        <v>39</v>
      </c>
      <c r="B19" s="3" t="s">
        <v>40</v>
      </c>
      <c r="C19" s="4" t="n">
        <v>132.99</v>
      </c>
      <c r="D19" s="3" t="s">
        <v>6</v>
      </c>
    </row>
    <row r="20" customFormat="false" ht="33.75" hidden="false" customHeight="true" outlineLevel="0" collapsed="false">
      <c r="A20" s="1" t="s">
        <v>41</v>
      </c>
      <c r="B20" s="3" t="s">
        <v>42</v>
      </c>
      <c r="C20" s="4" t="n">
        <v>167.99</v>
      </c>
      <c r="D20" s="3" t="s">
        <v>6</v>
      </c>
    </row>
    <row r="21" customFormat="false" ht="33.75" hidden="false" customHeight="true" outlineLevel="0" collapsed="false">
      <c r="A21" s="1" t="s">
        <v>43</v>
      </c>
      <c r="B21" s="3" t="s">
        <v>44</v>
      </c>
      <c r="C21" s="4" t="n">
        <v>167.99</v>
      </c>
      <c r="D21" s="3" t="s">
        <v>6</v>
      </c>
    </row>
    <row r="22" customFormat="false" ht="33.75" hidden="false" customHeight="true" outlineLevel="0" collapsed="false">
      <c r="A22" s="1" t="s">
        <v>45</v>
      </c>
      <c r="B22" s="3" t="s">
        <v>46</v>
      </c>
      <c r="C22" s="4" t="n">
        <v>134.99</v>
      </c>
      <c r="D22" s="3" t="s">
        <v>6</v>
      </c>
    </row>
    <row r="23" customFormat="false" ht="33.75" hidden="false" customHeight="true" outlineLevel="0" collapsed="false">
      <c r="A23" s="1" t="s">
        <v>47</v>
      </c>
      <c r="B23" s="3" t="s">
        <v>48</v>
      </c>
      <c r="C23" s="4" t="n">
        <v>57.99</v>
      </c>
      <c r="D23" s="3" t="s">
        <v>6</v>
      </c>
    </row>
    <row r="24" customFormat="false" ht="33.75" hidden="false" customHeight="true" outlineLevel="0" collapsed="false">
      <c r="A24" s="1" t="s">
        <v>49</v>
      </c>
      <c r="B24" s="3" t="s">
        <v>50</v>
      </c>
      <c r="C24" s="4" t="n">
        <v>57.99</v>
      </c>
      <c r="D24" s="3" t="s">
        <v>6</v>
      </c>
    </row>
    <row r="25" customFormat="false" ht="33.75" hidden="false" customHeight="true" outlineLevel="0" collapsed="false">
      <c r="A25" s="1" t="s">
        <v>51</v>
      </c>
      <c r="B25" s="3" t="s">
        <v>52</v>
      </c>
      <c r="C25" s="4" t="n">
        <v>44.99</v>
      </c>
      <c r="D25" s="3" t="s">
        <v>6</v>
      </c>
    </row>
    <row r="26" customFormat="false" ht="33.75" hidden="false" customHeight="true" outlineLevel="0" collapsed="false">
      <c r="A26" s="1" t="s">
        <v>53</v>
      </c>
      <c r="B26" s="3" t="s">
        <v>54</v>
      </c>
      <c r="C26" s="4" t="n">
        <v>52.99</v>
      </c>
      <c r="D26" s="3" t="s">
        <v>6</v>
      </c>
    </row>
    <row r="27" customFormat="false" ht="33.75" hidden="false" customHeight="true" outlineLevel="0" collapsed="false">
      <c r="A27" s="1" t="s">
        <v>55</v>
      </c>
      <c r="B27" s="3" t="s">
        <v>56</v>
      </c>
      <c r="C27" s="4" t="n">
        <v>57.99</v>
      </c>
      <c r="D27" s="3" t="s">
        <v>6</v>
      </c>
    </row>
    <row r="28" customFormat="false" ht="33.75" hidden="false" customHeight="true" outlineLevel="0" collapsed="false">
      <c r="A28" s="1" t="s">
        <v>57</v>
      </c>
      <c r="B28" s="3" t="s">
        <v>58</v>
      </c>
      <c r="C28" s="4" t="n">
        <v>57.99</v>
      </c>
      <c r="D28" s="3" t="s">
        <v>6</v>
      </c>
    </row>
    <row r="29" customFormat="false" ht="33.75" hidden="false" customHeight="true" outlineLevel="0" collapsed="false">
      <c r="A29" s="1" t="s">
        <v>59</v>
      </c>
      <c r="B29" s="3" t="s">
        <v>60</v>
      </c>
      <c r="C29" s="4" t="n">
        <v>57.99</v>
      </c>
      <c r="D29" s="3" t="s">
        <v>6</v>
      </c>
    </row>
    <row r="30" customFormat="false" ht="33.75" hidden="false" customHeight="true" outlineLevel="0" collapsed="false">
      <c r="A30" s="1" t="s">
        <v>61</v>
      </c>
      <c r="B30" s="3" t="s">
        <v>62</v>
      </c>
      <c r="C30" s="4" t="n">
        <v>57.99</v>
      </c>
      <c r="D30" s="3" t="s">
        <v>6</v>
      </c>
    </row>
    <row r="31" customFormat="false" ht="33.75" hidden="false" customHeight="true" outlineLevel="0" collapsed="false">
      <c r="A31" s="1" t="s">
        <v>63</v>
      </c>
      <c r="B31" s="3" t="s">
        <v>64</v>
      </c>
      <c r="C31" s="4" t="n">
        <v>59.99</v>
      </c>
      <c r="D31" s="3" t="s">
        <v>6</v>
      </c>
    </row>
    <row r="32" customFormat="false" ht="33.75" hidden="false" customHeight="true" outlineLevel="0" collapsed="false">
      <c r="A32" s="1" t="s">
        <v>65</v>
      </c>
      <c r="B32" s="3" t="s">
        <v>66</v>
      </c>
      <c r="C32" s="4" t="n">
        <v>57.99</v>
      </c>
      <c r="D32" s="3" t="s">
        <v>6</v>
      </c>
    </row>
    <row r="33" customFormat="false" ht="33.75" hidden="false" customHeight="true" outlineLevel="0" collapsed="false">
      <c r="A33" s="1" t="s">
        <v>67</v>
      </c>
      <c r="B33" s="3" t="s">
        <v>68</v>
      </c>
      <c r="C33" s="4" t="n">
        <v>57.99</v>
      </c>
      <c r="D33" s="3" t="s">
        <v>6</v>
      </c>
    </row>
    <row r="34" customFormat="false" ht="33.75" hidden="false" customHeight="true" outlineLevel="0" collapsed="false">
      <c r="A34" s="1" t="s">
        <v>69</v>
      </c>
      <c r="B34" s="3" t="s">
        <v>70</v>
      </c>
      <c r="C34" s="4" t="n">
        <v>57.99</v>
      </c>
      <c r="D34" s="3" t="s">
        <v>6</v>
      </c>
    </row>
    <row r="35" customFormat="false" ht="33.75" hidden="false" customHeight="true" outlineLevel="0" collapsed="false">
      <c r="A35" s="1" t="s">
        <v>71</v>
      </c>
      <c r="B35" s="3" t="s">
        <v>72</v>
      </c>
      <c r="C35" s="4" t="n">
        <v>57.99</v>
      </c>
      <c r="D35" s="3" t="s">
        <v>6</v>
      </c>
    </row>
    <row r="36" customFormat="false" ht="33.75" hidden="false" customHeight="true" outlineLevel="0" collapsed="false">
      <c r="A36" s="1" t="s">
        <v>73</v>
      </c>
      <c r="B36" s="3" t="s">
        <v>74</v>
      </c>
      <c r="C36" s="4" t="n">
        <v>57.99</v>
      </c>
      <c r="D36" s="3" t="s">
        <v>6</v>
      </c>
    </row>
    <row r="37" customFormat="false" ht="33.75" hidden="false" customHeight="true" outlineLevel="0" collapsed="false">
      <c r="A37" s="1" t="s">
        <v>75</v>
      </c>
      <c r="B37" s="3" t="s">
        <v>76</v>
      </c>
      <c r="C37" s="4" t="n">
        <v>152.99</v>
      </c>
      <c r="D37" s="3" t="s">
        <v>6</v>
      </c>
    </row>
    <row r="38" customFormat="false" ht="33.75" hidden="false" customHeight="true" outlineLevel="0" collapsed="false">
      <c r="A38" s="1" t="s">
        <v>77</v>
      </c>
      <c r="B38" s="3" t="s">
        <v>78</v>
      </c>
      <c r="C38" s="4" t="n">
        <v>144.99</v>
      </c>
      <c r="D38" s="3" t="s">
        <v>6</v>
      </c>
    </row>
    <row r="39" customFormat="false" ht="33.75" hidden="false" customHeight="true" outlineLevel="0" collapsed="false">
      <c r="A39" s="1" t="s">
        <v>79</v>
      </c>
      <c r="B39" s="3" t="s">
        <v>80</v>
      </c>
      <c r="C39" s="4" t="n">
        <v>142.99</v>
      </c>
      <c r="D39" s="3" t="s">
        <v>6</v>
      </c>
    </row>
    <row r="40" customFormat="false" ht="33.75" hidden="false" customHeight="true" outlineLevel="0" collapsed="false">
      <c r="A40" s="1" t="s">
        <v>81</v>
      </c>
      <c r="B40" s="3" t="s">
        <v>82</v>
      </c>
      <c r="C40" s="4" t="n">
        <v>112.99</v>
      </c>
      <c r="D40" s="3" t="s">
        <v>6</v>
      </c>
    </row>
    <row r="41" customFormat="false" ht="33.75" hidden="false" customHeight="true" outlineLevel="0" collapsed="false">
      <c r="A41" s="1" t="s">
        <v>83</v>
      </c>
      <c r="B41" s="3" t="s">
        <v>84</v>
      </c>
      <c r="C41" s="4" t="n">
        <v>147.99</v>
      </c>
      <c r="D41" s="3" t="s">
        <v>6</v>
      </c>
    </row>
    <row r="42" customFormat="false" ht="33.75" hidden="false" customHeight="true" outlineLevel="0" collapsed="false">
      <c r="A42" s="1" t="s">
        <v>85</v>
      </c>
      <c r="B42" s="3" t="s">
        <v>86</v>
      </c>
      <c r="C42" s="4" t="n">
        <v>139.99</v>
      </c>
      <c r="D42" s="3" t="s">
        <v>6</v>
      </c>
    </row>
    <row r="43" customFormat="false" ht="33.75" hidden="false" customHeight="true" outlineLevel="0" collapsed="false">
      <c r="A43" s="1" t="s">
        <v>87</v>
      </c>
      <c r="B43" s="3" t="s">
        <v>88</v>
      </c>
      <c r="C43" s="4" t="n">
        <v>129.99</v>
      </c>
      <c r="D43" s="3" t="s">
        <v>6</v>
      </c>
    </row>
    <row r="44" customFormat="false" ht="33.75" hidden="false" customHeight="true" outlineLevel="0" collapsed="false">
      <c r="A44" s="1" t="s">
        <v>89</v>
      </c>
      <c r="B44" s="3" t="s">
        <v>90</v>
      </c>
      <c r="C44" s="4" t="n">
        <v>57.99</v>
      </c>
      <c r="D44" s="3" t="s">
        <v>6</v>
      </c>
    </row>
    <row r="45" customFormat="false" ht="33.75" hidden="false" customHeight="true" outlineLevel="0" collapsed="false">
      <c r="A45" s="1" t="s">
        <v>91</v>
      </c>
      <c r="B45" s="3" t="s">
        <v>92</v>
      </c>
      <c r="C45" s="4" t="n">
        <v>62.99</v>
      </c>
      <c r="D45" s="3" t="s">
        <v>6</v>
      </c>
    </row>
    <row r="46" customFormat="false" ht="33.75" hidden="false" customHeight="true" outlineLevel="0" collapsed="false">
      <c r="A46" s="1" t="s">
        <v>93</v>
      </c>
      <c r="B46" s="3" t="s">
        <v>94</v>
      </c>
      <c r="C46" s="4" t="n">
        <v>4.99</v>
      </c>
      <c r="D46" s="3" t="s">
        <v>6</v>
      </c>
    </row>
    <row r="47" customFormat="false" ht="33.75" hidden="false" customHeight="true" outlineLevel="0" collapsed="false">
      <c r="A47" s="1" t="s">
        <v>95</v>
      </c>
      <c r="B47" s="3" t="s">
        <v>96</v>
      </c>
      <c r="C47" s="4" t="n">
        <v>24.99</v>
      </c>
      <c r="D47" s="3" t="s">
        <v>6</v>
      </c>
    </row>
    <row r="48" customFormat="false" ht="33.75" hidden="false" customHeight="true" outlineLevel="0" collapsed="false">
      <c r="A48" s="1" t="s">
        <v>97</v>
      </c>
      <c r="B48" s="3" t="s">
        <v>98</v>
      </c>
      <c r="C48" s="4" t="n">
        <v>44.99</v>
      </c>
      <c r="D48" s="3" t="s">
        <v>6</v>
      </c>
    </row>
    <row r="49" customFormat="false" ht="33.75" hidden="false" customHeight="true" outlineLevel="0" collapsed="false">
      <c r="A49" s="1" t="s">
        <v>99</v>
      </c>
      <c r="B49" s="3" t="s">
        <v>100</v>
      </c>
      <c r="C49" s="4" t="n">
        <v>24.99</v>
      </c>
      <c r="D49" s="3" t="s">
        <v>6</v>
      </c>
    </row>
    <row r="50" customFormat="false" ht="33.75" hidden="false" customHeight="true" outlineLevel="0" collapsed="false">
      <c r="A50" s="1" t="s">
        <v>101</v>
      </c>
      <c r="B50" s="3" t="s">
        <v>102</v>
      </c>
      <c r="C50" s="4" t="n">
        <v>32.99</v>
      </c>
      <c r="D50" s="3" t="s">
        <v>6</v>
      </c>
    </row>
    <row r="51" customFormat="false" ht="33.75" hidden="false" customHeight="true" outlineLevel="0" collapsed="false">
      <c r="A51" s="1" t="s">
        <v>103</v>
      </c>
      <c r="B51" s="3" t="s">
        <v>104</v>
      </c>
      <c r="C51" s="4" t="n">
        <v>44.99</v>
      </c>
      <c r="D51" s="3" t="s">
        <v>6</v>
      </c>
    </row>
    <row r="52" customFormat="false" ht="33.75" hidden="false" customHeight="true" outlineLevel="0" collapsed="false">
      <c r="A52" s="1" t="s">
        <v>105</v>
      </c>
      <c r="B52" s="3" t="s">
        <v>106</v>
      </c>
      <c r="C52" s="4" t="n">
        <v>44.99</v>
      </c>
      <c r="D52" s="3" t="s">
        <v>6</v>
      </c>
    </row>
    <row r="53" customFormat="false" ht="33.75" hidden="false" customHeight="true" outlineLevel="0" collapsed="false">
      <c r="A53" s="1" t="s">
        <v>107</v>
      </c>
      <c r="B53" s="3" t="s">
        <v>108</v>
      </c>
      <c r="C53" s="4" t="n">
        <v>44.99</v>
      </c>
      <c r="D53" s="3" t="s">
        <v>6</v>
      </c>
    </row>
    <row r="54" customFormat="false" ht="33.75" hidden="false" customHeight="true" outlineLevel="0" collapsed="false">
      <c r="A54" s="1" t="s">
        <v>109</v>
      </c>
      <c r="B54" s="3" t="s">
        <v>110</v>
      </c>
      <c r="C54" s="4" t="n">
        <v>32.99</v>
      </c>
      <c r="D54" s="3" t="s">
        <v>6</v>
      </c>
    </row>
    <row r="55" customFormat="false" ht="33.75" hidden="false" customHeight="true" outlineLevel="0" collapsed="false">
      <c r="A55" s="1" t="s">
        <v>111</v>
      </c>
      <c r="B55" s="3" t="s">
        <v>112</v>
      </c>
      <c r="C55" s="4" t="n">
        <v>49.99</v>
      </c>
      <c r="D55" s="3" t="s">
        <v>6</v>
      </c>
    </row>
    <row r="56" customFormat="false" ht="33.75" hidden="false" customHeight="true" outlineLevel="0" collapsed="false">
      <c r="A56" s="1" t="s">
        <v>113</v>
      </c>
      <c r="B56" s="3" t="s">
        <v>114</v>
      </c>
      <c r="C56" s="4" t="n">
        <v>49.99</v>
      </c>
      <c r="D56" s="3" t="s">
        <v>6</v>
      </c>
    </row>
    <row r="57" customFormat="false" ht="33.75" hidden="false" customHeight="true" outlineLevel="0" collapsed="false">
      <c r="A57" s="1" t="s">
        <v>115</v>
      </c>
      <c r="B57" s="3" t="s">
        <v>116</v>
      </c>
      <c r="C57" s="4" t="n">
        <v>27.99</v>
      </c>
      <c r="D57" s="3" t="s">
        <v>6</v>
      </c>
    </row>
    <row r="58" customFormat="false" ht="33.75" hidden="false" customHeight="true" outlineLevel="0" collapsed="false">
      <c r="A58" s="1" t="s">
        <v>117</v>
      </c>
      <c r="B58" s="3" t="s">
        <v>118</v>
      </c>
      <c r="C58" s="4" t="n">
        <v>32.99</v>
      </c>
      <c r="D58" s="3" t="s">
        <v>6</v>
      </c>
    </row>
    <row r="59" customFormat="false" ht="33.75" hidden="false" customHeight="true" outlineLevel="0" collapsed="false">
      <c r="A59" s="1" t="s">
        <v>119</v>
      </c>
      <c r="B59" s="3" t="s">
        <v>120</v>
      </c>
      <c r="C59" s="4" t="n">
        <v>44.99</v>
      </c>
      <c r="D59" s="3" t="s">
        <v>6</v>
      </c>
    </row>
    <row r="60" customFormat="false" ht="33.75" hidden="false" customHeight="true" outlineLevel="0" collapsed="false">
      <c r="A60" s="1" t="s">
        <v>121</v>
      </c>
      <c r="B60" s="3" t="s">
        <v>122</v>
      </c>
      <c r="C60" s="4" t="n">
        <v>49.99</v>
      </c>
      <c r="D60" s="3" t="s">
        <v>6</v>
      </c>
    </row>
    <row r="61" customFormat="false" ht="33.75" hidden="false" customHeight="true" outlineLevel="0" collapsed="false">
      <c r="A61" s="1" t="s">
        <v>123</v>
      </c>
      <c r="B61" s="3" t="s">
        <v>124</v>
      </c>
      <c r="C61" s="4" t="n">
        <v>32.99</v>
      </c>
      <c r="D61" s="3" t="s">
        <v>6</v>
      </c>
    </row>
    <row r="62" customFormat="false" ht="33.75" hidden="false" customHeight="true" outlineLevel="0" collapsed="false">
      <c r="A62" s="1" t="s">
        <v>125</v>
      </c>
      <c r="B62" s="3" t="s">
        <v>126</v>
      </c>
      <c r="C62" s="4" t="n">
        <v>37.99</v>
      </c>
      <c r="D62" s="3" t="s">
        <v>6</v>
      </c>
    </row>
    <row r="63" customFormat="false" ht="33.75" hidden="false" customHeight="true" outlineLevel="0" collapsed="false">
      <c r="A63" s="1" t="s">
        <v>127</v>
      </c>
      <c r="B63" s="3" t="s">
        <v>128</v>
      </c>
      <c r="C63" s="4" t="n">
        <v>69.99</v>
      </c>
      <c r="D63" s="3" t="s">
        <v>6</v>
      </c>
    </row>
    <row r="64" customFormat="false" ht="33.75" hidden="false" customHeight="true" outlineLevel="0" collapsed="false">
      <c r="A64" s="1" t="s">
        <v>129</v>
      </c>
      <c r="B64" s="3" t="s">
        <v>130</v>
      </c>
      <c r="C64" s="4" t="n">
        <v>37.99</v>
      </c>
      <c r="D64" s="3" t="s">
        <v>6</v>
      </c>
    </row>
    <row r="65" customFormat="false" ht="33.75" hidden="false" customHeight="true" outlineLevel="0" collapsed="false">
      <c r="A65" s="1" t="s">
        <v>131</v>
      </c>
      <c r="B65" s="3" t="s">
        <v>132</v>
      </c>
      <c r="C65" s="4" t="n">
        <v>84.99</v>
      </c>
      <c r="D65" s="3" t="s">
        <v>6</v>
      </c>
    </row>
    <row r="66" customFormat="false" ht="33.75" hidden="false" customHeight="true" outlineLevel="0" collapsed="false">
      <c r="A66" s="1" t="s">
        <v>133</v>
      </c>
      <c r="B66" s="3" t="s">
        <v>134</v>
      </c>
      <c r="C66" s="4" t="n">
        <v>37.99</v>
      </c>
      <c r="D66" s="3" t="s">
        <v>6</v>
      </c>
    </row>
    <row r="67" customFormat="false" ht="33.75" hidden="false" customHeight="true" outlineLevel="0" collapsed="false">
      <c r="A67" s="1" t="s">
        <v>135</v>
      </c>
      <c r="B67" s="3" t="s">
        <v>136</v>
      </c>
      <c r="C67" s="4" t="n">
        <v>44.99</v>
      </c>
      <c r="D67" s="3" t="s">
        <v>6</v>
      </c>
    </row>
    <row r="68" customFormat="false" ht="33.75" hidden="false" customHeight="true" outlineLevel="0" collapsed="false">
      <c r="A68" s="1" t="s">
        <v>137</v>
      </c>
      <c r="B68" s="3" t="s">
        <v>138</v>
      </c>
      <c r="C68" s="4" t="n">
        <v>44.99</v>
      </c>
      <c r="D68" s="3" t="s">
        <v>6</v>
      </c>
    </row>
    <row r="69" customFormat="false" ht="33.75" hidden="false" customHeight="true" outlineLevel="0" collapsed="false">
      <c r="A69" s="1" t="s">
        <v>139</v>
      </c>
      <c r="B69" s="3" t="s">
        <v>140</v>
      </c>
      <c r="C69" s="4" t="n">
        <v>32.99</v>
      </c>
      <c r="D69" s="3" t="s">
        <v>6</v>
      </c>
    </row>
    <row r="70" customFormat="false" ht="33.75" hidden="false" customHeight="true" outlineLevel="0" collapsed="false">
      <c r="A70" s="1" t="s">
        <v>141</v>
      </c>
      <c r="B70" s="3" t="s">
        <v>142</v>
      </c>
      <c r="C70" s="4" t="n">
        <v>64.99</v>
      </c>
      <c r="D70" s="3" t="s">
        <v>6</v>
      </c>
    </row>
    <row r="71" customFormat="false" ht="33.75" hidden="false" customHeight="true" outlineLevel="0" collapsed="false">
      <c r="A71" s="1" t="s">
        <v>143</v>
      </c>
      <c r="B71" s="3" t="s">
        <v>144</v>
      </c>
      <c r="C71" s="4" t="n">
        <v>49.99</v>
      </c>
      <c r="D71" s="3" t="s">
        <v>6</v>
      </c>
    </row>
    <row r="72" customFormat="false" ht="33.75" hidden="false" customHeight="true" outlineLevel="0" collapsed="false">
      <c r="A72" s="1" t="s">
        <v>145</v>
      </c>
      <c r="B72" s="3" t="s">
        <v>146</v>
      </c>
      <c r="C72" s="4" t="n">
        <v>17.99</v>
      </c>
      <c r="D72" s="3" t="s">
        <v>6</v>
      </c>
    </row>
    <row r="73" customFormat="false" ht="33.75" hidden="false" customHeight="true" outlineLevel="0" collapsed="false">
      <c r="A73" s="1" t="s">
        <v>147</v>
      </c>
      <c r="B73" s="3" t="s">
        <v>148</v>
      </c>
      <c r="C73" s="4" t="n">
        <v>44.99</v>
      </c>
      <c r="D73" s="3" t="s">
        <v>6</v>
      </c>
    </row>
    <row r="74" customFormat="false" ht="33.75" hidden="false" customHeight="true" outlineLevel="0" collapsed="false">
      <c r="A74" s="1" t="s">
        <v>149</v>
      </c>
      <c r="B74" s="3" t="s">
        <v>150</v>
      </c>
      <c r="C74" s="4" t="n">
        <v>49.99</v>
      </c>
      <c r="D74" s="3" t="s">
        <v>6</v>
      </c>
    </row>
    <row r="75" customFormat="false" ht="33.75" hidden="false" customHeight="true" outlineLevel="0" collapsed="false">
      <c r="A75" s="1" t="s">
        <v>151</v>
      </c>
      <c r="B75" s="3" t="s">
        <v>152</v>
      </c>
      <c r="C75" s="4" t="n">
        <v>49.99</v>
      </c>
      <c r="D75" s="3" t="s">
        <v>6</v>
      </c>
    </row>
    <row r="76" customFormat="false" ht="33.75" hidden="false" customHeight="true" outlineLevel="0" collapsed="false">
      <c r="A76" s="1" t="s">
        <v>153</v>
      </c>
      <c r="B76" s="3" t="s">
        <v>154</v>
      </c>
      <c r="C76" s="4" t="n">
        <v>37.99</v>
      </c>
      <c r="D76" s="3" t="s">
        <v>6</v>
      </c>
    </row>
    <row r="77" customFormat="false" ht="33.75" hidden="false" customHeight="true" outlineLevel="0" collapsed="false">
      <c r="A77" s="1" t="s">
        <v>155</v>
      </c>
      <c r="B77" s="3" t="s">
        <v>156</v>
      </c>
      <c r="C77" s="4" t="n">
        <v>32.99</v>
      </c>
      <c r="D77" s="3" t="s">
        <v>6</v>
      </c>
    </row>
    <row r="78" customFormat="false" ht="33.75" hidden="false" customHeight="true" outlineLevel="0" collapsed="false">
      <c r="A78" s="1" t="s">
        <v>157</v>
      </c>
      <c r="B78" s="3" t="s">
        <v>158</v>
      </c>
      <c r="C78" s="4" t="n">
        <v>32.99</v>
      </c>
      <c r="D78" s="3" t="s">
        <v>6</v>
      </c>
    </row>
    <row r="79" customFormat="false" ht="33.75" hidden="false" customHeight="true" outlineLevel="0" collapsed="false">
      <c r="A79" s="1" t="s">
        <v>159</v>
      </c>
      <c r="B79" s="3" t="s">
        <v>160</v>
      </c>
      <c r="C79" s="4" t="n">
        <v>49.99</v>
      </c>
      <c r="D79" s="3" t="s">
        <v>6</v>
      </c>
    </row>
    <row r="80" customFormat="false" ht="33.75" hidden="false" customHeight="true" outlineLevel="0" collapsed="false">
      <c r="A80" s="1" t="s">
        <v>161</v>
      </c>
      <c r="B80" s="3" t="s">
        <v>162</v>
      </c>
      <c r="C80" s="4" t="n">
        <v>32.99</v>
      </c>
      <c r="D80" s="3" t="s">
        <v>6</v>
      </c>
    </row>
    <row r="81" customFormat="false" ht="33.75" hidden="false" customHeight="true" outlineLevel="0" collapsed="false">
      <c r="A81" s="1" t="s">
        <v>163</v>
      </c>
      <c r="B81" s="3" t="s">
        <v>164</v>
      </c>
      <c r="C81" s="4" t="n">
        <v>32.99</v>
      </c>
      <c r="D81" s="3" t="s">
        <v>6</v>
      </c>
    </row>
    <row r="82" customFormat="false" ht="33.75" hidden="false" customHeight="true" outlineLevel="0" collapsed="false">
      <c r="A82" s="1" t="s">
        <v>165</v>
      </c>
      <c r="B82" s="3" t="s">
        <v>166</v>
      </c>
      <c r="C82" s="4" t="n">
        <v>32.99</v>
      </c>
      <c r="D82" s="3" t="s">
        <v>6</v>
      </c>
    </row>
    <row r="83" customFormat="false" ht="33.75" hidden="false" customHeight="true" outlineLevel="0" collapsed="false">
      <c r="A83" s="1" t="s">
        <v>167</v>
      </c>
      <c r="B83" s="3" t="s">
        <v>168</v>
      </c>
      <c r="C83" s="4" t="n">
        <v>142.99</v>
      </c>
      <c r="D83" s="3" t="s">
        <v>6</v>
      </c>
    </row>
    <row r="84" customFormat="false" ht="33.75" hidden="false" customHeight="true" outlineLevel="0" collapsed="false">
      <c r="A84" s="1" t="s">
        <v>169</v>
      </c>
      <c r="B84" s="3" t="s">
        <v>170</v>
      </c>
      <c r="C84" s="4" t="n">
        <v>27.99</v>
      </c>
      <c r="D84" s="3" t="s">
        <v>6</v>
      </c>
    </row>
    <row r="85" customFormat="false" ht="33.75" hidden="false" customHeight="true" outlineLevel="0" collapsed="false">
      <c r="A85" s="1" t="s">
        <v>171</v>
      </c>
      <c r="B85" s="3" t="s">
        <v>172</v>
      </c>
      <c r="C85" s="4" t="n">
        <v>44.99</v>
      </c>
      <c r="D85" s="3" t="s">
        <v>6</v>
      </c>
    </row>
    <row r="86" customFormat="false" ht="33.75" hidden="false" customHeight="true" outlineLevel="0" collapsed="false">
      <c r="A86" s="1" t="n">
        <v>869339</v>
      </c>
      <c r="B86" s="3" t="s">
        <v>173</v>
      </c>
      <c r="C86" s="4" t="n">
        <v>44.99</v>
      </c>
      <c r="D86" s="3" t="s">
        <v>6</v>
      </c>
    </row>
    <row r="87" customFormat="false" ht="33.75" hidden="false" customHeight="true" outlineLevel="0" collapsed="false">
      <c r="A87" s="1" t="s">
        <v>174</v>
      </c>
      <c r="B87" s="3" t="s">
        <v>175</v>
      </c>
      <c r="C87" s="4" t="n">
        <v>142.99</v>
      </c>
      <c r="D87" s="3" t="s">
        <v>6</v>
      </c>
    </row>
    <row r="88" customFormat="false" ht="33.75" hidden="false" customHeight="true" outlineLevel="0" collapsed="false">
      <c r="A88" s="1" t="s">
        <v>176</v>
      </c>
      <c r="B88" s="3" t="s">
        <v>177</v>
      </c>
      <c r="C88" s="4" t="n">
        <v>167.99</v>
      </c>
      <c r="D88" s="3" t="s">
        <v>6</v>
      </c>
    </row>
    <row r="89" customFormat="false" ht="33.75" hidden="false" customHeight="true" outlineLevel="0" collapsed="false">
      <c r="A89" s="1" t="s">
        <v>178</v>
      </c>
      <c r="B89" s="3" t="s">
        <v>179</v>
      </c>
      <c r="C89" s="4" t="n">
        <v>167.99</v>
      </c>
      <c r="D89" s="3" t="s">
        <v>6</v>
      </c>
    </row>
    <row r="90" customFormat="false" ht="33.75" hidden="false" customHeight="true" outlineLevel="0" collapsed="false">
      <c r="A90" s="1" t="s">
        <v>180</v>
      </c>
      <c r="B90" s="3" t="s">
        <v>181</v>
      </c>
      <c r="C90" s="4" t="n">
        <v>167.99</v>
      </c>
      <c r="D90" s="3" t="s">
        <v>6</v>
      </c>
    </row>
    <row r="91" customFormat="false" ht="33.75" hidden="false" customHeight="true" outlineLevel="0" collapsed="false">
      <c r="A91" s="1" t="s">
        <v>182</v>
      </c>
      <c r="B91" s="3" t="s">
        <v>183</v>
      </c>
      <c r="C91" s="4" t="n">
        <v>167.99</v>
      </c>
      <c r="D91" s="3" t="s">
        <v>6</v>
      </c>
    </row>
    <row r="92" customFormat="false" ht="33.75" hidden="false" customHeight="true" outlineLevel="0" collapsed="false">
      <c r="A92" s="1" t="s">
        <v>184</v>
      </c>
      <c r="B92" s="3" t="s">
        <v>185</v>
      </c>
      <c r="C92" s="4" t="n">
        <v>167.99</v>
      </c>
      <c r="D92" s="3" t="s">
        <v>6</v>
      </c>
    </row>
    <row r="93" customFormat="false" ht="33.75" hidden="false" customHeight="true" outlineLevel="0" collapsed="false">
      <c r="A93" s="1" t="s">
        <v>186</v>
      </c>
      <c r="B93" s="3" t="s">
        <v>187</v>
      </c>
      <c r="C93" s="4" t="n">
        <v>122.99</v>
      </c>
      <c r="D93" s="3" t="s">
        <v>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2"/>
    <col collapsed="false" customWidth="true" hidden="false" outlineLevel="0" max="2" min="2" style="1" width="80"/>
  </cols>
  <sheetData>
    <row r="1" customFormat="false" ht="15.75" hidden="false" customHeight="true" outlineLevel="0" collapsed="false">
      <c r="A1" s="5" t="s">
        <v>188</v>
      </c>
      <c r="B1" s="6" t="s">
        <v>189</v>
      </c>
    </row>
    <row r="2" customFormat="false" ht="15" hidden="false" customHeight="true" outlineLevel="0" collapsed="false">
      <c r="A2" s="1" t="s">
        <v>3</v>
      </c>
      <c r="B2" s="3" t="s">
        <v>6</v>
      </c>
    </row>
    <row r="3" customFormat="false" ht="15" hidden="false" customHeight="true" outlineLevel="0" collapsed="false">
      <c r="A3" s="1" t="s">
        <v>190</v>
      </c>
      <c r="B3" s="3" t="s">
        <v>191</v>
      </c>
    </row>
    <row r="4" customFormat="false" ht="15" hidden="false" customHeight="true" outlineLevel="0" collapsed="false">
      <c r="A4" s="1" t="s">
        <v>192</v>
      </c>
      <c r="B4" s="3" t="s">
        <v>193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4"/>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D15" activeCellId="0" sqref="D15"/>
    </sheetView>
  </sheetViews>
  <sheetFormatPr defaultColWidth="8.66796875" defaultRowHeight="15" zeroHeight="false" outlineLevelRow="0" outlineLevelCol="0"/>
  <cols>
    <col collapsed="false" customWidth="true" hidden="false" outlineLevel="0" max="2" min="2" style="1" width="29.33"/>
    <col collapsed="false" customWidth="true" hidden="false" outlineLevel="0" max="3" min="3" style="1" width="24"/>
    <col collapsed="false" customWidth="true" hidden="false" outlineLevel="0" max="4" min="4" style="1" width="45.33"/>
    <col collapsed="false" customWidth="true" hidden="false" outlineLevel="0" max="5" min="5" style="1" width="15"/>
    <col collapsed="false" customWidth="true" hidden="false" outlineLevel="0" max="9" min="6" style="1" width="13"/>
  </cols>
  <sheetData>
    <row r="1" customFormat="false" ht="40.5" hidden="false" customHeight="true" outlineLevel="0" collapsed="false">
      <c r="A1" s="7" t="s">
        <v>7</v>
      </c>
      <c r="B1" s="8" t="s">
        <v>8</v>
      </c>
      <c r="C1" s="9" t="n">
        <v>42.99</v>
      </c>
      <c r="D1" s="10" t="n">
        <v>16.71</v>
      </c>
      <c r="E1" s="11" t="n">
        <v>16.93275</v>
      </c>
      <c r="F1" s="1" t="s">
        <v>194</v>
      </c>
      <c r="G1" s="12"/>
      <c r="H1" s="11"/>
      <c r="I1" s="11"/>
      <c r="J1" s="11"/>
    </row>
    <row r="2" customFormat="false" ht="72.75" hidden="false" customHeight="true" outlineLevel="0" collapsed="false">
      <c r="A2" s="13" t="s">
        <v>9</v>
      </c>
      <c r="B2" s="14" t="s">
        <v>10</v>
      </c>
      <c r="C2" s="15" t="n">
        <v>134.99</v>
      </c>
      <c r="D2" s="16" t="n">
        <v>66.83</v>
      </c>
      <c r="F2" s="17" t="s">
        <v>195</v>
      </c>
    </row>
    <row r="3" customFormat="false" ht="84" hidden="false" customHeight="true" outlineLevel="0" collapsed="false">
      <c r="A3" s="7" t="s">
        <v>11</v>
      </c>
      <c r="B3" s="8" t="s">
        <v>12</v>
      </c>
      <c r="C3" s="9" t="n">
        <v>167.99</v>
      </c>
      <c r="D3" s="10" t="n">
        <v>44.55</v>
      </c>
      <c r="F3" s="17" t="s">
        <v>195</v>
      </c>
    </row>
    <row r="4" customFormat="false" ht="50.25" hidden="false" customHeight="true" outlineLevel="0" collapsed="false">
      <c r="A4" s="13" t="s">
        <v>13</v>
      </c>
      <c r="B4" s="14" t="s">
        <v>14</v>
      </c>
      <c r="C4" s="15" t="n">
        <v>147.99</v>
      </c>
      <c r="D4" s="16" t="n">
        <v>44.55</v>
      </c>
      <c r="E4" s="11" t="n">
        <v>45.144</v>
      </c>
      <c r="F4" s="17" t="s">
        <v>196</v>
      </c>
      <c r="G4" s="12"/>
      <c r="H4" s="11"/>
      <c r="I4" s="11"/>
      <c r="J4" s="11"/>
    </row>
    <row r="5" customFormat="false" ht="50.25" hidden="false" customHeight="true" outlineLevel="0" collapsed="false">
      <c r="A5" s="7" t="s">
        <v>15</v>
      </c>
      <c r="B5" s="8" t="s">
        <v>16</v>
      </c>
      <c r="C5" s="9" t="n">
        <v>167.99</v>
      </c>
      <c r="D5" s="10" t="n">
        <v>69.61</v>
      </c>
      <c r="E5" s="11" t="n">
        <v>70.538125</v>
      </c>
      <c r="F5" s="17" t="s">
        <v>197</v>
      </c>
      <c r="G5" s="12"/>
      <c r="H5" s="11"/>
      <c r="I5" s="11"/>
      <c r="J5" s="11"/>
    </row>
    <row r="6" customFormat="false" ht="50.25" hidden="false" customHeight="true" outlineLevel="0" collapsed="false">
      <c r="A6" s="13" t="s">
        <v>17</v>
      </c>
      <c r="B6" s="14" t="s">
        <v>18</v>
      </c>
      <c r="C6" s="15" t="n">
        <v>142.99</v>
      </c>
      <c r="D6" s="16" t="n">
        <v>33.41</v>
      </c>
      <c r="E6" s="11" t="n">
        <v>33.8555</v>
      </c>
      <c r="F6" s="17" t="s">
        <v>198</v>
      </c>
      <c r="G6" s="12"/>
      <c r="H6" s="11"/>
      <c r="I6" s="11"/>
      <c r="J6" s="11"/>
    </row>
    <row r="7" customFormat="false" ht="50.25" hidden="false" customHeight="true" outlineLevel="0" collapsed="false">
      <c r="A7" s="7" t="s">
        <v>19</v>
      </c>
      <c r="B7" s="8" t="s">
        <v>20</v>
      </c>
      <c r="C7" s="9" t="n">
        <v>157.99</v>
      </c>
      <c r="D7" s="10" t="n">
        <v>44.55</v>
      </c>
      <c r="E7" s="11" t="n">
        <v>45.144</v>
      </c>
      <c r="F7" s="17" t="s">
        <v>199</v>
      </c>
      <c r="G7" s="12"/>
      <c r="H7" s="11"/>
      <c r="I7" s="11"/>
      <c r="J7" s="11"/>
    </row>
    <row r="8" customFormat="false" ht="50.25" hidden="false" customHeight="true" outlineLevel="0" collapsed="false">
      <c r="A8" s="7" t="s">
        <v>79</v>
      </c>
      <c r="B8" s="8" t="s">
        <v>80</v>
      </c>
      <c r="C8" s="9" t="n">
        <v>142.99</v>
      </c>
      <c r="D8" s="10" t="n">
        <v>33.41</v>
      </c>
      <c r="E8" s="11" t="n">
        <v>33.8555</v>
      </c>
      <c r="F8" s="17" t="s">
        <v>200</v>
      </c>
      <c r="G8" s="12"/>
      <c r="H8" s="11"/>
      <c r="I8" s="11"/>
      <c r="J8" s="11"/>
    </row>
    <row r="9" customFormat="false" ht="50.25" hidden="false" customHeight="true" outlineLevel="0" collapsed="false">
      <c r="A9" s="13" t="s">
        <v>81</v>
      </c>
      <c r="B9" s="14" t="s">
        <v>82</v>
      </c>
      <c r="C9" s="15" t="n">
        <v>112.99</v>
      </c>
      <c r="D9" s="16" t="n">
        <v>25.06</v>
      </c>
      <c r="E9" s="11" t="n">
        <v>25.394125</v>
      </c>
      <c r="F9" s="17" t="s">
        <v>201</v>
      </c>
      <c r="G9" s="12"/>
      <c r="H9" s="11"/>
      <c r="I9" s="11"/>
      <c r="J9" s="11"/>
    </row>
    <row r="10" customFormat="false" ht="50.25" hidden="false" customHeight="true" outlineLevel="0" collapsed="false">
      <c r="A10" s="13" t="s">
        <v>101</v>
      </c>
      <c r="B10" s="14" t="s">
        <v>102</v>
      </c>
      <c r="C10" s="15" t="n">
        <v>32.99</v>
      </c>
      <c r="D10" s="16" t="n">
        <v>8.35</v>
      </c>
      <c r="E10" s="11" t="n">
        <v>8.461375</v>
      </c>
      <c r="F10" s="1" t="s">
        <v>194</v>
      </c>
      <c r="G10" s="12"/>
      <c r="H10" s="11"/>
      <c r="I10" s="11"/>
      <c r="J10" s="11"/>
    </row>
    <row r="11" customFormat="false" ht="33.75" hidden="false" customHeight="true" outlineLevel="0" collapsed="false">
      <c r="A11" s="7" t="n">
        <v>685264</v>
      </c>
      <c r="B11" s="8" t="s">
        <v>108</v>
      </c>
      <c r="C11" s="9" t="n">
        <v>44.99</v>
      </c>
      <c r="D11" s="10" t="n">
        <v>15.59</v>
      </c>
      <c r="E11" s="11" t="n">
        <v>15.81275</v>
      </c>
      <c r="F11" s="1" t="s">
        <v>194</v>
      </c>
      <c r="G11" s="12"/>
      <c r="H11" s="11"/>
      <c r="I11" s="11"/>
      <c r="J11" s="11"/>
    </row>
    <row r="12" customFormat="false" ht="33.75" hidden="false" customHeight="true" outlineLevel="0" collapsed="false">
      <c r="A12" s="13" t="s">
        <v>117</v>
      </c>
      <c r="B12" s="14" t="s">
        <v>118</v>
      </c>
      <c r="C12" s="15" t="n">
        <v>32.99</v>
      </c>
      <c r="D12" s="16" t="n">
        <v>8.35</v>
      </c>
      <c r="E12" s="11" t="n">
        <v>8.461375</v>
      </c>
      <c r="F12" s="1" t="s">
        <v>194</v>
      </c>
      <c r="G12" s="12"/>
      <c r="H12" s="11"/>
      <c r="I12" s="11"/>
      <c r="J12" s="11"/>
    </row>
    <row r="13" customFormat="false" ht="66.75" hidden="false" customHeight="true" outlineLevel="0" collapsed="false">
      <c r="A13" s="7" t="s">
        <v>127</v>
      </c>
      <c r="B13" s="8" t="s">
        <v>128</v>
      </c>
      <c r="C13" s="9" t="n">
        <v>69.99</v>
      </c>
      <c r="D13" s="10" t="n">
        <v>29.7</v>
      </c>
      <c r="E13" s="11" t="n">
        <v>30.1455</v>
      </c>
      <c r="F13" s="3" t="s">
        <v>202</v>
      </c>
      <c r="G13" s="12"/>
      <c r="H13" s="11"/>
      <c r="I13" s="11"/>
      <c r="J13" s="11"/>
    </row>
    <row r="14" customFormat="false" ht="66.75" hidden="false" customHeight="true" outlineLevel="0" collapsed="false">
      <c r="A14" s="7" t="s">
        <v>131</v>
      </c>
      <c r="B14" s="8" t="s">
        <v>132</v>
      </c>
      <c r="C14" s="9" t="n">
        <v>84.99</v>
      </c>
      <c r="D14" s="10" t="n">
        <v>29.7</v>
      </c>
      <c r="E14" s="11" t="n">
        <v>30.1455</v>
      </c>
      <c r="F14" s="3" t="s">
        <v>202</v>
      </c>
      <c r="G14" s="12"/>
      <c r="H14" s="11"/>
      <c r="I14" s="11"/>
      <c r="J14" s="11"/>
    </row>
    <row r="15" customFormat="false" ht="33.75" hidden="false" customHeight="true" outlineLevel="0" collapsed="false">
      <c r="A15" s="13" t="s">
        <v>137</v>
      </c>
      <c r="B15" s="14" t="s">
        <v>138</v>
      </c>
      <c r="C15" s="15" t="n">
        <v>44.99</v>
      </c>
      <c r="D15" s="16" t="n">
        <v>16.71</v>
      </c>
      <c r="E15" s="11" t="n">
        <v>16.93275</v>
      </c>
      <c r="F15" s="1" t="s">
        <v>203</v>
      </c>
      <c r="G15" s="12"/>
      <c r="H15" s="11"/>
      <c r="I15" s="11"/>
      <c r="J15" s="11"/>
    </row>
    <row r="16" customFormat="false" ht="33.75" hidden="false" customHeight="true" outlineLevel="0" collapsed="false">
      <c r="A16" s="13" t="s">
        <v>141</v>
      </c>
      <c r="B16" s="14" t="s">
        <v>142</v>
      </c>
      <c r="C16" s="15" t="n">
        <v>64.99</v>
      </c>
      <c r="D16" s="16" t="n">
        <v>33.41</v>
      </c>
      <c r="E16" s="11" t="n">
        <v>33.8555</v>
      </c>
      <c r="F16" s="1" t="s">
        <v>203</v>
      </c>
      <c r="G16" s="12"/>
      <c r="H16" s="11"/>
      <c r="I16" s="11"/>
      <c r="J16" s="11"/>
    </row>
    <row r="17" customFormat="false" ht="50.25" hidden="false" customHeight="true" outlineLevel="0" collapsed="false">
      <c r="A17" s="7" t="s">
        <v>147</v>
      </c>
      <c r="B17" s="8" t="s">
        <v>148</v>
      </c>
      <c r="C17" s="9" t="n">
        <v>44.99</v>
      </c>
      <c r="D17" s="10" t="n">
        <v>11.81</v>
      </c>
      <c r="E17" s="11" t="n">
        <v>12.03275</v>
      </c>
      <c r="F17" s="1" t="s">
        <v>203</v>
      </c>
      <c r="G17" s="12"/>
      <c r="H17" s="11"/>
      <c r="I17" s="11"/>
      <c r="J17" s="11"/>
    </row>
    <row r="18" customFormat="false" ht="33.75" hidden="false" customHeight="true" outlineLevel="0" collapsed="false">
      <c r="A18" s="7" t="s">
        <v>151</v>
      </c>
      <c r="B18" s="8" t="s">
        <v>152</v>
      </c>
      <c r="C18" s="9" t="n">
        <v>49.99</v>
      </c>
      <c r="D18" s="10" t="n">
        <v>11.81</v>
      </c>
      <c r="E18" s="11" t="n">
        <v>12.03275</v>
      </c>
      <c r="F18" s="1" t="s">
        <v>203</v>
      </c>
      <c r="G18" s="12"/>
      <c r="H18" s="11"/>
      <c r="I18" s="11"/>
      <c r="J18" s="11"/>
    </row>
    <row r="19" customFormat="false" ht="50.25" hidden="false" customHeight="true" outlineLevel="0" collapsed="false">
      <c r="A19" s="13" t="s">
        <v>153</v>
      </c>
      <c r="B19" s="14" t="s">
        <v>154</v>
      </c>
      <c r="C19" s="15" t="n">
        <v>37.99</v>
      </c>
      <c r="D19" s="16" t="n">
        <v>5.9</v>
      </c>
      <c r="E19" s="11" t="n">
        <v>6.011375</v>
      </c>
      <c r="F19" s="1" t="s">
        <v>204</v>
      </c>
      <c r="G19" s="12"/>
      <c r="H19" s="11"/>
      <c r="I19" s="11"/>
      <c r="J19" s="11"/>
    </row>
    <row r="20" customFormat="false" ht="50.25" hidden="false" customHeight="true" outlineLevel="0" collapsed="false">
      <c r="A20" s="7" t="s">
        <v>159</v>
      </c>
      <c r="B20" s="8" t="s">
        <v>160</v>
      </c>
      <c r="C20" s="9" t="n">
        <v>49.99</v>
      </c>
      <c r="D20" s="10" t="n">
        <v>11.81</v>
      </c>
      <c r="E20" s="11" t="n">
        <v>12.03275</v>
      </c>
      <c r="F20" s="1" t="s">
        <v>204</v>
      </c>
      <c r="G20" s="12"/>
      <c r="H20" s="11"/>
      <c r="I20" s="11"/>
      <c r="J20" s="11"/>
    </row>
    <row r="21" customFormat="false" ht="50.25" hidden="false" customHeight="true" outlineLevel="0" collapsed="false">
      <c r="A21" s="7" t="s">
        <v>171</v>
      </c>
      <c r="B21" s="8" t="s">
        <v>172</v>
      </c>
      <c r="C21" s="9" t="n">
        <v>44.99</v>
      </c>
      <c r="D21" s="10" t="n">
        <v>11.81</v>
      </c>
      <c r="E21" s="11" t="n">
        <v>12.03275</v>
      </c>
      <c r="F21" s="1" t="s">
        <v>204</v>
      </c>
      <c r="G21" s="12"/>
      <c r="H21" s="11"/>
      <c r="I21" s="11"/>
      <c r="J21" s="11"/>
    </row>
    <row r="22" customFormat="false" ht="33.75" hidden="false" customHeight="true" outlineLevel="0" collapsed="false">
      <c r="A22" s="13" t="n">
        <v>869339</v>
      </c>
      <c r="B22" s="14" t="s">
        <v>173</v>
      </c>
      <c r="C22" s="15" t="n">
        <v>44.99</v>
      </c>
      <c r="D22" s="10" t="n">
        <v>11.81</v>
      </c>
      <c r="E22" s="11" t="n">
        <v>12.03275</v>
      </c>
      <c r="F22" s="1" t="s">
        <v>203</v>
      </c>
      <c r="G22" s="12"/>
      <c r="H22" s="11"/>
      <c r="I22" s="11"/>
      <c r="J22" s="11"/>
    </row>
    <row r="23" customFormat="false" ht="50.25" hidden="false" customHeight="true" outlineLevel="0" collapsed="false">
      <c r="A23" s="7" t="s">
        <v>167</v>
      </c>
      <c r="B23" s="8" t="s">
        <v>168</v>
      </c>
      <c r="C23" s="9" t="n">
        <v>142.99</v>
      </c>
      <c r="D23" s="10" t="n">
        <v>33.41</v>
      </c>
      <c r="E23" s="11" t="n">
        <v>33.8555</v>
      </c>
      <c r="F23" s="3" t="s">
        <v>205</v>
      </c>
      <c r="G23" s="12"/>
      <c r="H23" s="11"/>
      <c r="I23" s="11"/>
      <c r="J23" s="11"/>
    </row>
    <row r="24" customFormat="false" ht="50.25" hidden="false" customHeight="true" outlineLevel="0" collapsed="false">
      <c r="A24" s="7" t="s">
        <v>174</v>
      </c>
      <c r="B24" s="8" t="s">
        <v>175</v>
      </c>
      <c r="C24" s="9" t="n">
        <v>142.99</v>
      </c>
      <c r="D24" s="10" t="n">
        <v>33.41</v>
      </c>
      <c r="E24" s="11" t="n">
        <v>33.8555</v>
      </c>
      <c r="F24" s="3" t="s">
        <v>206</v>
      </c>
      <c r="G24" s="12"/>
      <c r="H24" s="11"/>
      <c r="I24" s="11"/>
      <c r="J24" s="1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2" activeCellId="0" sqref="D12"/>
    </sheetView>
  </sheetViews>
  <sheetFormatPr defaultColWidth="8.66796875" defaultRowHeight="15" zeroHeight="false" outlineLevelRow="0" outlineLevelCol="0"/>
  <cols>
    <col collapsed="false" customWidth="true" hidden="false" outlineLevel="0" max="2" min="2" style="1" width="53.83"/>
    <col collapsed="false" customWidth="true" hidden="false" outlineLevel="0" max="3" min="3" style="1" width="11.83"/>
    <col collapsed="false" customWidth="true" hidden="false" outlineLevel="0" max="4" min="4" style="1" width="25.16"/>
    <col collapsed="false" customWidth="true" hidden="false" outlineLevel="0" max="5" min="5" style="1" width="14.52"/>
  </cols>
  <sheetData>
    <row r="1" customFormat="false" ht="33.75" hidden="false" customHeight="true" outlineLevel="0" collapsed="false">
      <c r="A1" s="13" t="s">
        <v>49</v>
      </c>
      <c r="B1" s="14" t="s">
        <v>50</v>
      </c>
      <c r="C1" s="15" t="n">
        <v>57.99</v>
      </c>
      <c r="D1" s="18" t="n">
        <v>13.07</v>
      </c>
    </row>
    <row r="2" customFormat="false" ht="16.5" hidden="false" customHeight="true" outlineLevel="0" collapsed="false">
      <c r="A2" s="7" t="s">
        <v>51</v>
      </c>
      <c r="B2" s="8" t="s">
        <v>52</v>
      </c>
      <c r="C2" s="9" t="n">
        <v>44.99</v>
      </c>
      <c r="D2" s="1" t="s">
        <v>207</v>
      </c>
    </row>
    <row r="3" customFormat="false" ht="16.5" hidden="false" customHeight="true" outlineLevel="0" collapsed="false">
      <c r="A3" s="13" t="s">
        <v>53</v>
      </c>
      <c r="B3" s="14" t="s">
        <v>54</v>
      </c>
      <c r="C3" s="15" t="n">
        <v>52.99</v>
      </c>
      <c r="D3" s="19" t="n">
        <v>16.04</v>
      </c>
    </row>
    <row r="4" customFormat="false" ht="16.5" hidden="false" customHeight="true" outlineLevel="0" collapsed="false">
      <c r="A4" s="7" t="s">
        <v>55</v>
      </c>
      <c r="B4" s="8" t="s">
        <v>56</v>
      </c>
      <c r="C4" s="9" t="n">
        <v>57.99</v>
      </c>
      <c r="D4" s="18" t="n">
        <v>16.04</v>
      </c>
    </row>
    <row r="5" customFormat="false" ht="16.5" hidden="false" customHeight="true" outlineLevel="0" collapsed="false">
      <c r="A5" s="13" t="s">
        <v>57</v>
      </c>
      <c r="B5" s="14" t="s">
        <v>58</v>
      </c>
      <c r="C5" s="15" t="n">
        <v>57.99</v>
      </c>
      <c r="D5" s="18" t="n">
        <v>16.04</v>
      </c>
    </row>
    <row r="6" customFormat="false" ht="16.5" hidden="false" customHeight="true" outlineLevel="0" collapsed="false">
      <c r="A6" s="7" t="s">
        <v>59</v>
      </c>
      <c r="B6" s="8" t="s">
        <v>60</v>
      </c>
      <c r="C6" s="9" t="n">
        <v>57.99</v>
      </c>
      <c r="D6" s="18" t="n">
        <v>16.04</v>
      </c>
    </row>
    <row r="7" customFormat="false" ht="16.5" hidden="false" customHeight="true" outlineLevel="0" collapsed="false">
      <c r="A7" s="13" t="s">
        <v>61</v>
      </c>
      <c r="B7" s="14" t="s">
        <v>62</v>
      </c>
      <c r="C7" s="15" t="n">
        <v>57.99</v>
      </c>
      <c r="D7" s="18" t="n">
        <v>13.07</v>
      </c>
    </row>
    <row r="8" customFormat="false" ht="16.5" hidden="false" customHeight="true" outlineLevel="0" collapsed="false">
      <c r="A8" s="7" t="s">
        <v>63</v>
      </c>
      <c r="B8" s="8" t="s">
        <v>64</v>
      </c>
      <c r="C8" s="9" t="n">
        <v>59.99</v>
      </c>
      <c r="D8" s="18" t="n">
        <v>16.04</v>
      </c>
    </row>
    <row r="9" customFormat="false" ht="16.5" hidden="false" customHeight="true" outlineLevel="0" collapsed="false">
      <c r="A9" s="13" t="s">
        <v>65</v>
      </c>
      <c r="B9" s="14" t="s">
        <v>66</v>
      </c>
      <c r="C9" s="15" t="n">
        <v>57.99</v>
      </c>
      <c r="D9" s="18" t="n">
        <v>13.07</v>
      </c>
    </row>
    <row r="10" customFormat="false" ht="16.5" hidden="false" customHeight="true" outlineLevel="0" collapsed="false">
      <c r="A10" s="7" t="s">
        <v>67</v>
      </c>
      <c r="B10" s="8" t="s">
        <v>68</v>
      </c>
      <c r="C10" s="9" t="n">
        <v>57.99</v>
      </c>
      <c r="D10" s="18" t="n">
        <v>13.07</v>
      </c>
    </row>
    <row r="11" customFormat="false" ht="16.5" hidden="false" customHeight="true" outlineLevel="0" collapsed="false">
      <c r="A11" s="13" t="s">
        <v>69</v>
      </c>
      <c r="B11" s="14" t="s">
        <v>70</v>
      </c>
      <c r="C11" s="15" t="n">
        <v>57.99</v>
      </c>
      <c r="D11" s="18" t="n">
        <v>13.07</v>
      </c>
    </row>
    <row r="12" customFormat="false" ht="33.75" hidden="false" customHeight="true" outlineLevel="0" collapsed="false">
      <c r="A12" s="7" t="s">
        <v>71</v>
      </c>
      <c r="B12" s="8" t="s">
        <v>72</v>
      </c>
      <c r="C12" s="9" t="n">
        <v>57.99</v>
      </c>
      <c r="D12" s="18" t="n">
        <v>13.07</v>
      </c>
    </row>
    <row r="13" customFormat="false" ht="33.75" hidden="false" customHeight="true" outlineLevel="0" collapsed="false">
      <c r="A13" s="13" t="s">
        <v>73</v>
      </c>
      <c r="B13" s="14" t="s">
        <v>74</v>
      </c>
      <c r="C13" s="15" t="n">
        <v>57.99</v>
      </c>
      <c r="D13" s="18" t="n">
        <v>13.07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8" activeCellId="0" sqref="D18"/>
    </sheetView>
  </sheetViews>
  <sheetFormatPr defaultColWidth="8.66796875" defaultRowHeight="15" zeroHeight="false" outlineLevelRow="0" outlineLevelCol="0"/>
  <cols>
    <col collapsed="false" customWidth="true" hidden="false" outlineLevel="0" max="2" min="2" style="1" width="80.5"/>
    <col collapsed="false" customWidth="true" hidden="false" outlineLevel="0" max="6" min="6" style="1" width="40.67"/>
  </cols>
  <sheetData>
    <row r="1" customFormat="false" ht="31.5" hidden="false" customHeight="true" outlineLevel="0" collapsed="false">
      <c r="A1" s="13" t="s">
        <v>4</v>
      </c>
      <c r="B1" s="14" t="s">
        <v>5</v>
      </c>
      <c r="C1" s="15" t="n">
        <v>37.99</v>
      </c>
      <c r="D1" s="18" t="n">
        <v>5.35</v>
      </c>
      <c r="F1" s="20" t="s">
        <v>208</v>
      </c>
    </row>
    <row r="2" customFormat="false" ht="16.5" hidden="false" customHeight="true" outlineLevel="0" collapsed="false">
      <c r="A2" s="7" t="s">
        <v>95</v>
      </c>
      <c r="B2" s="8" t="s">
        <v>96</v>
      </c>
      <c r="C2" s="9" t="n">
        <v>24.99</v>
      </c>
      <c r="D2" s="18" t="n">
        <v>2.67</v>
      </c>
    </row>
    <row r="3" customFormat="false" ht="16.5" hidden="false" customHeight="true" outlineLevel="0" collapsed="false">
      <c r="A3" s="13" t="s">
        <v>97</v>
      </c>
      <c r="B3" s="14" t="s">
        <v>98</v>
      </c>
      <c r="C3" s="15" t="n">
        <v>44.99</v>
      </c>
      <c r="D3" s="18" t="n">
        <v>10.69</v>
      </c>
    </row>
    <row r="4" customFormat="false" ht="16.5" hidden="false" customHeight="true" outlineLevel="0" collapsed="false">
      <c r="A4" s="7" t="s">
        <v>99</v>
      </c>
      <c r="B4" s="8" t="s">
        <v>100</v>
      </c>
      <c r="C4" s="9" t="n">
        <v>24.99</v>
      </c>
      <c r="D4" s="18" t="n">
        <v>2.67</v>
      </c>
    </row>
    <row r="5" customFormat="false" ht="16.5" hidden="false" customHeight="true" outlineLevel="0" collapsed="false">
      <c r="A5" s="7" t="s">
        <v>103</v>
      </c>
      <c r="B5" s="8" t="s">
        <v>104</v>
      </c>
      <c r="C5" s="9" t="n">
        <v>44.99</v>
      </c>
      <c r="D5" s="18" t="n">
        <v>9.5</v>
      </c>
    </row>
    <row r="6" customFormat="false" ht="16.5" hidden="false" customHeight="true" outlineLevel="0" collapsed="false">
      <c r="A6" s="13" t="s">
        <v>105</v>
      </c>
      <c r="B6" s="14" t="s">
        <v>106</v>
      </c>
      <c r="C6" s="15" t="n">
        <v>44.99</v>
      </c>
      <c r="D6" s="18" t="n">
        <v>10.69</v>
      </c>
    </row>
    <row r="7" customFormat="false" ht="16.5" hidden="false" customHeight="true" outlineLevel="0" collapsed="false">
      <c r="A7" s="13" t="s">
        <v>109</v>
      </c>
      <c r="B7" s="14" t="s">
        <v>110</v>
      </c>
      <c r="C7" s="15" t="n">
        <v>32.99</v>
      </c>
      <c r="D7" s="18" t="n">
        <v>5.35</v>
      </c>
    </row>
    <row r="8" customFormat="false" ht="16.5" hidden="false" customHeight="true" outlineLevel="0" collapsed="false">
      <c r="A8" s="7" t="s">
        <v>111</v>
      </c>
      <c r="B8" s="8" t="s">
        <v>112</v>
      </c>
      <c r="C8" s="9" t="n">
        <v>49.99</v>
      </c>
      <c r="D8" s="18" t="n">
        <v>5.35</v>
      </c>
    </row>
    <row r="9" customFormat="false" ht="16.5" hidden="false" customHeight="true" outlineLevel="0" collapsed="false">
      <c r="A9" s="7" t="s">
        <v>115</v>
      </c>
      <c r="B9" s="8" t="s">
        <v>116</v>
      </c>
      <c r="C9" s="9" t="n">
        <v>27.99</v>
      </c>
      <c r="D9" s="18" t="n">
        <v>2.67</v>
      </c>
    </row>
    <row r="10" customFormat="false" ht="16.5" hidden="false" customHeight="true" outlineLevel="0" collapsed="false">
      <c r="A10" s="7" t="s">
        <v>119</v>
      </c>
      <c r="B10" s="8" t="s">
        <v>120</v>
      </c>
      <c r="C10" s="9" t="n">
        <v>44.99</v>
      </c>
      <c r="D10" s="18" t="n">
        <v>9.5</v>
      </c>
    </row>
    <row r="11" customFormat="false" ht="16.5" hidden="false" customHeight="true" outlineLevel="0" collapsed="false">
      <c r="A11" s="13" t="s">
        <v>121</v>
      </c>
      <c r="B11" s="14" t="s">
        <v>122</v>
      </c>
      <c r="C11" s="15" t="n">
        <v>49.99</v>
      </c>
      <c r="D11" s="18" t="n">
        <v>2</v>
      </c>
    </row>
    <row r="12" customFormat="false" ht="16.5" hidden="false" customHeight="true" outlineLevel="0" collapsed="false">
      <c r="A12" s="7" t="s">
        <v>123</v>
      </c>
      <c r="B12" s="8" t="s">
        <v>124</v>
      </c>
      <c r="C12" s="9" t="n">
        <v>32.99</v>
      </c>
      <c r="D12" s="18" t="n">
        <v>2.67</v>
      </c>
    </row>
    <row r="13" customFormat="false" ht="16.5" hidden="false" customHeight="true" outlineLevel="0" collapsed="false">
      <c r="A13" s="13" t="s">
        <v>125</v>
      </c>
      <c r="B13" s="14" t="s">
        <v>126</v>
      </c>
      <c r="C13" s="15" t="n">
        <v>37.99</v>
      </c>
      <c r="D13" s="18" t="n">
        <v>4.01</v>
      </c>
    </row>
    <row r="14" customFormat="false" ht="16.5" hidden="false" customHeight="true" outlineLevel="0" collapsed="false">
      <c r="A14" s="13" t="s">
        <v>129</v>
      </c>
      <c r="B14" s="14" t="s">
        <v>130</v>
      </c>
      <c r="C14" s="15" t="n">
        <v>37.99</v>
      </c>
      <c r="D14" s="18" t="n">
        <v>10.69</v>
      </c>
    </row>
    <row r="15" customFormat="false" ht="16.5" hidden="false" customHeight="true" outlineLevel="0" collapsed="false">
      <c r="A15" s="13" t="s">
        <v>133</v>
      </c>
      <c r="B15" s="14" t="s">
        <v>134</v>
      </c>
      <c r="C15" s="15" t="n">
        <v>37.99</v>
      </c>
      <c r="D15" s="18" t="n">
        <v>10.69</v>
      </c>
    </row>
    <row r="16" customFormat="false" ht="16.5" hidden="false" customHeight="true" outlineLevel="0" collapsed="false">
      <c r="A16" s="7" t="s">
        <v>135</v>
      </c>
      <c r="B16" s="8" t="s">
        <v>136</v>
      </c>
      <c r="C16" s="9" t="n">
        <v>44.99</v>
      </c>
      <c r="D16" s="18" t="n">
        <v>10.69</v>
      </c>
    </row>
    <row r="17" customFormat="false" ht="16.5" hidden="false" customHeight="true" outlineLevel="0" collapsed="false">
      <c r="A17" s="7" t="s">
        <v>139</v>
      </c>
      <c r="B17" s="8" t="s">
        <v>140</v>
      </c>
      <c r="C17" s="9" t="n">
        <v>32.99</v>
      </c>
      <c r="D17" s="18" t="n">
        <v>2.89</v>
      </c>
    </row>
    <row r="18" customFormat="false" ht="16.5" hidden="false" customHeight="true" outlineLevel="0" collapsed="false">
      <c r="A18" s="7" t="s">
        <v>143</v>
      </c>
      <c r="B18" s="8" t="s">
        <v>144</v>
      </c>
      <c r="C18" s="9" t="n">
        <v>49.99</v>
      </c>
      <c r="D18" s="18" t="n">
        <v>1.94</v>
      </c>
    </row>
    <row r="19" customFormat="false" ht="16.5" hidden="false" customHeight="true" outlineLevel="0" collapsed="false">
      <c r="A19" s="13" t="s">
        <v>149</v>
      </c>
      <c r="B19" s="14" t="s">
        <v>150</v>
      </c>
      <c r="C19" s="15" t="n">
        <v>49.99</v>
      </c>
      <c r="D19" s="18" t="n">
        <v>10.69</v>
      </c>
    </row>
    <row r="20" customFormat="false" ht="16.5" hidden="false" customHeight="true" outlineLevel="0" collapsed="false">
      <c r="A20" s="7" t="s">
        <v>155</v>
      </c>
      <c r="B20" s="8" t="s">
        <v>156</v>
      </c>
      <c r="C20" s="9" t="n">
        <v>32.99</v>
      </c>
      <c r="D20" s="21" t="n">
        <f aca="false">D18*1.65</f>
        <v>3.201</v>
      </c>
    </row>
    <row r="21" customFormat="false" ht="16.5" hidden="false" customHeight="true" outlineLevel="0" collapsed="false">
      <c r="A21" s="13" t="s">
        <v>157</v>
      </c>
      <c r="B21" s="14" t="s">
        <v>158</v>
      </c>
      <c r="C21" s="15" t="n">
        <v>32.99</v>
      </c>
      <c r="D21" s="18" t="n">
        <v>5.35</v>
      </c>
    </row>
    <row r="22" customFormat="false" ht="16.5" hidden="false" customHeight="true" outlineLevel="0" collapsed="false">
      <c r="A22" s="13" t="s">
        <v>161</v>
      </c>
      <c r="B22" s="14" t="s">
        <v>162</v>
      </c>
      <c r="C22" s="15" t="n">
        <v>32.99</v>
      </c>
      <c r="D22" s="18" t="n">
        <v>2.67</v>
      </c>
    </row>
    <row r="23" customFormat="false" ht="16.5" hidden="false" customHeight="true" outlineLevel="0" collapsed="false">
      <c r="A23" s="7" t="s">
        <v>163</v>
      </c>
      <c r="B23" s="8" t="s">
        <v>164</v>
      </c>
      <c r="C23" s="9" t="n">
        <v>32.99</v>
      </c>
      <c r="D23" s="18" t="n">
        <v>10.69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I10" activeCellId="0" sqref="I10"/>
    </sheetView>
  </sheetViews>
  <sheetFormatPr defaultColWidth="8.66796875" defaultRowHeight="15" zeroHeight="false" outlineLevelRow="0" outlineLevelCol="0"/>
  <cols>
    <col collapsed="false" customWidth="true" hidden="false" outlineLevel="0" max="1" min="1" style="1" width="15"/>
    <col collapsed="false" customWidth="true" hidden="false" outlineLevel="0" max="2" min="2" style="1" width="13"/>
    <col collapsed="false" customWidth="true" hidden="false" outlineLevel="0" max="3" min="3" style="1" width="48"/>
    <col collapsed="false" customWidth="true" hidden="false" outlineLevel="0" max="9" min="4" style="1" width="15"/>
    <col collapsed="false" customWidth="true" hidden="false" outlineLevel="0" max="10" min="10" style="1" width="16"/>
    <col collapsed="false" customWidth="true" hidden="false" outlineLevel="0" max="12" min="11" style="1" width="14"/>
  </cols>
  <sheetData>
    <row r="1" customFormat="false" ht="18.75" hidden="false" customHeight="true" outlineLevel="0" collapsed="false">
      <c r="A1" s="22" t="s">
        <v>209</v>
      </c>
    </row>
    <row r="2" customFormat="false" ht="30" hidden="false" customHeight="true" outlineLevel="0" collapsed="false">
      <c r="A2" s="23" t="s">
        <v>210</v>
      </c>
      <c r="B2" s="23"/>
      <c r="C2" s="23"/>
      <c r="D2" s="23"/>
      <c r="E2" s="23"/>
      <c r="F2" s="23"/>
      <c r="G2" s="23"/>
      <c r="H2" s="23"/>
      <c r="I2" s="23"/>
      <c r="J2" s="23"/>
    </row>
    <row r="3" customFormat="false" ht="30" hidden="false" customHeight="true" outlineLevel="0" collapsed="false">
      <c r="A3" s="23" t="s">
        <v>211</v>
      </c>
      <c r="B3" s="23"/>
      <c r="C3" s="23"/>
      <c r="D3" s="23"/>
      <c r="E3" s="23"/>
      <c r="F3" s="23"/>
      <c r="G3" s="23"/>
      <c r="H3" s="23"/>
      <c r="I3" s="23"/>
      <c r="J3" s="23"/>
    </row>
    <row r="5" customFormat="false" ht="48.75" hidden="false" customHeight="true" outlineLevel="0" collapsed="false">
      <c r="A5" s="24" t="s">
        <v>212</v>
      </c>
      <c r="B5" s="24" t="s">
        <v>0</v>
      </c>
      <c r="C5" s="24" t="s">
        <v>1</v>
      </c>
      <c r="D5" s="24" t="s">
        <v>213</v>
      </c>
      <c r="E5" s="24" t="s">
        <v>214</v>
      </c>
      <c r="F5" s="24" t="s">
        <v>215</v>
      </c>
      <c r="G5" s="24" t="s">
        <v>216</v>
      </c>
      <c r="H5" s="25" t="s">
        <v>217</v>
      </c>
      <c r="I5" s="25" t="s">
        <v>218</v>
      </c>
      <c r="J5" s="24" t="s">
        <v>219</v>
      </c>
      <c r="K5" s="24" t="s">
        <v>220</v>
      </c>
      <c r="L5" s="24" t="s">
        <v>221</v>
      </c>
      <c r="M5" s="25"/>
      <c r="N5" s="25"/>
    </row>
    <row r="6" customFormat="false" ht="31.5" hidden="false" customHeight="true" outlineLevel="0" collapsed="false">
      <c r="A6" s="26" t="s">
        <v>222</v>
      </c>
      <c r="B6" s="26" t="str">
        <f aca="false">'1.6 AL ON WEBSITE'!A1</f>
        <v>114090</v>
      </c>
      <c r="C6" s="27" t="str">
        <f aca="false">'1.6 AL ON WEBSITE'!B1</f>
        <v>Security Sign This Area Is Under 24 Hour Surv Metal 450x300 SW023LSM</v>
      </c>
      <c r="D6" s="28" t="n">
        <f aca="false">'1.6 AL ON WEBSITE'!C1</f>
        <v>42.99</v>
      </c>
      <c r="E6" s="28" t="n">
        <f aca="false">D6/1.1</f>
        <v>39.0818181818182</v>
      </c>
      <c r="F6" s="28" t="n">
        <f aca="false">'1.6 AL ON WEBSITE'!D1</f>
        <v>16.71</v>
      </c>
      <c r="G6" s="28" t="n">
        <f aca="false">F6*1.1</f>
        <v>18.381</v>
      </c>
      <c r="H6" s="11" t="n">
        <f aca="false">IF('1.6 AL ON WEBSITE'!E1="","",'1.6 AL ON WEBSITE'!E1)</f>
        <v>16.93275</v>
      </c>
      <c r="I6" s="11" t="n">
        <f aca="false">IF(H6="","",H6*1.1)</f>
        <v>18.626025</v>
      </c>
      <c r="J6" s="28" t="n">
        <f aca="false">E6-F6</f>
        <v>22.3718181818182</v>
      </c>
      <c r="K6" s="29" t="n">
        <f aca="false">IFERROR(E6/F6-1,"")</f>
        <v>1.33882813775094</v>
      </c>
      <c r="L6" s="27" t="str">
        <f aca="false">IF('1.6 AL ON WEBSITE'!F1="","",'1.6 AL ON WEBSITE'!F1)</f>
        <v>Site/Warehouse safety sign </v>
      </c>
      <c r="M6" s="11"/>
      <c r="N6" s="11"/>
    </row>
    <row r="7" customFormat="false" ht="48" hidden="false" customHeight="true" outlineLevel="0" collapsed="false">
      <c r="A7" s="26" t="s">
        <v>222</v>
      </c>
      <c r="B7" s="26" t="str">
        <f aca="false">'1.6 AL ON WEBSITE'!A2</f>
        <v>201032</v>
      </c>
      <c r="C7" s="27" t="str">
        <f aca="false">'1.6 AL ON WEBSITE'!B2</f>
        <v>Uniform Safety Flat Plate Swing Stand Reduce Speed Metal SG519-ALUM</v>
      </c>
      <c r="D7" s="28" t="n">
        <f aca="false">'1.6 AL ON WEBSITE'!C2</f>
        <v>134.99</v>
      </c>
      <c r="E7" s="28" t="n">
        <f aca="false">D7/1.1</f>
        <v>122.718181818182</v>
      </c>
      <c r="F7" s="28" t="n">
        <f aca="false">'1.6 AL ON WEBSITE'!D2</f>
        <v>66.83</v>
      </c>
      <c r="G7" s="28" t="n">
        <f aca="false">F7*1.1</f>
        <v>73.513</v>
      </c>
      <c r="H7" s="11" t="str">
        <f aca="false">IF('1.6 AL ON WEBSITE'!E2="","",'1.6 AL ON WEBSITE'!E2)</f>
        <v/>
      </c>
      <c r="I7" s="11" t="str">
        <f aca="false">IF(H7="","",H7*1.1)</f>
        <v/>
      </c>
      <c r="J7" s="28" t="n">
        <f aca="false">E7-F7</f>
        <v>55.8881818181818</v>
      </c>
      <c r="K7" s="29" t="n">
        <f aca="false">IFERROR(E7/F7-1,"")</f>
        <v>0.836273856324732</v>
      </c>
      <c r="L7" s="27" t="str">
        <f aca="false">IF('1.6 AL ON WEBSITE'!F2="","",'1.6 AL ON WEBSITE'!F2)</f>
        <v>Traffic control temp signage assuming this is 900x600 no sizes provided, more used for gardnening or side road works. Swing stand holes required </v>
      </c>
      <c r="M7" s="11"/>
      <c r="N7" s="11"/>
    </row>
    <row r="8" customFormat="false" ht="48" hidden="false" customHeight="true" outlineLevel="0" collapsed="false">
      <c r="A8" s="26" t="s">
        <v>222</v>
      </c>
      <c r="B8" s="26" t="str">
        <f aca="false">'1.6 AL ON WEBSITE'!A3</f>
        <v>201033</v>
      </c>
      <c r="C8" s="27" t="str">
        <f aca="false">'1.6 AL ON WEBSITE'!B3</f>
        <v>Unifrom Safety Sign Flate Plat Swing Stand End Roadwork Metal SG501-ALUM</v>
      </c>
      <c r="D8" s="28" t="n">
        <f aca="false">'1.6 AL ON WEBSITE'!C3</f>
        <v>167.99</v>
      </c>
      <c r="E8" s="28" t="n">
        <f aca="false">D8/1.1</f>
        <v>152.718181818182</v>
      </c>
      <c r="F8" s="28" t="n">
        <f aca="false">'1.6 AL ON WEBSITE'!D3</f>
        <v>44.55</v>
      </c>
      <c r="G8" s="28" t="n">
        <f aca="false">F8*1.1</f>
        <v>49.005</v>
      </c>
      <c r="H8" s="11" t="str">
        <f aca="false">IF('1.6 AL ON WEBSITE'!E3="","",'1.6 AL ON WEBSITE'!E3)</f>
        <v/>
      </c>
      <c r="I8" s="11" t="str">
        <f aca="false">IF(H8="","",H8*1.1)</f>
        <v/>
      </c>
      <c r="J8" s="28" t="n">
        <f aca="false">E8-F8</f>
        <v>108.168181818182</v>
      </c>
      <c r="K8" s="29" t="n">
        <f aca="false">IFERROR(E8/F8-1,"")</f>
        <v>2.42801754922967</v>
      </c>
      <c r="L8" s="27" t="str">
        <f aca="false">IF('1.6 AL ON WEBSITE'!F3="","",'1.6 AL ON WEBSITE'!F3)</f>
        <v>Traffic control temp signage assuming this is 900x600 no sizes provided, more used for gardnening or side road works. Swing stand holes required </v>
      </c>
      <c r="M8" s="11"/>
      <c r="N8" s="11"/>
    </row>
    <row r="9" customFormat="false" ht="31.5" hidden="false" customHeight="true" outlineLevel="0" collapsed="false">
      <c r="A9" s="26" t="s">
        <v>222</v>
      </c>
      <c r="B9" s="26" t="str">
        <f aca="false">'1.6 AL ON WEBSITE'!A4</f>
        <v>60268</v>
      </c>
      <c r="C9" s="27" t="str">
        <f aca="false">'1.6 AL ON WEBSITE'!B4</f>
        <v>Stop 600mm Octagonal Metal Traffic Sign R1-1A-1X</v>
      </c>
      <c r="D9" s="28" t="n">
        <f aca="false">'1.6 AL ON WEBSITE'!C4</f>
        <v>147.99</v>
      </c>
      <c r="E9" s="28" t="n">
        <f aca="false">D9/1.1</f>
        <v>134.536363636364</v>
      </c>
      <c r="F9" s="28" t="n">
        <f aca="false">'1.6 AL ON WEBSITE'!D4</f>
        <v>44.55</v>
      </c>
      <c r="G9" s="28" t="n">
        <f aca="false">F9*1.1</f>
        <v>49.005</v>
      </c>
      <c r="H9" s="11" t="n">
        <f aca="false">IF('1.6 AL ON WEBSITE'!E4="","",'1.6 AL ON WEBSITE'!E4)</f>
        <v>45.144</v>
      </c>
      <c r="I9" s="11" t="n">
        <f aca="false">IF(H9="","",H9*1.1)</f>
        <v>49.6584</v>
      </c>
      <c r="J9" s="28" t="n">
        <f aca="false">E9-F9</f>
        <v>89.9863636363636</v>
      </c>
      <c r="K9" s="29" t="n">
        <f aca="false">IFERROR(E9/F9-1,"")</f>
        <v>2.01989592898684</v>
      </c>
      <c r="L9" s="27" t="str">
        <f aca="false">IF('1.6 AL ON WEBSITE'!F4="","",'1.6 AL ON WEBSITE'!F4)</f>
        <v>Traffic signage, STOP sign, only sold in one size at RSEA, comes in 3 different standard sizes. </v>
      </c>
      <c r="M9" s="11"/>
      <c r="N9" s="11"/>
    </row>
    <row r="10" customFormat="false" ht="31.5" hidden="false" customHeight="true" outlineLevel="0" collapsed="false">
      <c r="A10" s="26" t="s">
        <v>222</v>
      </c>
      <c r="B10" s="26" t="str">
        <f aca="false">'1.6 AL ON WEBSITE'!A5</f>
        <v>60273</v>
      </c>
      <c r="C10" s="27" t="str">
        <f aca="false">'1.6 AL ON WEBSITE'!B5</f>
        <v>Give Way 750mm Triangle Metal Traffic Sign R1-2A</v>
      </c>
      <c r="D10" s="28" t="n">
        <f aca="false">'1.6 AL ON WEBSITE'!C5</f>
        <v>167.99</v>
      </c>
      <c r="E10" s="28" t="n">
        <f aca="false">D10/1.1</f>
        <v>152.718181818182</v>
      </c>
      <c r="F10" s="28" t="n">
        <f aca="false">'1.6 AL ON WEBSITE'!D5</f>
        <v>69.61</v>
      </c>
      <c r="G10" s="28" t="n">
        <f aca="false">F10*1.1</f>
        <v>76.571</v>
      </c>
      <c r="H10" s="11" t="n">
        <f aca="false">IF('1.6 AL ON WEBSITE'!E5="","",'1.6 AL ON WEBSITE'!E5)</f>
        <v>70.538125</v>
      </c>
      <c r="I10" s="11" t="n">
        <f aca="false">IF(H10="","",H10*1.1)</f>
        <v>77.5919375</v>
      </c>
      <c r="J10" s="28" t="n">
        <f aca="false">E10-F10</f>
        <v>83.1081818181818</v>
      </c>
      <c r="K10" s="29" t="n">
        <f aca="false">IFERROR(E10/F10-1,"")</f>
        <v>1.19391153308694</v>
      </c>
      <c r="L10" s="27" t="str">
        <f aca="false">IF('1.6 AL ON WEBSITE'!F5="","",'1.6 AL ON WEBSITE'!F5)</f>
        <v>Traffic signage, GIVE WAY sign, only sold in one size at RSEA comes in 4 different standard sizes</v>
      </c>
      <c r="M10" s="11"/>
      <c r="N10" s="11"/>
    </row>
    <row r="11" customFormat="false" ht="31.5" hidden="false" customHeight="true" outlineLevel="0" collapsed="false">
      <c r="A11" s="26" t="s">
        <v>222</v>
      </c>
      <c r="B11" s="26" t="str">
        <f aca="false">'1.6 AL ON WEBSITE'!A6</f>
        <v>60290</v>
      </c>
      <c r="C11" s="27" t="str">
        <f aca="false">'1.6 AL ON WEBSITE'!B6</f>
        <v>Keep Left Arrow 450x600mm Metal Traffic Sign R2-3AL</v>
      </c>
      <c r="D11" s="28" t="n">
        <f aca="false">'1.6 AL ON WEBSITE'!C6</f>
        <v>142.99</v>
      </c>
      <c r="E11" s="28" t="n">
        <f aca="false">D11/1.1</f>
        <v>129.990909090909</v>
      </c>
      <c r="F11" s="28" t="n">
        <f aca="false">'1.6 AL ON WEBSITE'!D6</f>
        <v>33.41</v>
      </c>
      <c r="G11" s="28" t="n">
        <f aca="false">F11*1.1</f>
        <v>36.751</v>
      </c>
      <c r="H11" s="11" t="n">
        <f aca="false">IF('1.6 AL ON WEBSITE'!E6="","",'1.6 AL ON WEBSITE'!E6)</f>
        <v>33.8555</v>
      </c>
      <c r="I11" s="11" t="n">
        <f aca="false">IF(H11="","",H11*1.1)</f>
        <v>37.24105</v>
      </c>
      <c r="J11" s="28" t="n">
        <f aca="false">E11-F11</f>
        <v>96.5809090909091</v>
      </c>
      <c r="K11" s="29" t="n">
        <f aca="false">IFERROR(E11/F11-1,"")</f>
        <v>2.89077848221817</v>
      </c>
      <c r="L11" s="27" t="str">
        <f aca="false">IF('1.6 AL ON WEBSITE'!F6="","",'1.6 AL ON WEBSITE'!F6)</f>
        <v>Traffic signage, KEEP LEFT sign, only sold in one size at RSEA, comes in 3 different standard sizes </v>
      </c>
      <c r="M11" s="11"/>
      <c r="N11" s="11"/>
    </row>
    <row r="12" customFormat="false" ht="31.5" hidden="false" customHeight="true" outlineLevel="0" collapsed="false">
      <c r="A12" s="26" t="s">
        <v>222</v>
      </c>
      <c r="B12" s="26" t="str">
        <f aca="false">'1.6 AL ON WEBSITE'!A7</f>
        <v>60314</v>
      </c>
      <c r="C12" s="27" t="str">
        <f aca="false">'1.6 AL ON WEBSITE'!B7</f>
        <v>Lime Green Pedestrian Crossing Sign 600mm</v>
      </c>
      <c r="D12" s="28" t="n">
        <f aca="false">'1.6 AL ON WEBSITE'!C7</f>
        <v>157.99</v>
      </c>
      <c r="E12" s="28" t="n">
        <f aca="false">D12/1.1</f>
        <v>143.627272727273</v>
      </c>
      <c r="F12" s="28" t="n">
        <f aca="false">'1.6 AL ON WEBSITE'!D7</f>
        <v>44.55</v>
      </c>
      <c r="G12" s="28" t="n">
        <f aca="false">F12*1.1</f>
        <v>49.005</v>
      </c>
      <c r="H12" s="11" t="n">
        <f aca="false">IF('1.6 AL ON WEBSITE'!E7="","",'1.6 AL ON WEBSITE'!E7)</f>
        <v>45.144</v>
      </c>
      <c r="I12" s="11" t="n">
        <f aca="false">IF(H12="","",H12*1.1)</f>
        <v>49.6584</v>
      </c>
      <c r="J12" s="28" t="n">
        <f aca="false">E12-F12</f>
        <v>99.0772727272727</v>
      </c>
      <c r="K12" s="29" t="n">
        <f aca="false">IFERROR(E12/F12-1,"")</f>
        <v>2.22395673910825</v>
      </c>
      <c r="L12" s="27" t="str">
        <f aca="false">IF('1.6 AL ON WEBSITE'!F7="","",'1.6 AL ON WEBSITE'!F7)</f>
        <v>Traffic signage, PEDESTRIAN CROSSING sign, only sold in one size at RSEA, comes in 3 standard sizes. </v>
      </c>
      <c r="M12" s="11"/>
      <c r="N12" s="11"/>
    </row>
    <row r="13" customFormat="false" ht="31.5" hidden="false" customHeight="true" outlineLevel="0" collapsed="false">
      <c r="A13" s="26" t="s">
        <v>222</v>
      </c>
      <c r="B13" s="26" t="str">
        <f aca="false">'1.6 AL ON WEBSITE'!A8</f>
        <v>61041</v>
      </c>
      <c r="C13" s="27" t="str">
        <f aca="false">'1.6 AL ON WEBSITE'!B8</f>
        <v>Regulatory Sign Speed Restriction 10km 450x600mm Metal</v>
      </c>
      <c r="D13" s="28" t="n">
        <f aca="false">'1.6 AL ON WEBSITE'!C8</f>
        <v>142.99</v>
      </c>
      <c r="E13" s="28" t="n">
        <f aca="false">D13/1.1</f>
        <v>129.990909090909</v>
      </c>
      <c r="F13" s="28" t="n">
        <f aca="false">'1.6 AL ON WEBSITE'!D8</f>
        <v>33.41</v>
      </c>
      <c r="G13" s="28" t="n">
        <f aca="false">F13*1.1</f>
        <v>36.751</v>
      </c>
      <c r="H13" s="11" t="n">
        <f aca="false">IF('1.6 AL ON WEBSITE'!E8="","",'1.6 AL ON WEBSITE'!E8)</f>
        <v>33.8555</v>
      </c>
      <c r="I13" s="11" t="n">
        <f aca="false">IF(H13="","",H13*1.1)</f>
        <v>37.24105</v>
      </c>
      <c r="J13" s="28" t="n">
        <f aca="false">E13-F13</f>
        <v>96.5809090909091</v>
      </c>
      <c r="K13" s="29" t="n">
        <f aca="false">IFERROR(E13/F13-1,"")</f>
        <v>2.89077848221817</v>
      </c>
      <c r="L13" s="27" t="str">
        <f aca="false">IF('1.6 AL ON WEBSITE'!F8="","",'1.6 AL ON WEBSITE'!F8)</f>
        <v>Traffic signage, 10KM SPEED sign, only sold in one size at RSEA. Comes in 4 standard sizes </v>
      </c>
      <c r="M13" s="11"/>
      <c r="N13" s="11"/>
    </row>
    <row r="14" customFormat="false" ht="31.5" hidden="false" customHeight="true" outlineLevel="0" collapsed="false">
      <c r="A14" s="26" t="s">
        <v>222</v>
      </c>
      <c r="B14" s="26" t="str">
        <f aca="false">'1.6 AL ON WEBSITE'!A9</f>
        <v>61138</v>
      </c>
      <c r="C14" s="27" t="str">
        <f aca="false">'1.6 AL ON WEBSITE'!B9</f>
        <v>Regulatory Sign No Entry Metal 450x450 R2-4A-1</v>
      </c>
      <c r="D14" s="28" t="n">
        <f aca="false">'1.6 AL ON WEBSITE'!C9</f>
        <v>112.99</v>
      </c>
      <c r="E14" s="28" t="n">
        <f aca="false">D14/1.1</f>
        <v>102.718181818182</v>
      </c>
      <c r="F14" s="28" t="n">
        <f aca="false">'1.6 AL ON WEBSITE'!D9</f>
        <v>25.06</v>
      </c>
      <c r="G14" s="28" t="n">
        <f aca="false">F14*1.1</f>
        <v>27.566</v>
      </c>
      <c r="H14" s="11" t="n">
        <f aca="false">IF('1.6 AL ON WEBSITE'!E9="","",'1.6 AL ON WEBSITE'!E9)</f>
        <v>25.394125</v>
      </c>
      <c r="I14" s="11" t="n">
        <f aca="false">IF(H14="","",H14*1.1)</f>
        <v>27.9335375</v>
      </c>
      <c r="J14" s="28" t="n">
        <f aca="false">E14-F14</f>
        <v>77.6581818181818</v>
      </c>
      <c r="K14" s="29" t="n">
        <f aca="false">IFERROR(E14/F14-1,"")</f>
        <v>3.09888993687876</v>
      </c>
      <c r="L14" s="27" t="str">
        <f aca="false">IF('1.6 AL ON WEBSITE'!F9="","",'1.6 AL ON WEBSITE'!F9)</f>
        <v>Traffic signage, NO ENTRY sign, only one size sold at RSEA. Comes in 5 standard sizes.</v>
      </c>
      <c r="M14" s="11"/>
      <c r="N14" s="11"/>
    </row>
    <row r="15" customFormat="false" ht="31.5" hidden="false" customHeight="true" outlineLevel="0" collapsed="false">
      <c r="A15" s="26" t="s">
        <v>222</v>
      </c>
      <c r="B15" s="26" t="str">
        <f aca="false">'1.6 AL ON WEBSITE'!A10</f>
        <v>685224</v>
      </c>
      <c r="C15" s="27" t="str">
        <f aca="false">'1.6 AL ON WEBSITE'!B10</f>
        <v>216MM 25D-LM Sign Danger Forklift Operating Area Metal 300x225</v>
      </c>
      <c r="D15" s="28" t="n">
        <f aca="false">'1.6 AL ON WEBSITE'!C10</f>
        <v>32.99</v>
      </c>
      <c r="E15" s="28" t="n">
        <f aca="false">D15/1.1</f>
        <v>29.9909090909091</v>
      </c>
      <c r="F15" s="28" t="n">
        <f aca="false">'1.6 AL ON WEBSITE'!D10</f>
        <v>8.35</v>
      </c>
      <c r="G15" s="28" t="n">
        <f aca="false">F15*1.1</f>
        <v>9.185</v>
      </c>
      <c r="H15" s="11" t="n">
        <f aca="false">IF('1.6 AL ON WEBSITE'!E10="","",'1.6 AL ON WEBSITE'!E10)</f>
        <v>8.461375</v>
      </c>
      <c r="I15" s="11" t="n">
        <f aca="false">IF(H15="","",H15*1.1)</f>
        <v>9.3075125</v>
      </c>
      <c r="J15" s="28" t="n">
        <f aca="false">E15-F15</f>
        <v>21.6409090909091</v>
      </c>
      <c r="K15" s="29" t="n">
        <f aca="false">IFERROR(E15/F15-1,"")</f>
        <v>2.59172563962983</v>
      </c>
      <c r="L15" s="27" t="str">
        <f aca="false">IF('1.6 AL ON WEBSITE'!F10="","",'1.6 AL ON WEBSITE'!F10)</f>
        <v>Site/Warehouse safety sign </v>
      </c>
      <c r="M15" s="11"/>
      <c r="N15" s="11"/>
    </row>
    <row r="16" customFormat="false" ht="31.5" hidden="false" customHeight="true" outlineLevel="0" collapsed="false">
      <c r="A16" s="26" t="s">
        <v>222</v>
      </c>
      <c r="B16" s="26" t="n">
        <f aca="false">'1.6 AL ON WEBSITE'!A11</f>
        <v>685264</v>
      </c>
      <c r="C16" s="27" t="str">
        <f aca="false">'1.6 AL ON WEBSITE'!B11</f>
        <v>Danger Confined Space Entry By Permit Metal Sign 450x300mm</v>
      </c>
      <c r="D16" s="28" t="n">
        <f aca="false">'1.6 AL ON WEBSITE'!C11</f>
        <v>44.99</v>
      </c>
      <c r="E16" s="28" t="n">
        <f aca="false">D16/1.1</f>
        <v>40.9</v>
      </c>
      <c r="F16" s="28" t="n">
        <f aca="false">'1.6 AL ON WEBSITE'!D11</f>
        <v>15.59</v>
      </c>
      <c r="G16" s="28" t="n">
        <f aca="false">F16*1.1</f>
        <v>17.149</v>
      </c>
      <c r="H16" s="11" t="n">
        <f aca="false">IF('1.6 AL ON WEBSITE'!E11="","",'1.6 AL ON WEBSITE'!E11)</f>
        <v>15.81275</v>
      </c>
      <c r="I16" s="11" t="n">
        <f aca="false">IF(H16="","",H16*1.1)</f>
        <v>17.394025</v>
      </c>
      <c r="J16" s="28" t="n">
        <f aca="false">E16-F16</f>
        <v>25.31</v>
      </c>
      <c r="K16" s="29" t="n">
        <f aca="false">IFERROR(E16/F16-1,"")</f>
        <v>1.62347658755613</v>
      </c>
      <c r="L16" s="27" t="str">
        <f aca="false">IF('1.6 AL ON WEBSITE'!F11="","",'1.6 AL ON WEBSITE'!F11)</f>
        <v>Site/Warehouse safety sign </v>
      </c>
      <c r="M16" s="11"/>
      <c r="N16" s="11"/>
    </row>
    <row r="17" customFormat="false" ht="31.5" hidden="false" customHeight="true" outlineLevel="0" collapsed="false">
      <c r="A17" s="26" t="s">
        <v>222</v>
      </c>
      <c r="B17" s="26" t="str">
        <f aca="false">'1.6 AL ON WEBSITE'!A12</f>
        <v>685642</v>
      </c>
      <c r="C17" s="27" t="str">
        <f aca="false">'1.6 AL ON WEBSITE'!B12</f>
        <v>First Aid Emergency Eye Wash Metal Sign 300x225mm 506MM</v>
      </c>
      <c r="D17" s="28" t="n">
        <f aca="false">'1.6 AL ON WEBSITE'!C12</f>
        <v>32.99</v>
      </c>
      <c r="E17" s="28" t="n">
        <f aca="false">D17/1.1</f>
        <v>29.9909090909091</v>
      </c>
      <c r="F17" s="28" t="n">
        <f aca="false">'1.6 AL ON WEBSITE'!D12</f>
        <v>8.35</v>
      </c>
      <c r="G17" s="28" t="n">
        <f aca="false">F17*1.1</f>
        <v>9.185</v>
      </c>
      <c r="H17" s="11" t="n">
        <f aca="false">IF('1.6 AL ON WEBSITE'!E12="","",'1.6 AL ON WEBSITE'!E12)</f>
        <v>8.461375</v>
      </c>
      <c r="I17" s="11" t="n">
        <f aca="false">IF(H17="","",H17*1.1)</f>
        <v>9.3075125</v>
      </c>
      <c r="J17" s="28" t="n">
        <f aca="false">E17-F17</f>
        <v>21.6409090909091</v>
      </c>
      <c r="K17" s="29" t="n">
        <f aca="false">IFERROR(E17/F17-1,"")</f>
        <v>2.59172563962983</v>
      </c>
      <c r="L17" s="27" t="str">
        <f aca="false">IF('1.6 AL ON WEBSITE'!F12="","",'1.6 AL ON WEBSITE'!F12)</f>
        <v>Site/Warehouse safety sign </v>
      </c>
      <c r="M17" s="11"/>
      <c r="N17" s="11"/>
    </row>
    <row r="18" customFormat="false" ht="48" hidden="false" customHeight="true" outlineLevel="0" collapsed="false">
      <c r="A18" s="26" t="s">
        <v>222</v>
      </c>
      <c r="B18" s="26" t="str">
        <f aca="false">'1.6 AL ON WEBSITE'!A13</f>
        <v>685976</v>
      </c>
      <c r="C18" s="27" t="str">
        <f aca="false">'1.6 AL ON WEBSITE'!B13</f>
        <v>Speed 5km 600x400mm Metal Traffic Sign TC409LM</v>
      </c>
      <c r="D18" s="28" t="n">
        <f aca="false">'1.6 AL ON WEBSITE'!C13</f>
        <v>69.99</v>
      </c>
      <c r="E18" s="28" t="n">
        <f aca="false">D18/1.1</f>
        <v>63.6272727272727</v>
      </c>
      <c r="F18" s="28" t="n">
        <f aca="false">'1.6 AL ON WEBSITE'!D13</f>
        <v>29.7</v>
      </c>
      <c r="G18" s="28" t="n">
        <f aca="false">F18*1.1</f>
        <v>32.67</v>
      </c>
      <c r="H18" s="11" t="n">
        <f aca="false">IF('1.6 AL ON WEBSITE'!E13="","",'1.6 AL ON WEBSITE'!E13)</f>
        <v>30.1455</v>
      </c>
      <c r="I18" s="11" t="n">
        <f aca="false">IF(H18="","",H18*1.1)</f>
        <v>33.16005</v>
      </c>
      <c r="J18" s="28" t="n">
        <f aca="false">E18-F18</f>
        <v>33.9272727272727</v>
      </c>
      <c r="K18" s="29" t="n">
        <f aca="false">IFERROR(E18/F18-1,"")</f>
        <v>1.14233241505969</v>
      </c>
      <c r="L18" s="27" t="str">
        <f aca="false">IF('1.6 AL ON WEBSITE'!F13="","",'1.6 AL ON WEBSITE'!F13)</f>
        <v>Site/Warehouse safety sign - Not to spec to be a traffic sign, incorrect sizes, used for warehouses or entrances into warehouse parking.</v>
      </c>
      <c r="M18" s="11"/>
      <c r="N18" s="11"/>
    </row>
    <row r="19" customFormat="false" ht="48" hidden="false" customHeight="true" outlineLevel="0" collapsed="false">
      <c r="A19" s="26" t="s">
        <v>222</v>
      </c>
      <c r="B19" s="26" t="str">
        <f aca="false">'1.6 AL ON WEBSITE'!A14</f>
        <v>685980</v>
      </c>
      <c r="C19" s="27" t="str">
        <f aca="false">'1.6 AL ON WEBSITE'!B14</f>
        <v>Speed 10km 600x400mm Metal Traffic Sign TC410LM</v>
      </c>
      <c r="D19" s="28" t="n">
        <f aca="false">'1.6 AL ON WEBSITE'!C14</f>
        <v>84.99</v>
      </c>
      <c r="E19" s="28" t="n">
        <f aca="false">D19/1.1</f>
        <v>77.2636363636364</v>
      </c>
      <c r="F19" s="28" t="n">
        <f aca="false">'1.6 AL ON WEBSITE'!D14</f>
        <v>29.7</v>
      </c>
      <c r="G19" s="28" t="n">
        <f aca="false">F19*1.1</f>
        <v>32.67</v>
      </c>
      <c r="H19" s="11" t="n">
        <f aca="false">IF('1.6 AL ON WEBSITE'!E14="","",'1.6 AL ON WEBSITE'!E14)</f>
        <v>30.1455</v>
      </c>
      <c r="I19" s="11" t="n">
        <f aca="false">IF(H19="","",H19*1.1)</f>
        <v>33.16005</v>
      </c>
      <c r="J19" s="28" t="n">
        <f aca="false">E19-F19</f>
        <v>47.5636363636364</v>
      </c>
      <c r="K19" s="29" t="n">
        <f aca="false">IFERROR(E19/F19-1,"")</f>
        <v>1.60146923783287</v>
      </c>
      <c r="L19" s="27" t="str">
        <f aca="false">IF('1.6 AL ON WEBSITE'!F14="","",'1.6 AL ON WEBSITE'!F14)</f>
        <v>Site/Warehouse safety sign - Not to spec to be a traffic sign, incorrect sizes, used for warehouses or entrances into warehouse parking.</v>
      </c>
      <c r="M19" s="11"/>
      <c r="N19" s="11"/>
    </row>
    <row r="20" customFormat="false" ht="31.5" hidden="false" customHeight="true" outlineLevel="0" collapsed="false">
      <c r="A20" s="26" t="s">
        <v>222</v>
      </c>
      <c r="B20" s="26" t="str">
        <f aca="false">'1.6 AL ON WEBSITE'!A15</f>
        <v>686188</v>
      </c>
      <c r="C20" s="27" t="str">
        <f aca="false">'1.6 AL ON WEBSITE'!B15</f>
        <v>Disabled Parking 450x300mm Metal Traffic Sign TC420LSM</v>
      </c>
      <c r="D20" s="28" t="n">
        <f aca="false">'1.6 AL ON WEBSITE'!C15</f>
        <v>44.99</v>
      </c>
      <c r="E20" s="28" t="n">
        <f aca="false">D20/1.1</f>
        <v>40.9</v>
      </c>
      <c r="F20" s="28" t="n">
        <f aca="false">'1.6 AL ON WEBSITE'!D15</f>
        <v>16.71</v>
      </c>
      <c r="G20" s="28" t="n">
        <f aca="false">F20*1.1</f>
        <v>18.381</v>
      </c>
      <c r="H20" s="11" t="n">
        <f aca="false">IF('1.6 AL ON WEBSITE'!E15="","",'1.6 AL ON WEBSITE'!E15)</f>
        <v>16.93275</v>
      </c>
      <c r="I20" s="11" t="n">
        <f aca="false">IF(H20="","",H20*1.1)</f>
        <v>18.626025</v>
      </c>
      <c r="J20" s="28" t="n">
        <f aca="false">E20-F20</f>
        <v>24.19</v>
      </c>
      <c r="K20" s="29" t="n">
        <f aca="false">IFERROR(E20/F20-1,"")</f>
        <v>1.44763614602035</v>
      </c>
      <c r="L20" s="27" t="str">
        <f aca="false">IF('1.6 AL ON WEBSITE'!F15="","",'1.6 AL ON WEBSITE'!F15)</f>
        <v>Private car park signage</v>
      </c>
      <c r="M20" s="11"/>
      <c r="N20" s="11"/>
    </row>
    <row r="21" customFormat="false" ht="31.5" hidden="false" customHeight="true" outlineLevel="0" collapsed="false">
      <c r="A21" s="26" t="s">
        <v>222</v>
      </c>
      <c r="B21" s="26" t="str">
        <f aca="false">'1.6 AL ON WEBSITE'!A16</f>
        <v>686503</v>
      </c>
      <c r="C21" s="27" t="str">
        <f aca="false">'1.6 AL ON WEBSITE'!B16</f>
        <v>Traffic Sign No Parking Metal 600x450 TC426LM</v>
      </c>
      <c r="D21" s="28" t="n">
        <f aca="false">'1.6 AL ON WEBSITE'!C16</f>
        <v>64.99</v>
      </c>
      <c r="E21" s="28" t="n">
        <f aca="false">D21/1.1</f>
        <v>59.0818181818182</v>
      </c>
      <c r="F21" s="28" t="n">
        <f aca="false">'1.6 AL ON WEBSITE'!D16</f>
        <v>33.41</v>
      </c>
      <c r="G21" s="28" t="n">
        <f aca="false">F21*1.1</f>
        <v>36.751</v>
      </c>
      <c r="H21" s="11" t="n">
        <f aca="false">IF('1.6 AL ON WEBSITE'!E16="","",'1.6 AL ON WEBSITE'!E16)</f>
        <v>33.8555</v>
      </c>
      <c r="I21" s="11" t="n">
        <f aca="false">IF(H21="","",H21*1.1)</f>
        <v>37.24105</v>
      </c>
      <c r="J21" s="28" t="n">
        <f aca="false">E21-F21</f>
        <v>25.6718181818182</v>
      </c>
      <c r="K21" s="29" t="n">
        <f aca="false">IFERROR(E21/F21-1,"")</f>
        <v>0.768387254768578</v>
      </c>
      <c r="L21" s="27" t="str">
        <f aca="false">IF('1.6 AL ON WEBSITE'!F16="","",'1.6 AL ON WEBSITE'!F16)</f>
        <v>Private car park signage</v>
      </c>
      <c r="M21" s="11"/>
      <c r="N21" s="11"/>
    </row>
    <row r="22" customFormat="false" ht="31.5" hidden="false" customHeight="true" outlineLevel="0" collapsed="false">
      <c r="A22" s="26" t="s">
        <v>222</v>
      </c>
      <c r="B22" s="26" t="str">
        <f aca="false">'1.6 AL ON WEBSITE'!A17</f>
        <v>686829</v>
      </c>
      <c r="C22" s="27" t="str">
        <f aca="false">'1.6 AL ON WEBSITE'!B17</f>
        <v>No Standing Anytime Double Arrow Symbolic Metal 300 x 450mm</v>
      </c>
      <c r="D22" s="28" t="n">
        <f aca="false">'1.6 AL ON WEBSITE'!C17</f>
        <v>44.99</v>
      </c>
      <c r="E22" s="28" t="n">
        <f aca="false">D22/1.1</f>
        <v>40.9</v>
      </c>
      <c r="F22" s="28" t="n">
        <f aca="false">'1.6 AL ON WEBSITE'!D17</f>
        <v>11.81</v>
      </c>
      <c r="G22" s="28" t="n">
        <f aca="false">F22*1.1</f>
        <v>12.991</v>
      </c>
      <c r="H22" s="11" t="n">
        <f aca="false">IF('1.6 AL ON WEBSITE'!E17="","",'1.6 AL ON WEBSITE'!E17)</f>
        <v>12.03275</v>
      </c>
      <c r="I22" s="11" t="n">
        <f aca="false">IF(H22="","",H22*1.1)</f>
        <v>13.236025</v>
      </c>
      <c r="J22" s="28" t="n">
        <f aca="false">E22-F22</f>
        <v>29.09</v>
      </c>
      <c r="K22" s="29" t="n">
        <f aca="false">IFERROR(E22/F22-1,"")</f>
        <v>2.46316680779001</v>
      </c>
      <c r="L22" s="27" t="str">
        <f aca="false">IF('1.6 AL ON WEBSITE'!F17="","",'1.6 AL ON WEBSITE'!F17)</f>
        <v>Private car park signage</v>
      </c>
      <c r="M22" s="11"/>
      <c r="N22" s="11"/>
    </row>
    <row r="23" customFormat="false" ht="31.5" hidden="false" customHeight="true" outlineLevel="0" collapsed="false">
      <c r="A23" s="26" t="s">
        <v>222</v>
      </c>
      <c r="B23" s="26" t="str">
        <f aca="false">'1.6 AL ON WEBSITE'!A18</f>
        <v>712752</v>
      </c>
      <c r="C23" s="27" t="str">
        <f aca="false">'1.6 AL ON WEBSITE'!B18</f>
        <v>840307 TC426LSM Sign No Parking Metal 450x300</v>
      </c>
      <c r="D23" s="28" t="n">
        <f aca="false">'1.6 AL ON WEBSITE'!C18</f>
        <v>49.99</v>
      </c>
      <c r="E23" s="28" t="n">
        <f aca="false">D23/1.1</f>
        <v>45.4454545454545</v>
      </c>
      <c r="F23" s="28" t="n">
        <f aca="false">'1.6 AL ON WEBSITE'!D18</f>
        <v>11.81</v>
      </c>
      <c r="G23" s="28" t="n">
        <f aca="false">F23*1.1</f>
        <v>12.991</v>
      </c>
      <c r="H23" s="11" t="n">
        <f aca="false">IF('1.6 AL ON WEBSITE'!E18="","",'1.6 AL ON WEBSITE'!E18)</f>
        <v>12.03275</v>
      </c>
      <c r="I23" s="11" t="n">
        <f aca="false">IF(H23="","",H23*1.1)</f>
        <v>13.236025</v>
      </c>
      <c r="J23" s="28" t="n">
        <f aca="false">E23-F23</f>
        <v>33.6354545454545</v>
      </c>
      <c r="K23" s="29" t="n">
        <f aca="false">IFERROR(E23/F23-1,"")</f>
        <v>2.84804864906474</v>
      </c>
      <c r="L23" s="27" t="str">
        <f aca="false">IF('1.6 AL ON WEBSITE'!F18="","",'1.6 AL ON WEBSITE'!F18)</f>
        <v>Private car park signage</v>
      </c>
      <c r="M23" s="11"/>
      <c r="N23" s="11"/>
    </row>
    <row r="24" customFormat="false" ht="31.5" hidden="false" customHeight="true" outlineLevel="0" collapsed="false">
      <c r="A24" s="26" t="s">
        <v>222</v>
      </c>
      <c r="B24" s="26" t="str">
        <f aca="false">'1.6 AL ON WEBSITE'!A19</f>
        <v>713252</v>
      </c>
      <c r="C24" s="27" t="str">
        <f aca="false">'1.6 AL ON WEBSITE'!B19</f>
        <v>841090 415MM 112P-LM Sign Prohibition No Smoking In This Area Metal 300x225</v>
      </c>
      <c r="D24" s="28" t="n">
        <f aca="false">'1.6 AL ON WEBSITE'!C19</f>
        <v>37.99</v>
      </c>
      <c r="E24" s="28" t="n">
        <f aca="false">D24/1.1</f>
        <v>34.5363636363636</v>
      </c>
      <c r="F24" s="28" t="n">
        <f aca="false">'1.6 AL ON WEBSITE'!D19</f>
        <v>5.9</v>
      </c>
      <c r="G24" s="28" t="n">
        <f aca="false">F24*1.1</f>
        <v>6.49</v>
      </c>
      <c r="H24" s="11" t="n">
        <f aca="false">IF('1.6 AL ON WEBSITE'!E19="","",'1.6 AL ON WEBSITE'!E19)</f>
        <v>6.011375</v>
      </c>
      <c r="I24" s="11" t="n">
        <f aca="false">IF(H24="","",H24*1.1)</f>
        <v>6.6125125</v>
      </c>
      <c r="J24" s="28" t="n">
        <f aca="false">E24-F24</f>
        <v>28.6363636363636</v>
      </c>
      <c r="K24" s="29" t="n">
        <f aca="false">IFERROR(E24/F24-1,"")</f>
        <v>4.85362095531587</v>
      </c>
      <c r="L24" s="27" t="str">
        <f aca="false">IF('1.6 AL ON WEBSITE'!F19="","",'1.6 AL ON WEBSITE'!F19)</f>
        <v>Site/warehouse/office space signage </v>
      </c>
      <c r="M24" s="11"/>
      <c r="N24" s="11"/>
    </row>
    <row r="25" customFormat="false" ht="31.5" hidden="false" customHeight="true" outlineLevel="0" collapsed="false">
      <c r="A25" s="26" t="s">
        <v>222</v>
      </c>
      <c r="B25" s="26" t="str">
        <f aca="false">'1.6 AL ON WEBSITE'!A20</f>
        <v>716586</v>
      </c>
      <c r="C25" s="27" t="str">
        <f aca="false">'1.6 AL ON WEBSITE'!B20</f>
        <v>832221 892LSM Restricted Area Auth Personnel Only Metal 450x300</v>
      </c>
      <c r="D25" s="28" t="n">
        <f aca="false">'1.6 AL ON WEBSITE'!C20</f>
        <v>49.99</v>
      </c>
      <c r="E25" s="28" t="n">
        <f aca="false">D25/1.1</f>
        <v>45.4454545454545</v>
      </c>
      <c r="F25" s="28" t="n">
        <f aca="false">'1.6 AL ON WEBSITE'!D20</f>
        <v>11.81</v>
      </c>
      <c r="G25" s="28" t="n">
        <f aca="false">F25*1.1</f>
        <v>12.991</v>
      </c>
      <c r="H25" s="11" t="n">
        <f aca="false">IF('1.6 AL ON WEBSITE'!E20="","",'1.6 AL ON WEBSITE'!E20)</f>
        <v>12.03275</v>
      </c>
      <c r="I25" s="11" t="n">
        <f aca="false">IF(H25="","",H25*1.1)</f>
        <v>13.236025</v>
      </c>
      <c r="J25" s="28" t="n">
        <f aca="false">E25-F25</f>
        <v>33.6354545454545</v>
      </c>
      <c r="K25" s="29" t="n">
        <f aca="false">IFERROR(E25/F25-1,"")</f>
        <v>2.84804864906474</v>
      </c>
      <c r="L25" s="27" t="str">
        <f aca="false">IF('1.6 AL ON WEBSITE'!F20="","",'1.6 AL ON WEBSITE'!F20)</f>
        <v>Site/warehouse/office space signage </v>
      </c>
      <c r="M25" s="11"/>
      <c r="N25" s="11"/>
    </row>
    <row r="26" customFormat="false" ht="31.5" hidden="false" customHeight="true" outlineLevel="0" collapsed="false">
      <c r="A26" s="26" t="s">
        <v>222</v>
      </c>
      <c r="B26" s="26" t="str">
        <f aca="false">'1.6 AL ON WEBSITE'!A21</f>
        <v>869327</v>
      </c>
      <c r="C26" s="27" t="str">
        <f aca="false">'1.6 AL ON WEBSITE'!B21</f>
        <v>Security Sign Elec Surveillance Protects Property SW022LSM Metal450x300</v>
      </c>
      <c r="D26" s="28" t="n">
        <f aca="false">'1.6 AL ON WEBSITE'!C21</f>
        <v>44.99</v>
      </c>
      <c r="E26" s="28" t="n">
        <f aca="false">D26/1.1</f>
        <v>40.9</v>
      </c>
      <c r="F26" s="28" t="n">
        <f aca="false">'1.6 AL ON WEBSITE'!D21</f>
        <v>11.81</v>
      </c>
      <c r="G26" s="28" t="n">
        <f aca="false">F26*1.1</f>
        <v>12.991</v>
      </c>
      <c r="H26" s="11" t="n">
        <f aca="false">IF('1.6 AL ON WEBSITE'!E21="","",'1.6 AL ON WEBSITE'!E21)</f>
        <v>12.03275</v>
      </c>
      <c r="I26" s="11" t="n">
        <f aca="false">IF(H26="","",H26*1.1)</f>
        <v>13.236025</v>
      </c>
      <c r="J26" s="28" t="n">
        <f aca="false">E26-F26</f>
        <v>29.09</v>
      </c>
      <c r="K26" s="29" t="n">
        <f aca="false">IFERROR(E26/F26-1,"")</f>
        <v>2.46316680779001</v>
      </c>
      <c r="L26" s="27" t="str">
        <f aca="false">IF('1.6 AL ON WEBSITE'!F21="","",'1.6 AL ON WEBSITE'!F21)</f>
        <v>Site/warehouse/office space signage </v>
      </c>
      <c r="M26" s="11"/>
      <c r="N26" s="11"/>
    </row>
    <row r="27" customFormat="false" ht="31.5" hidden="false" customHeight="true" outlineLevel="0" collapsed="false">
      <c r="A27" s="26" t="s">
        <v>222</v>
      </c>
      <c r="B27" s="26" t="n">
        <f aca="false">'1.6 AL ON WEBSITE'!A22</f>
        <v>869339</v>
      </c>
      <c r="C27" s="27" t="str">
        <f aca="false">'1.6 AL ON WEBSITE'!B22</f>
        <v>Reverse Parking Only 450x300mm Metal Traffic Sign TC454LSM</v>
      </c>
      <c r="D27" s="28" t="n">
        <f aca="false">'1.6 AL ON WEBSITE'!C22</f>
        <v>44.99</v>
      </c>
      <c r="E27" s="28" t="n">
        <f aca="false">D27/1.1</f>
        <v>40.9</v>
      </c>
      <c r="F27" s="28" t="n">
        <f aca="false">'1.6 AL ON WEBSITE'!D22</f>
        <v>11.81</v>
      </c>
      <c r="G27" s="28" t="n">
        <f aca="false">F27*1.1</f>
        <v>12.991</v>
      </c>
      <c r="H27" s="11" t="n">
        <f aca="false">IF('1.6 AL ON WEBSITE'!E22="","",'1.6 AL ON WEBSITE'!E22)</f>
        <v>12.03275</v>
      </c>
      <c r="I27" s="11" t="n">
        <f aca="false">IF(H27="","",H27*1.1)</f>
        <v>13.236025</v>
      </c>
      <c r="J27" s="28" t="n">
        <f aca="false">E27-F27</f>
        <v>29.09</v>
      </c>
      <c r="K27" s="29" t="n">
        <f aca="false">IFERROR(E27/F27-1,"")</f>
        <v>2.46316680779001</v>
      </c>
      <c r="L27" s="27" t="str">
        <f aca="false">IF('1.6 AL ON WEBSITE'!F22="","",'1.6 AL ON WEBSITE'!F22)</f>
        <v>Private car park signage</v>
      </c>
      <c r="M27" s="11"/>
      <c r="N27" s="11"/>
    </row>
    <row r="28" customFormat="false" ht="31.5" hidden="false" customHeight="true" outlineLevel="0" collapsed="false">
      <c r="A28" s="26" t="s">
        <v>222</v>
      </c>
      <c r="B28" s="26" t="str">
        <f aca="false">'1.6 AL ON WEBSITE'!A23</f>
        <v>869206</v>
      </c>
      <c r="C28" s="27" t="str">
        <f aca="false">'1.6 AL ON WEBSITE'!B23</f>
        <v>Regulatory Sign Speed 5km CL1 Aluminium 600x450 TC409C1</v>
      </c>
      <c r="D28" s="28" t="n">
        <f aca="false">'1.6 AL ON WEBSITE'!C23</f>
        <v>142.99</v>
      </c>
      <c r="E28" s="28" t="n">
        <f aca="false">D28/1.1</f>
        <v>129.990909090909</v>
      </c>
      <c r="F28" s="28" t="n">
        <f aca="false">'1.6 AL ON WEBSITE'!D23</f>
        <v>33.41</v>
      </c>
      <c r="G28" s="28" t="n">
        <f aca="false">F28*1.1</f>
        <v>36.751</v>
      </c>
      <c r="H28" s="11" t="n">
        <f aca="false">IF('1.6 AL ON WEBSITE'!E23="","",'1.6 AL ON WEBSITE'!E23)</f>
        <v>33.8555</v>
      </c>
      <c r="I28" s="11" t="n">
        <f aca="false">IF(H28="","",H28*1.1)</f>
        <v>37.24105</v>
      </c>
      <c r="J28" s="28" t="n">
        <f aca="false">E28-F28</f>
        <v>96.5809090909091</v>
      </c>
      <c r="K28" s="29" t="n">
        <f aca="false">IFERROR(E28/F28-1,"")</f>
        <v>2.89077848221817</v>
      </c>
      <c r="L28" s="27" t="str">
        <f aca="false">IF('1.6 AL ON WEBSITE'!F23="","",'1.6 AL ON WEBSITE'!F23)</f>
        <v>Traffic signage, 5KM SPEED sign, RSEA stock one size comes in 4 standard sizes</v>
      </c>
      <c r="M28" s="11"/>
      <c r="N28" s="11"/>
    </row>
    <row r="29" customFormat="false" ht="31.5" hidden="false" customHeight="true" outlineLevel="0" collapsed="false">
      <c r="A29" s="26" t="s">
        <v>222</v>
      </c>
      <c r="B29" s="26" t="str">
        <f aca="false">'1.6 AL ON WEBSITE'!A24</f>
        <v>869668</v>
      </c>
      <c r="C29" s="27" t="str">
        <f aca="false">'1.6 AL ON WEBSITE'!B24</f>
        <v>Traffic Sign 20kmh Speed Limit CL1 Aluminium 600x450mm TC462C1</v>
      </c>
      <c r="D29" s="28" t="n">
        <f aca="false">'1.6 AL ON WEBSITE'!C24</f>
        <v>142.99</v>
      </c>
      <c r="E29" s="28" t="n">
        <f aca="false">D29/1.1</f>
        <v>129.990909090909</v>
      </c>
      <c r="F29" s="28" t="n">
        <f aca="false">'1.6 AL ON WEBSITE'!D24</f>
        <v>33.41</v>
      </c>
      <c r="G29" s="28" t="n">
        <f aca="false">F29*1.1</f>
        <v>36.751</v>
      </c>
      <c r="H29" s="11" t="n">
        <f aca="false">IF('1.6 AL ON WEBSITE'!E24="","",'1.6 AL ON WEBSITE'!E24)</f>
        <v>33.8555</v>
      </c>
      <c r="I29" s="11" t="n">
        <f aca="false">IF(H29="","",H29*1.1)</f>
        <v>37.24105</v>
      </c>
      <c r="J29" s="28" t="n">
        <f aca="false">E29-F29</f>
        <v>96.5809090909091</v>
      </c>
      <c r="K29" s="29" t="n">
        <f aca="false">IFERROR(E29/F29-1,"")</f>
        <v>2.89077848221817</v>
      </c>
      <c r="L29" s="27" t="str">
        <f aca="false">IF('1.6 AL ON WEBSITE'!F24="","",'1.6 AL ON WEBSITE'!F24)</f>
        <v>Traffic signage, 20KM SPEED sign, RSEA stock one size comes in 4 standard sizes</v>
      </c>
      <c r="M29" s="11"/>
      <c r="N29" s="11"/>
    </row>
    <row r="30" customFormat="false" ht="31.5" hidden="false" customHeight="true" outlineLevel="0" collapsed="false">
      <c r="A30" s="26" t="s">
        <v>223</v>
      </c>
      <c r="B30" s="26" t="str">
        <f aca="false">'CORFLUTE 6MM ON WEBSITE'!A1</f>
        <v>60837</v>
      </c>
      <c r="C30" s="27" t="str">
        <f aca="false">'CORFLUTE 6MM ON WEBSITE'!B1</f>
        <v>6mm Corflute- 1200x300mm Class 1 Reflective On Side Road (B/Y)</v>
      </c>
      <c r="D30" s="28" t="n">
        <f aca="false">'CORFLUTE 6MM ON WEBSITE'!C1</f>
        <v>57.99</v>
      </c>
      <c r="E30" s="28" t="n">
        <f aca="false">D30/1.1</f>
        <v>52.7181818181818</v>
      </c>
      <c r="F30" s="28" t="n">
        <f aca="false">'CORFLUTE 6MM ON WEBSITE'!D1</f>
        <v>13.07</v>
      </c>
      <c r="G30" s="28" t="n">
        <f aca="false">F30*1.1</f>
        <v>14.377</v>
      </c>
      <c r="J30" s="28" t="n">
        <f aca="false">E30-F30</f>
        <v>39.6481818181818</v>
      </c>
      <c r="K30" s="29" t="n">
        <f aca="false">IFERROR(E30/F30-1,"")</f>
        <v>3.03352577032761</v>
      </c>
      <c r="L30" s="27"/>
    </row>
    <row r="31" customFormat="false" ht="63.75" hidden="false" customHeight="true" outlineLevel="0" collapsed="false">
      <c r="A31" s="30" t="s">
        <v>223</v>
      </c>
      <c r="B31" s="30" t="str">
        <f aca="false">'CORFLUTE 6MM ON WEBSITE'!A2</f>
        <v>60846</v>
      </c>
      <c r="C31" s="31" t="str">
        <f aca="false">'CORFLUTE 6MM ON WEBSITE'!B2</f>
        <v>UNISAF Corflute Multi Message Sign Blank Yellow T9-91</v>
      </c>
      <c r="D31" s="32" t="n">
        <f aca="false">'CORFLUTE 6MM ON WEBSITE'!C2</f>
        <v>44.99</v>
      </c>
      <c r="E31" s="32" t="n">
        <f aca="false">D31/1.1</f>
        <v>40.9</v>
      </c>
      <c r="F31" s="32" t="n">
        <v>13.07</v>
      </c>
      <c r="G31" s="32" t="n">
        <f aca="false">F31*1.1</f>
        <v>14.377</v>
      </c>
      <c r="J31" s="32" t="n">
        <f aca="false">E31-F31</f>
        <v>27.83</v>
      </c>
      <c r="K31" s="33" t="n">
        <f aca="false">IFERROR(E31/F31-1,"")</f>
        <v>2.12930374904361</v>
      </c>
      <c r="L31" s="31" t="s">
        <v>224</v>
      </c>
    </row>
    <row r="32" customFormat="false" ht="31.5" hidden="false" customHeight="true" outlineLevel="0" collapsed="false">
      <c r="A32" s="26" t="s">
        <v>223</v>
      </c>
      <c r="B32" s="26" t="str">
        <f aca="false">'CORFLUTE 6MM ON WEBSITE'!A3</f>
        <v>60877</v>
      </c>
      <c r="C32" s="27" t="str">
        <f aca="false">'CORFLUTE 6MM ON WEBSITE'!B3</f>
        <v>Symbolic Worker 600x600mm Multi-Message Sign CT284-40FR</v>
      </c>
      <c r="D32" s="28" t="n">
        <f aca="false">'CORFLUTE 6MM ON WEBSITE'!C3</f>
        <v>52.99</v>
      </c>
      <c r="E32" s="28" t="n">
        <f aca="false">D32/1.1</f>
        <v>48.1727272727273</v>
      </c>
      <c r="F32" s="28" t="n">
        <f aca="false">'CORFLUTE 6MM ON WEBSITE'!D3</f>
        <v>16.04</v>
      </c>
      <c r="G32" s="28" t="n">
        <f aca="false">F32*1.1</f>
        <v>17.644</v>
      </c>
      <c r="J32" s="28" t="n">
        <f aca="false">E32-F32</f>
        <v>32.1327272727273</v>
      </c>
      <c r="K32" s="29" t="n">
        <f aca="false">IFERROR(E32/F32-1,"")</f>
        <v>2.00328723645432</v>
      </c>
      <c r="L32" s="27"/>
    </row>
    <row r="33" customFormat="false" ht="15.75" hidden="false" customHeight="true" outlineLevel="0" collapsed="false">
      <c r="A33" s="26" t="s">
        <v>223</v>
      </c>
      <c r="B33" s="26" t="str">
        <f aca="false">'CORFLUTE 6MM ON WEBSITE'!A4</f>
        <v>60885</v>
      </c>
      <c r="C33" s="27" t="str">
        <f aca="false">'CORFLUTE 6MM ON WEBSITE'!B4</f>
        <v>Speed 60km 600x600mm Multi-Message Sign TC210</v>
      </c>
      <c r="D33" s="28" t="n">
        <f aca="false">'CORFLUTE 6MM ON WEBSITE'!C4</f>
        <v>57.99</v>
      </c>
      <c r="E33" s="28" t="n">
        <f aca="false">D33/1.1</f>
        <v>52.7181818181818</v>
      </c>
      <c r="F33" s="28" t="n">
        <f aca="false">'CORFLUTE 6MM ON WEBSITE'!D4</f>
        <v>16.04</v>
      </c>
      <c r="G33" s="28" t="n">
        <f aca="false">F33*1.1</f>
        <v>17.644</v>
      </c>
      <c r="J33" s="28" t="n">
        <f aca="false">E33-F33</f>
        <v>36.6781818181818</v>
      </c>
      <c r="K33" s="29" t="n">
        <f aca="false">IFERROR(E33/F33-1,"")</f>
        <v>2.28666968941283</v>
      </c>
      <c r="L33" s="27"/>
    </row>
    <row r="34" customFormat="false" ht="15.75" hidden="false" customHeight="true" outlineLevel="0" collapsed="false">
      <c r="A34" s="26" t="s">
        <v>223</v>
      </c>
      <c r="B34" s="26" t="str">
        <f aca="false">'CORFLUTE 6MM ON WEBSITE'!A5</f>
        <v>60886</v>
      </c>
      <c r="C34" s="27" t="str">
        <f aca="false">'CORFLUTE 6MM ON WEBSITE'!B5</f>
        <v>Speed 40km 600x600mm Multi-Message Sign CT284-24H</v>
      </c>
      <c r="D34" s="28" t="n">
        <f aca="false">'CORFLUTE 6MM ON WEBSITE'!C5</f>
        <v>57.99</v>
      </c>
      <c r="E34" s="28" t="n">
        <f aca="false">D34/1.1</f>
        <v>52.7181818181818</v>
      </c>
      <c r="F34" s="28" t="n">
        <f aca="false">'CORFLUTE 6MM ON WEBSITE'!D5</f>
        <v>16.04</v>
      </c>
      <c r="G34" s="28" t="n">
        <f aca="false">F34*1.1</f>
        <v>17.644</v>
      </c>
      <c r="J34" s="28" t="n">
        <f aca="false">E34-F34</f>
        <v>36.6781818181818</v>
      </c>
      <c r="K34" s="29" t="n">
        <f aca="false">IFERROR(E34/F34-1,"")</f>
        <v>2.28666968941283</v>
      </c>
      <c r="L34" s="27"/>
    </row>
    <row r="35" customFormat="false" ht="31.5" hidden="false" customHeight="true" outlineLevel="0" collapsed="false">
      <c r="A35" s="26" t="s">
        <v>223</v>
      </c>
      <c r="B35" s="26" t="str">
        <f aca="false">'CORFLUTE 6MM ON WEBSITE'!A6</f>
        <v>60887</v>
      </c>
      <c r="C35" s="27" t="str">
        <f aca="false">'CORFLUTE 6MM ON WEBSITE'!B6</f>
        <v>Prepare To Stop 1200x300mm Multi-Message Sign CT284-15H</v>
      </c>
      <c r="D35" s="28" t="n">
        <f aca="false">'CORFLUTE 6MM ON WEBSITE'!C6</f>
        <v>57.99</v>
      </c>
      <c r="E35" s="28" t="n">
        <f aca="false">D35/1.1</f>
        <v>52.7181818181818</v>
      </c>
      <c r="F35" s="28" t="n">
        <f aca="false">'CORFLUTE 6MM ON WEBSITE'!D6</f>
        <v>16.04</v>
      </c>
      <c r="G35" s="28" t="n">
        <f aca="false">F35*1.1</f>
        <v>17.644</v>
      </c>
      <c r="J35" s="28" t="n">
        <f aca="false">E35-F35</f>
        <v>36.6781818181818</v>
      </c>
      <c r="K35" s="29" t="n">
        <f aca="false">IFERROR(E35/F35-1,"")</f>
        <v>2.28666968941283</v>
      </c>
      <c r="L35" s="27"/>
    </row>
    <row r="36" customFormat="false" ht="15.75" hidden="false" customHeight="true" outlineLevel="0" collapsed="false">
      <c r="A36" s="26" t="s">
        <v>223</v>
      </c>
      <c r="B36" s="26" t="str">
        <f aca="false">'CORFLUTE 6MM ON WEBSITE'!A7</f>
        <v>60895</v>
      </c>
      <c r="C36" s="27" t="str">
        <f aca="false">'CORFLUTE 6MM ON WEBSITE'!B7</f>
        <v>Roadwork Ahead 1200x300mm Multi-Message Sign TC221</v>
      </c>
      <c r="D36" s="28" t="n">
        <f aca="false">'CORFLUTE 6MM ON WEBSITE'!C7</f>
        <v>57.99</v>
      </c>
      <c r="E36" s="28" t="n">
        <f aca="false">D36/1.1</f>
        <v>52.7181818181818</v>
      </c>
      <c r="F36" s="28" t="n">
        <f aca="false">'CORFLUTE 6MM ON WEBSITE'!D7</f>
        <v>13.07</v>
      </c>
      <c r="G36" s="28" t="n">
        <f aca="false">F36*1.1</f>
        <v>14.377</v>
      </c>
      <c r="J36" s="28" t="n">
        <f aca="false">E36-F36</f>
        <v>39.6481818181818</v>
      </c>
      <c r="K36" s="29" t="n">
        <f aca="false">IFERROR(E36/F36-1,"")</f>
        <v>3.03352577032761</v>
      </c>
      <c r="L36" s="27"/>
    </row>
    <row r="37" customFormat="false" ht="15.75" hidden="false" customHeight="true" outlineLevel="0" collapsed="false">
      <c r="A37" s="26" t="s">
        <v>223</v>
      </c>
      <c r="B37" s="26" t="str">
        <f aca="false">'CORFLUTE 6MM ON WEBSITE'!A8</f>
        <v>60896</v>
      </c>
      <c r="C37" s="27" t="str">
        <f aca="false">'CORFLUTE 6MM ON WEBSITE'!B8</f>
        <v>Drive Safety 1200x300mm Multi-Message Sign CT284-18H</v>
      </c>
      <c r="D37" s="28" t="n">
        <f aca="false">'CORFLUTE 6MM ON WEBSITE'!C8</f>
        <v>59.99</v>
      </c>
      <c r="E37" s="28" t="n">
        <f aca="false">D37/1.1</f>
        <v>54.5363636363636</v>
      </c>
      <c r="F37" s="28" t="n">
        <f aca="false">'CORFLUTE 6MM ON WEBSITE'!D8</f>
        <v>16.04</v>
      </c>
      <c r="G37" s="28" t="n">
        <f aca="false">F37*1.1</f>
        <v>17.644</v>
      </c>
      <c r="J37" s="28" t="n">
        <f aca="false">E37-F37</f>
        <v>38.4963636363636</v>
      </c>
      <c r="K37" s="29" t="n">
        <f aca="false">IFERROR(E37/F37-1,"")</f>
        <v>2.40002267059624</v>
      </c>
      <c r="L37" s="27"/>
    </row>
    <row r="38" customFormat="false" ht="15.75" hidden="false" customHeight="true" outlineLevel="0" collapsed="false">
      <c r="A38" s="26" t="s">
        <v>223</v>
      </c>
      <c r="B38" s="26" t="str">
        <f aca="false">'CORFLUTE 6MM ON WEBSITE'!A9</f>
        <v>60898</v>
      </c>
      <c r="C38" s="27" t="str">
        <f aca="false">'CORFLUTE 6MM ON WEBSITE'!B9</f>
        <v>Road Closed 1200x300mm Multi-Message Sign CT284-49H</v>
      </c>
      <c r="D38" s="28" t="n">
        <f aca="false">'CORFLUTE 6MM ON WEBSITE'!C9</f>
        <v>57.99</v>
      </c>
      <c r="E38" s="28" t="n">
        <f aca="false">D38/1.1</f>
        <v>52.7181818181818</v>
      </c>
      <c r="F38" s="28" t="n">
        <f aca="false">'CORFLUTE 6MM ON WEBSITE'!D9</f>
        <v>13.07</v>
      </c>
      <c r="G38" s="28" t="n">
        <f aca="false">F38*1.1</f>
        <v>14.377</v>
      </c>
      <c r="J38" s="28" t="n">
        <f aca="false">E38-F38</f>
        <v>39.6481818181818</v>
      </c>
      <c r="K38" s="29" t="n">
        <f aca="false">IFERROR(E38/F38-1,"")</f>
        <v>3.03352577032761</v>
      </c>
      <c r="L38" s="27"/>
    </row>
    <row r="39" customFormat="false" ht="15.75" hidden="false" customHeight="true" outlineLevel="0" collapsed="false">
      <c r="A39" s="26" t="s">
        <v>223</v>
      </c>
      <c r="B39" s="26" t="str">
        <f aca="false">'CORFLUTE 6MM ON WEBSITE'!A10</f>
        <v>60991</v>
      </c>
      <c r="C39" s="27" t="str">
        <f aca="false">'CORFLUTE 6MM ON WEBSITE'!B10</f>
        <v>Detour Left Arrow 1200x300mm Multi-Message Sign TC230</v>
      </c>
      <c r="D39" s="28" t="n">
        <f aca="false">'CORFLUTE 6MM ON WEBSITE'!C10</f>
        <v>57.99</v>
      </c>
      <c r="E39" s="28" t="n">
        <f aca="false">D39/1.1</f>
        <v>52.7181818181818</v>
      </c>
      <c r="F39" s="28" t="n">
        <f aca="false">'CORFLUTE 6MM ON WEBSITE'!D10</f>
        <v>13.07</v>
      </c>
      <c r="G39" s="28" t="n">
        <f aca="false">F39*1.1</f>
        <v>14.377</v>
      </c>
      <c r="J39" s="28" t="n">
        <f aca="false">E39-F39</f>
        <v>39.6481818181818</v>
      </c>
      <c r="K39" s="29" t="n">
        <f aca="false">IFERROR(E39/F39-1,"")</f>
        <v>3.03352577032761</v>
      </c>
      <c r="L39" s="27"/>
    </row>
    <row r="40" customFormat="false" ht="15.75" hidden="false" customHeight="true" outlineLevel="0" collapsed="false">
      <c r="A40" s="26" t="s">
        <v>223</v>
      </c>
      <c r="B40" s="26" t="str">
        <f aca="false">'CORFLUTE 6MM ON WEBSITE'!A11</f>
        <v>60992</v>
      </c>
      <c r="C40" s="27" t="str">
        <f aca="false">'CORFLUTE 6MM ON WEBSITE'!B11</f>
        <v>Detour Right Arrow 1200x300mm Multi-Message Sign TC231</v>
      </c>
      <c r="D40" s="28" t="n">
        <f aca="false">'CORFLUTE 6MM ON WEBSITE'!C11</f>
        <v>57.99</v>
      </c>
      <c r="E40" s="28" t="n">
        <f aca="false">D40/1.1</f>
        <v>52.7181818181818</v>
      </c>
      <c r="F40" s="28" t="n">
        <f aca="false">'CORFLUTE 6MM ON WEBSITE'!D11</f>
        <v>13.07</v>
      </c>
      <c r="G40" s="28" t="n">
        <f aca="false">F40*1.1</f>
        <v>14.377</v>
      </c>
      <c r="J40" s="28" t="n">
        <f aca="false">E40-F40</f>
        <v>39.6481818181818</v>
      </c>
      <c r="K40" s="29" t="n">
        <f aca="false">IFERROR(E40/F40-1,"")</f>
        <v>3.03352577032761</v>
      </c>
      <c r="L40" s="27"/>
    </row>
    <row r="41" customFormat="false" ht="31.5" hidden="false" customHeight="true" outlineLevel="0" collapsed="false">
      <c r="A41" s="26" t="s">
        <v>223</v>
      </c>
      <c r="B41" s="26" t="str">
        <f aca="false">'CORFLUTE 6MM ON WEBSITE'!A12</f>
        <v>61021</v>
      </c>
      <c r="C41" s="27" t="str">
        <f aca="false">'CORFLUTE 6MM ON WEBSITE'!B12</f>
        <v>Pedestrians Right Arrow 1200x300mm Multi-Message Sign CT284-T8-2R38</v>
      </c>
      <c r="D41" s="28" t="n">
        <f aca="false">'CORFLUTE 6MM ON WEBSITE'!C12</f>
        <v>57.99</v>
      </c>
      <c r="E41" s="28" t="n">
        <f aca="false">D41/1.1</f>
        <v>52.7181818181818</v>
      </c>
      <c r="F41" s="28" t="n">
        <f aca="false">'CORFLUTE 6MM ON WEBSITE'!D12</f>
        <v>13.07</v>
      </c>
      <c r="G41" s="28" t="n">
        <f aca="false">F41*1.1</f>
        <v>14.377</v>
      </c>
      <c r="J41" s="28" t="n">
        <f aca="false">E41-F41</f>
        <v>39.6481818181818</v>
      </c>
      <c r="K41" s="29" t="n">
        <f aca="false">IFERROR(E41/F41-1,"")</f>
        <v>3.03352577032761</v>
      </c>
      <c r="L41" s="27"/>
    </row>
    <row r="42" customFormat="false" ht="31.5" hidden="false" customHeight="true" outlineLevel="0" collapsed="false">
      <c r="A42" s="26" t="s">
        <v>223</v>
      </c>
      <c r="B42" s="26" t="str">
        <f aca="false">'CORFLUTE 6MM ON WEBSITE'!A13</f>
        <v>61022</v>
      </c>
      <c r="C42" s="27" t="str">
        <f aca="false">'CORFLUTE 6MM ON WEBSITE'!B13</f>
        <v>Pedestrians Left Arrow 1200x300mm Multi-Message Sign CT284-T8-2L38</v>
      </c>
      <c r="D42" s="28" t="n">
        <f aca="false">'CORFLUTE 6MM ON WEBSITE'!C13</f>
        <v>57.99</v>
      </c>
      <c r="E42" s="28" t="n">
        <f aca="false">D42/1.1</f>
        <v>52.7181818181818</v>
      </c>
      <c r="F42" s="28" t="n">
        <f aca="false">'CORFLUTE 6MM ON WEBSITE'!D13</f>
        <v>13.07</v>
      </c>
      <c r="G42" s="28" t="n">
        <f aca="false">F42*1.1</f>
        <v>14.377</v>
      </c>
      <c r="J42" s="28" t="n">
        <f aca="false">E42-F42</f>
        <v>39.6481818181818</v>
      </c>
      <c r="K42" s="29" t="n">
        <f aca="false">IFERROR(E42/F42-1,"")</f>
        <v>3.03352577032761</v>
      </c>
      <c r="L42" s="27"/>
    </row>
    <row r="43" customFormat="false" ht="31.5" hidden="false" customHeight="true" outlineLevel="0" collapsed="false">
      <c r="A43" s="26" t="s">
        <v>225</v>
      </c>
      <c r="B43" s="26" t="str">
        <f aca="false">'POLY ON WEBSITE'!A1</f>
        <v>1046218</v>
      </c>
      <c r="C43" s="27" t="str">
        <f aca="false">'POLY ON WEBSITE'!B1</f>
        <v>Security Notice This Area Is Under 24 Hours W'Picto Poly 450x300 SW023LSP</v>
      </c>
      <c r="D43" s="28" t="n">
        <f aca="false">'POLY ON WEBSITE'!C1</f>
        <v>37.99</v>
      </c>
      <c r="E43" s="28" t="n">
        <f aca="false">D43/1.1</f>
        <v>34.5363636363636</v>
      </c>
      <c r="F43" s="28" t="n">
        <f aca="false">'POLY ON WEBSITE'!D1</f>
        <v>5.35</v>
      </c>
      <c r="G43" s="28" t="n">
        <f aca="false">F43*1.1</f>
        <v>5.885</v>
      </c>
      <c r="J43" s="28" t="n">
        <f aca="false">E43-F43</f>
        <v>29.1863636363636</v>
      </c>
      <c r="K43" s="29" t="n">
        <f aca="false">IFERROR(E43/F43-1,"")</f>
        <v>5.4553950722175</v>
      </c>
      <c r="L43" s="27" t="str">
        <f aca="false">IF('POLY ON WEBSITE'!F1="","",'POLY ON WEBSITE'!F1)</f>
        <v>QOUTED ALL ON NON REFLECTIVE 2105, NO INFO ONLINE REGARDING REFLECTIVITY. </v>
      </c>
    </row>
    <row r="44" customFormat="false" ht="31.5" hidden="false" customHeight="true" outlineLevel="0" collapsed="false">
      <c r="A44" s="26" t="s">
        <v>225</v>
      </c>
      <c r="B44" s="26" t="str">
        <f aca="false">'POLY ON WEBSITE'!A2</f>
        <v>685029</v>
      </c>
      <c r="C44" s="27" t="str">
        <f aca="false">'POLY ON WEBSITE'!B2</f>
        <v>103MP 14M-LP Sign Eye Protection Must Be Worn Poly 300x225</v>
      </c>
      <c r="D44" s="28" t="n">
        <f aca="false">'POLY ON WEBSITE'!C2</f>
        <v>24.99</v>
      </c>
      <c r="E44" s="28" t="n">
        <f aca="false">D44/1.1</f>
        <v>22.7181818181818</v>
      </c>
      <c r="F44" s="28" t="n">
        <f aca="false">'POLY ON WEBSITE'!D2</f>
        <v>2.67</v>
      </c>
      <c r="G44" s="28" t="n">
        <f aca="false">F44*1.1</f>
        <v>2.937</v>
      </c>
      <c r="J44" s="28" t="n">
        <f aca="false">E44-F44</f>
        <v>20.0481818181818</v>
      </c>
      <c r="K44" s="29" t="n">
        <f aca="false">IFERROR(E44/F44-1,"")</f>
        <v>7.50868232890705</v>
      </c>
      <c r="L44" s="27" t="str">
        <f aca="false">IF('POLY ON WEBSITE'!F2="","",'POLY ON WEBSITE'!F2)</f>
        <v/>
      </c>
    </row>
    <row r="45" customFormat="false" ht="31.5" hidden="false" customHeight="true" outlineLevel="0" collapsed="false">
      <c r="A45" s="26" t="s">
        <v>225</v>
      </c>
      <c r="B45" s="26" t="str">
        <f aca="false">'POLY ON WEBSITE'!A3</f>
        <v>685151</v>
      </c>
      <c r="C45" s="27" t="str">
        <f aca="false">'POLY ON WEBSITE'!B3</f>
        <v>Building Site Sign All Visitors Must Report To Site Office Poly 600x450 116LP</v>
      </c>
      <c r="D45" s="28" t="n">
        <f aca="false">'POLY ON WEBSITE'!C3</f>
        <v>44.99</v>
      </c>
      <c r="E45" s="28" t="n">
        <f aca="false">D45/1.1</f>
        <v>40.9</v>
      </c>
      <c r="F45" s="28" t="n">
        <f aca="false">'POLY ON WEBSITE'!D3</f>
        <v>10.69</v>
      </c>
      <c r="G45" s="28" t="n">
        <f aca="false">F45*1.1</f>
        <v>11.759</v>
      </c>
      <c r="J45" s="28" t="n">
        <f aca="false">E45-F45</f>
        <v>30.21</v>
      </c>
      <c r="K45" s="29" t="n">
        <f aca="false">IFERROR(E45/F45-1,"")</f>
        <v>2.82600561272217</v>
      </c>
      <c r="L45" s="27" t="str">
        <f aca="false">IF('POLY ON WEBSITE'!F3="","",'POLY ON WEBSITE'!F3)</f>
        <v/>
      </c>
    </row>
    <row r="46" customFormat="false" ht="31.5" hidden="false" customHeight="true" outlineLevel="0" collapsed="false">
      <c r="A46" s="26" t="s">
        <v>225</v>
      </c>
      <c r="B46" s="26" t="str">
        <f aca="false">'POLY ON WEBSITE'!A4</f>
        <v>685177</v>
      </c>
      <c r="C46" s="27" t="str">
        <f aca="false">'POLY ON WEBSITE'!B4</f>
        <v>204MP 55D-LP Sign Danger No Smoking No Naked Flame Poly 300x225</v>
      </c>
      <c r="D46" s="28" t="n">
        <f aca="false">'POLY ON WEBSITE'!C4</f>
        <v>24.99</v>
      </c>
      <c r="E46" s="28" t="n">
        <f aca="false">D46/1.1</f>
        <v>22.7181818181818</v>
      </c>
      <c r="F46" s="28" t="n">
        <f aca="false">'POLY ON WEBSITE'!D4</f>
        <v>2.67</v>
      </c>
      <c r="G46" s="28" t="n">
        <f aca="false">F46*1.1</f>
        <v>2.937</v>
      </c>
      <c r="J46" s="28" t="n">
        <f aca="false">E46-F46</f>
        <v>20.0481818181818</v>
      </c>
      <c r="K46" s="29" t="n">
        <f aca="false">IFERROR(E46/F46-1,"")</f>
        <v>7.50868232890705</v>
      </c>
      <c r="L46" s="27" t="str">
        <f aca="false">IF('POLY ON WEBSITE'!F4="","",'POLY ON WEBSITE'!F4)</f>
        <v/>
      </c>
    </row>
    <row r="47" customFormat="false" ht="31.5" hidden="false" customHeight="true" outlineLevel="0" collapsed="false">
      <c r="A47" s="26" t="s">
        <v>225</v>
      </c>
      <c r="B47" s="26" t="str">
        <f aca="false">'POLY ON WEBSITE'!A5</f>
        <v>685231</v>
      </c>
      <c r="C47" s="27" t="str">
        <f aca="false">'POLY ON WEBSITE'!B5</f>
        <v>217LP 127D-NP Sign Danger Construction Site Do Not Enter Poly 600x400</v>
      </c>
      <c r="D47" s="28" t="n">
        <f aca="false">'POLY ON WEBSITE'!C5</f>
        <v>44.99</v>
      </c>
      <c r="E47" s="28" t="n">
        <f aca="false">D47/1.1</f>
        <v>40.9</v>
      </c>
      <c r="F47" s="28" t="n">
        <f aca="false">'POLY ON WEBSITE'!D5</f>
        <v>9.5</v>
      </c>
      <c r="G47" s="28" t="n">
        <f aca="false">F47*1.1</f>
        <v>10.45</v>
      </c>
      <c r="J47" s="28" t="n">
        <f aca="false">E47-F47</f>
        <v>31.4</v>
      </c>
      <c r="K47" s="29" t="n">
        <f aca="false">IFERROR(E47/F47-1,"")</f>
        <v>3.30526315789474</v>
      </c>
      <c r="L47" s="27" t="str">
        <f aca="false">IF('POLY ON WEBSITE'!F5="","",'POLY ON WEBSITE'!F5)</f>
        <v/>
      </c>
    </row>
    <row r="48" customFormat="false" ht="31.5" hidden="false" customHeight="true" outlineLevel="0" collapsed="false">
      <c r="A48" s="26" t="s">
        <v>225</v>
      </c>
      <c r="B48" s="26" t="str">
        <f aca="false">'POLY ON WEBSITE'!A6</f>
        <v>685255</v>
      </c>
      <c r="C48" s="27" t="str">
        <f aca="false">'POLY ON WEBSITE'!B6</f>
        <v>Danger Sign Demolition Work In Progress Poly 600x450 223LP</v>
      </c>
      <c r="D48" s="28" t="n">
        <f aca="false">'POLY ON WEBSITE'!C6</f>
        <v>44.99</v>
      </c>
      <c r="E48" s="28" t="n">
        <f aca="false">D48/1.1</f>
        <v>40.9</v>
      </c>
      <c r="F48" s="28" t="n">
        <f aca="false">'POLY ON WEBSITE'!D6</f>
        <v>10.69</v>
      </c>
      <c r="G48" s="28" t="n">
        <f aca="false">F48*1.1</f>
        <v>11.759</v>
      </c>
      <c r="J48" s="28" t="n">
        <f aca="false">E48-F48</f>
        <v>30.21</v>
      </c>
      <c r="K48" s="29" t="n">
        <f aca="false">IFERROR(E48/F48-1,"")</f>
        <v>2.82600561272217</v>
      </c>
      <c r="L48" s="27" t="str">
        <f aca="false">IF('POLY ON WEBSITE'!F6="","",'POLY ON WEBSITE'!F6)</f>
        <v/>
      </c>
    </row>
    <row r="49" customFormat="false" ht="31.5" hidden="false" customHeight="true" outlineLevel="0" collapsed="false">
      <c r="A49" s="26" t="s">
        <v>225</v>
      </c>
      <c r="B49" s="26" t="str">
        <f aca="false">'POLY ON WEBSITE'!A7</f>
        <v>685265</v>
      </c>
      <c r="C49" s="27" t="str">
        <f aca="false">'POLY ON WEBSITE'!B7</f>
        <v>225LSP 96D-MP Sign Danger Confined Space Entry By Permit Poly 450x300</v>
      </c>
      <c r="D49" s="28" t="n">
        <f aca="false">'POLY ON WEBSITE'!C7</f>
        <v>32.99</v>
      </c>
      <c r="E49" s="28" t="n">
        <f aca="false">D49/1.1</f>
        <v>29.9909090909091</v>
      </c>
      <c r="F49" s="28" t="n">
        <f aca="false">'POLY ON WEBSITE'!D7</f>
        <v>5.35</v>
      </c>
      <c r="G49" s="28" t="n">
        <f aca="false">F49*1.1</f>
        <v>5.885</v>
      </c>
      <c r="J49" s="28" t="n">
        <f aca="false">E49-F49</f>
        <v>24.6409090909091</v>
      </c>
      <c r="K49" s="29" t="n">
        <f aca="false">IFERROR(E49/F49-1,"")</f>
        <v>4.60577740016992</v>
      </c>
      <c r="L49" s="27" t="str">
        <f aca="false">IF('POLY ON WEBSITE'!F7="","",'POLY ON WEBSITE'!F7)</f>
        <v/>
      </c>
    </row>
    <row r="50" customFormat="false" ht="15.75" hidden="false" customHeight="true" outlineLevel="0" collapsed="false">
      <c r="A50" s="26" t="s">
        <v>225</v>
      </c>
      <c r="B50" s="26" t="str">
        <f aca="false">'POLY ON WEBSITE'!A8</f>
        <v>685612</v>
      </c>
      <c r="C50" s="27" t="str">
        <f aca="false">'POLY ON WEBSITE'!B8</f>
        <v>501LSP 20E-MP 835331 Sign First Aid Poly 450x300</v>
      </c>
      <c r="D50" s="28" t="n">
        <f aca="false">'POLY ON WEBSITE'!C8</f>
        <v>49.99</v>
      </c>
      <c r="E50" s="28" t="n">
        <f aca="false">D50/1.1</f>
        <v>45.4454545454545</v>
      </c>
      <c r="F50" s="28" t="n">
        <f aca="false">'POLY ON WEBSITE'!D8</f>
        <v>5.35</v>
      </c>
      <c r="G50" s="28" t="n">
        <f aca="false">F50*1.1</f>
        <v>5.885</v>
      </c>
      <c r="J50" s="28" t="n">
        <f aca="false">E50-F50</f>
        <v>40.0954545454545</v>
      </c>
      <c r="K50" s="29" t="n">
        <f aca="false">IFERROR(E50/F50-1,"")</f>
        <v>7.49447748513169</v>
      </c>
      <c r="L50" s="27" t="str">
        <f aca="false">IF('POLY ON WEBSITE'!F8="","",'POLY ON WEBSITE'!F8)</f>
        <v/>
      </c>
    </row>
    <row r="51" customFormat="false" ht="15.75" hidden="false" customHeight="true" outlineLevel="0" collapsed="false">
      <c r="A51" s="26" t="s">
        <v>225</v>
      </c>
      <c r="B51" s="26" t="str">
        <f aca="false">'POLY ON WEBSITE'!A9</f>
        <v>685622</v>
      </c>
      <c r="C51" s="27" t="str">
        <f aca="false">'POLY ON WEBSITE'!B9</f>
        <v>502MP 75E-LP Sign First Aid Station Poly 300x225</v>
      </c>
      <c r="D51" s="28" t="n">
        <f aca="false">'POLY ON WEBSITE'!C9</f>
        <v>27.99</v>
      </c>
      <c r="E51" s="28" t="n">
        <f aca="false">D51/1.1</f>
        <v>25.4454545454545</v>
      </c>
      <c r="F51" s="28" t="n">
        <f aca="false">'POLY ON WEBSITE'!D9</f>
        <v>2.67</v>
      </c>
      <c r="G51" s="28" t="n">
        <f aca="false">F51*1.1</f>
        <v>2.937</v>
      </c>
      <c r="J51" s="28" t="n">
        <f aca="false">E51-F51</f>
        <v>22.7754545454545</v>
      </c>
      <c r="K51" s="29" t="n">
        <f aca="false">IFERROR(E51/F51-1,"")</f>
        <v>8.53013278855975</v>
      </c>
      <c r="L51" s="27" t="str">
        <f aca="false">IF('POLY ON WEBSITE'!F9="","",'POLY ON WEBSITE'!F9)</f>
        <v/>
      </c>
    </row>
    <row r="52" customFormat="false" ht="15.75" hidden="false" customHeight="true" outlineLevel="0" collapsed="false">
      <c r="A52" s="26" t="s">
        <v>225</v>
      </c>
      <c r="B52" s="26" t="str">
        <f aca="false">'POLY ON WEBSITE'!A10</f>
        <v>685659</v>
      </c>
      <c r="C52" s="27" t="str">
        <f aca="false">'POLY ON WEBSITE'!B10</f>
        <v>509LP 88E-NP Sign Emergency Assembly AREA Poly 600x400</v>
      </c>
      <c r="D52" s="28" t="n">
        <f aca="false">'POLY ON WEBSITE'!C10</f>
        <v>44.99</v>
      </c>
      <c r="E52" s="28" t="n">
        <f aca="false">D52/1.1</f>
        <v>40.9</v>
      </c>
      <c r="F52" s="28" t="n">
        <f aca="false">'POLY ON WEBSITE'!D10</f>
        <v>9.5</v>
      </c>
      <c r="G52" s="28" t="n">
        <f aca="false">F52*1.1</f>
        <v>10.45</v>
      </c>
      <c r="J52" s="28" t="n">
        <f aca="false">E52-F52</f>
        <v>31.4</v>
      </c>
      <c r="K52" s="29" t="n">
        <f aca="false">IFERROR(E52/F52-1,"")</f>
        <v>3.30526315789474</v>
      </c>
      <c r="L52" s="27" t="str">
        <f aca="false">IF('POLY ON WEBSITE'!F10="","",'POLY ON WEBSITE'!F10)</f>
        <v/>
      </c>
    </row>
    <row r="53" customFormat="false" ht="31.5" hidden="false" customHeight="true" outlineLevel="0" collapsed="false">
      <c r="A53" s="26" t="s">
        <v>225</v>
      </c>
      <c r="B53" s="26" t="str">
        <f aca="false">'POLY ON WEBSITE'!A11</f>
        <v>685727</v>
      </c>
      <c r="C53" s="27" t="str">
        <f aca="false">'POLY ON WEBSITE'!B11</f>
        <v>Fire Equipment Sign Fire Extinguisher Off The Wall Poly 225x225 705OWP</v>
      </c>
      <c r="D53" s="28" t="n">
        <f aca="false">'POLY ON WEBSITE'!C11</f>
        <v>49.99</v>
      </c>
      <c r="E53" s="28" t="n">
        <f aca="false">D53/1.1</f>
        <v>45.4454545454545</v>
      </c>
      <c r="F53" s="28" t="n">
        <f aca="false">'POLY ON WEBSITE'!D11</f>
        <v>2</v>
      </c>
      <c r="G53" s="28" t="n">
        <f aca="false">F53*1.1</f>
        <v>2.2</v>
      </c>
      <c r="J53" s="28" t="n">
        <f aca="false">E53-F53</f>
        <v>43.4454545454545</v>
      </c>
      <c r="K53" s="29" t="n">
        <f aca="false">IFERROR(E53/F53-1,"")</f>
        <v>21.7227272727273</v>
      </c>
      <c r="L53" s="27" t="str">
        <f aca="false">IF('POLY ON WEBSITE'!F11="","",'POLY ON WEBSITE'!F11)</f>
        <v/>
      </c>
    </row>
    <row r="54" customFormat="false" ht="15.75" hidden="false" customHeight="true" outlineLevel="0" collapsed="false">
      <c r="A54" s="26" t="s">
        <v>225</v>
      </c>
      <c r="B54" s="26" t="str">
        <f aca="false">'POLY ON WEBSITE'!A12</f>
        <v>685735</v>
      </c>
      <c r="C54" s="27" t="str">
        <f aca="false">'POLY ON WEBSITE'!B12</f>
        <v>707MP 57E-LP Sign Fire Hose Reel &amp; Picto Poly 300x225</v>
      </c>
      <c r="D54" s="28" t="n">
        <f aca="false">'POLY ON WEBSITE'!C12</f>
        <v>32.99</v>
      </c>
      <c r="E54" s="28" t="n">
        <f aca="false">D54/1.1</f>
        <v>29.9909090909091</v>
      </c>
      <c r="F54" s="28" t="n">
        <f aca="false">'POLY ON WEBSITE'!D12</f>
        <v>2.67</v>
      </c>
      <c r="G54" s="28" t="n">
        <f aca="false">F54*1.1</f>
        <v>2.937</v>
      </c>
      <c r="J54" s="28" t="n">
        <f aca="false">E54-F54</f>
        <v>27.3209090909091</v>
      </c>
      <c r="K54" s="29" t="n">
        <f aca="false">IFERROR(E54/F54-1,"")</f>
        <v>10.2325502213143</v>
      </c>
      <c r="L54" s="27" t="str">
        <f aca="false">IF('POLY ON WEBSITE'!F12="","",'POLY ON WEBSITE'!F12)</f>
        <v/>
      </c>
    </row>
    <row r="55" customFormat="false" ht="15.75" hidden="false" customHeight="true" outlineLevel="0" collapsed="false">
      <c r="A55" s="26" t="s">
        <v>225</v>
      </c>
      <c r="B55" s="26" t="str">
        <f aca="false">'POLY ON WEBSITE'!A13</f>
        <v>685925</v>
      </c>
      <c r="C55" s="27" t="str">
        <f aca="false">'POLY ON WEBSITE'!B13</f>
        <v>952OLP 293-KP Sign Arrow Poly 450x200</v>
      </c>
      <c r="D55" s="28" t="n">
        <f aca="false">'POLY ON WEBSITE'!C13</f>
        <v>37.99</v>
      </c>
      <c r="E55" s="28" t="n">
        <f aca="false">D55/1.1</f>
        <v>34.5363636363636</v>
      </c>
      <c r="F55" s="28" t="n">
        <f aca="false">'POLY ON WEBSITE'!D13</f>
        <v>4.01</v>
      </c>
      <c r="G55" s="28" t="n">
        <f aca="false">F55*1.1</f>
        <v>4.411</v>
      </c>
      <c r="J55" s="28" t="n">
        <f aca="false">E55-F55</f>
        <v>30.5263636363636</v>
      </c>
      <c r="K55" s="29" t="n">
        <f aca="false">IFERROR(E55/F55-1,"")</f>
        <v>7.61255951031512</v>
      </c>
      <c r="L55" s="27" t="str">
        <f aca="false">IF('POLY ON WEBSITE'!F13="","",'POLY ON WEBSITE'!F13)</f>
        <v/>
      </c>
    </row>
    <row r="56" customFormat="false" ht="15.75" hidden="false" customHeight="true" outlineLevel="0" collapsed="false">
      <c r="A56" s="26" t="s">
        <v>225</v>
      </c>
      <c r="B56" s="26" t="str">
        <f aca="false">'POLY ON WEBSITE'!A14</f>
        <v>685977</v>
      </c>
      <c r="C56" s="27" t="str">
        <f aca="false">'POLY ON WEBSITE'!B14</f>
        <v>Traffic Sign 5kph Speed Limit Poly 600x450 TC409LP</v>
      </c>
      <c r="D56" s="28" t="n">
        <f aca="false">'POLY ON WEBSITE'!C14</f>
        <v>37.99</v>
      </c>
      <c r="E56" s="28" t="n">
        <f aca="false">D56/1.1</f>
        <v>34.5363636363636</v>
      </c>
      <c r="F56" s="28" t="n">
        <f aca="false">'POLY ON WEBSITE'!D14</f>
        <v>10.69</v>
      </c>
      <c r="G56" s="28" t="n">
        <f aca="false">F56*1.1</f>
        <v>11.759</v>
      </c>
      <c r="J56" s="28" t="n">
        <f aca="false">E56-F56</f>
        <v>23.8463636363636</v>
      </c>
      <c r="K56" s="29" t="n">
        <f aca="false">IFERROR(E56/F56-1,"")</f>
        <v>2.23071689769538</v>
      </c>
      <c r="L56" s="27" t="str">
        <f aca="false">IF('POLY ON WEBSITE'!F14="","",'POLY ON WEBSITE'!F14)</f>
        <v/>
      </c>
    </row>
    <row r="57" customFormat="false" ht="15.75" hidden="false" customHeight="true" outlineLevel="0" collapsed="false">
      <c r="A57" s="26" t="s">
        <v>225</v>
      </c>
      <c r="B57" s="26" t="str">
        <f aca="false">'POLY ON WEBSITE'!A15</f>
        <v>686007</v>
      </c>
      <c r="C57" s="27" t="str">
        <f aca="false">'POLY ON WEBSITE'!B15</f>
        <v>Traffic Sign Beware Pedestrians Poly 600x450 TC418LP</v>
      </c>
      <c r="D57" s="28" t="n">
        <f aca="false">'POLY ON WEBSITE'!C15</f>
        <v>37.99</v>
      </c>
      <c r="E57" s="28" t="n">
        <f aca="false">D57/1.1</f>
        <v>34.5363636363636</v>
      </c>
      <c r="F57" s="28" t="n">
        <f aca="false">'POLY ON WEBSITE'!D15</f>
        <v>10.69</v>
      </c>
      <c r="G57" s="28" t="n">
        <f aca="false">F57*1.1</f>
        <v>11.759</v>
      </c>
      <c r="J57" s="28" t="n">
        <f aca="false">E57-F57</f>
        <v>23.8463636363636</v>
      </c>
      <c r="K57" s="29" t="n">
        <f aca="false">IFERROR(E57/F57-1,"")</f>
        <v>2.23071689769538</v>
      </c>
      <c r="L57" s="27" t="str">
        <f aca="false">IF('POLY ON WEBSITE'!F15="","",'POLY ON WEBSITE'!F15)</f>
        <v/>
      </c>
    </row>
    <row r="58" customFormat="false" ht="31.5" hidden="false" customHeight="true" outlineLevel="0" collapsed="false">
      <c r="A58" s="26" t="s">
        <v>225</v>
      </c>
      <c r="B58" s="26" t="str">
        <f aca="false">'POLY ON WEBSITE'!A16</f>
        <v>686173</v>
      </c>
      <c r="C58" s="27" t="str">
        <f aca="false">'POLY ON WEBSITE'!B16</f>
        <v>425LP 67P-NP Sign Warning Authorised Personnel Poly 600x450</v>
      </c>
      <c r="D58" s="28" t="n">
        <f aca="false">'POLY ON WEBSITE'!C16</f>
        <v>44.99</v>
      </c>
      <c r="E58" s="28" t="n">
        <f aca="false">D58/1.1</f>
        <v>40.9</v>
      </c>
      <c r="F58" s="28" t="n">
        <f aca="false">'POLY ON WEBSITE'!D16</f>
        <v>10.69</v>
      </c>
      <c r="G58" s="28" t="n">
        <f aca="false">F58*1.1</f>
        <v>11.759</v>
      </c>
      <c r="J58" s="28" t="n">
        <f aca="false">E58-F58</f>
        <v>30.21</v>
      </c>
      <c r="K58" s="29" t="n">
        <f aca="false">IFERROR(E58/F58-1,"")</f>
        <v>2.82600561272217</v>
      </c>
      <c r="L58" s="27" t="str">
        <f aca="false">IF('POLY ON WEBSITE'!F16="","",'POLY ON WEBSITE'!F16)</f>
        <v/>
      </c>
    </row>
    <row r="59" customFormat="false" ht="31.5" hidden="false" customHeight="true" outlineLevel="0" collapsed="false">
      <c r="A59" s="26" t="s">
        <v>225</v>
      </c>
      <c r="B59" s="26" t="str">
        <f aca="false">'POLY ON WEBSITE'!A17</f>
        <v>686245</v>
      </c>
      <c r="C59" s="27" t="str">
        <f aca="false">'POLY ON WEBSITE'!B17</f>
        <v>HLTM108P H8-XP 835630 Hazchem Corrosive 8 Poly 270x270</v>
      </c>
      <c r="D59" s="28" t="n">
        <f aca="false">'POLY ON WEBSITE'!C17</f>
        <v>32.99</v>
      </c>
      <c r="E59" s="28" t="n">
        <f aca="false">D59/1.1</f>
        <v>29.9909090909091</v>
      </c>
      <c r="F59" s="28" t="n">
        <f aca="false">'POLY ON WEBSITE'!D17</f>
        <v>2.89</v>
      </c>
      <c r="G59" s="28" t="n">
        <f aca="false">F59*1.1</f>
        <v>3.179</v>
      </c>
      <c r="J59" s="28" t="n">
        <f aca="false">E59-F59</f>
        <v>27.1009090909091</v>
      </c>
      <c r="K59" s="29" t="n">
        <f aca="false">IFERROR(E59/F59-1,"")</f>
        <v>9.37747719408619</v>
      </c>
      <c r="L59" s="27" t="str">
        <f aca="false">IF('POLY ON WEBSITE'!F17="","",'POLY ON WEBSITE'!F17)</f>
        <v/>
      </c>
    </row>
    <row r="60" customFormat="false" ht="31.5" hidden="false" customHeight="true" outlineLevel="0" collapsed="false">
      <c r="A60" s="26" t="s">
        <v>225</v>
      </c>
      <c r="B60" s="26" t="str">
        <f aca="false">'POLY ON WEBSITE'!A18</f>
        <v>686553</v>
      </c>
      <c r="C60" s="27" t="str">
        <f aca="false">'POLY ON WEBSITE'!B18</f>
        <v>Exit &amp; Evacuation Sign Exit Luminous Poly Lum 350x140 601OLUP</v>
      </c>
      <c r="D60" s="28" t="n">
        <f aca="false">'POLY ON WEBSITE'!C18</f>
        <v>49.99</v>
      </c>
      <c r="E60" s="28" t="n">
        <f aca="false">D60/1.1</f>
        <v>45.4454545454545</v>
      </c>
      <c r="F60" s="28" t="n">
        <f aca="false">'POLY ON WEBSITE'!D18</f>
        <v>1.94</v>
      </c>
      <c r="G60" s="28" t="n">
        <f aca="false">F60*1.1</f>
        <v>2.134</v>
      </c>
      <c r="J60" s="28" t="n">
        <f aca="false">E60-F60</f>
        <v>43.5054545454546</v>
      </c>
      <c r="K60" s="29" t="n">
        <f aca="false">IFERROR(E60/F60-1,"")</f>
        <v>22.4254920337395</v>
      </c>
      <c r="L60" s="27" t="str">
        <f aca="false">IF('POLY ON WEBSITE'!F18="","",'POLY ON WEBSITE'!F18)</f>
        <v/>
      </c>
    </row>
    <row r="61" customFormat="false" ht="15.75" hidden="false" customHeight="true" outlineLevel="0" collapsed="false">
      <c r="A61" s="26" t="s">
        <v>225</v>
      </c>
      <c r="B61" s="26" t="str">
        <f aca="false">'POLY ON WEBSITE'!A19</f>
        <v>712169</v>
      </c>
      <c r="C61" s="27" t="str">
        <f aca="false">'POLY ON WEBSITE'!B19</f>
        <v>Danger Workers Above Poly Sign 600x450mm</v>
      </c>
      <c r="D61" s="28" t="n">
        <f aca="false">'POLY ON WEBSITE'!C19</f>
        <v>49.99</v>
      </c>
      <c r="E61" s="28" t="n">
        <f aca="false">D61/1.1</f>
        <v>45.4454545454545</v>
      </c>
      <c r="F61" s="28" t="n">
        <f aca="false">'POLY ON WEBSITE'!D19</f>
        <v>10.69</v>
      </c>
      <c r="G61" s="28" t="n">
        <f aca="false">F61*1.1</f>
        <v>11.759</v>
      </c>
      <c r="J61" s="28" t="n">
        <f aca="false">E61-F61</f>
        <v>34.7554545454546</v>
      </c>
      <c r="K61" s="29" t="n">
        <f aca="false">IFERROR(E61/F61-1,"")</f>
        <v>3.2512118377413</v>
      </c>
      <c r="L61" s="27" t="str">
        <f aca="false">IF('POLY ON WEBSITE'!F19="","",'POLY ON WEBSITE'!F19)</f>
        <v/>
      </c>
    </row>
    <row r="62" customFormat="false" ht="31.5" hidden="false" customHeight="true" outlineLevel="0" collapsed="false">
      <c r="A62" s="26" t="s">
        <v>225</v>
      </c>
      <c r="B62" s="26" t="str">
        <f aca="false">'POLY ON WEBSITE'!A20</f>
        <v>715740</v>
      </c>
      <c r="C62" s="27" t="str">
        <f aca="false">'POLY ON WEBSITE'!B20</f>
        <v>432MP 840223 153P-LP Sign Prohibition No Pedestrian Access Poly 300x225</v>
      </c>
      <c r="D62" s="28" t="n">
        <f aca="false">'POLY ON WEBSITE'!C20</f>
        <v>32.99</v>
      </c>
      <c r="E62" s="28" t="n">
        <f aca="false">D62/1.1</f>
        <v>29.9909090909091</v>
      </c>
      <c r="F62" s="28" t="n">
        <f aca="false">'POLY ON WEBSITE'!D20</f>
        <v>3.201</v>
      </c>
      <c r="G62" s="28" t="n">
        <f aca="false">F62*1.1</f>
        <v>3.5211</v>
      </c>
      <c r="J62" s="28" t="n">
        <f aca="false">E62-F62</f>
        <v>26.7899090909091</v>
      </c>
      <c r="K62" s="29" t="n">
        <f aca="false">IFERROR(E62/F62-1,"")</f>
        <v>8.36923120615717</v>
      </c>
      <c r="L62" s="27" t="str">
        <f aca="false">IF('POLY ON WEBSITE'!F20="","",'POLY ON WEBSITE'!F20)</f>
        <v/>
      </c>
    </row>
    <row r="63" customFormat="false" ht="15.75" hidden="false" customHeight="true" outlineLevel="0" collapsed="false">
      <c r="A63" s="26" t="s">
        <v>225</v>
      </c>
      <c r="B63" s="26" t="str">
        <f aca="false">'POLY ON WEBSITE'!A21</f>
        <v>715804</v>
      </c>
      <c r="C63" s="27" t="str">
        <f aca="false">'POLY ON WEBSITE'!B21</f>
        <v>General Sign Lunch Room Poly 450x300 944LSP</v>
      </c>
      <c r="D63" s="28" t="n">
        <f aca="false">'POLY ON WEBSITE'!C21</f>
        <v>32.99</v>
      </c>
      <c r="E63" s="28" t="n">
        <f aca="false">D63/1.1</f>
        <v>29.9909090909091</v>
      </c>
      <c r="F63" s="28" t="n">
        <f aca="false">'POLY ON WEBSITE'!D21</f>
        <v>5.35</v>
      </c>
      <c r="G63" s="28" t="n">
        <f aca="false">F63*1.1</f>
        <v>5.885</v>
      </c>
      <c r="J63" s="28" t="n">
        <f aca="false">E63-F63</f>
        <v>24.6409090909091</v>
      </c>
      <c r="K63" s="29" t="n">
        <f aca="false">IFERROR(E63/F63-1,"")</f>
        <v>4.60577740016992</v>
      </c>
      <c r="L63" s="27" t="str">
        <f aca="false">IF('POLY ON WEBSITE'!F21="","",'POLY ON WEBSITE'!F21)</f>
        <v/>
      </c>
    </row>
    <row r="64" customFormat="false" ht="31.5" hidden="false" customHeight="true" outlineLevel="0" collapsed="false">
      <c r="A64" s="26" t="s">
        <v>225</v>
      </c>
      <c r="B64" s="26" t="str">
        <f aca="false">'POLY ON WEBSITE'!A22</f>
        <v>717991</v>
      </c>
      <c r="C64" s="27" t="str">
        <f aca="false">'POLY ON WEBSITE'!B22</f>
        <v>Danger Sign Flammable Material Storage Area Poly 300x225 256MP</v>
      </c>
      <c r="D64" s="28" t="n">
        <f aca="false">'POLY ON WEBSITE'!C22</f>
        <v>32.99</v>
      </c>
      <c r="E64" s="28" t="n">
        <f aca="false">D64/1.1</f>
        <v>29.9909090909091</v>
      </c>
      <c r="F64" s="28" t="n">
        <f aca="false">'POLY ON WEBSITE'!D22</f>
        <v>2.67</v>
      </c>
      <c r="G64" s="28" t="n">
        <f aca="false">F64*1.1</f>
        <v>2.937</v>
      </c>
      <c r="J64" s="28" t="n">
        <f aca="false">E64-F64</f>
        <v>27.3209090909091</v>
      </c>
      <c r="K64" s="29" t="n">
        <f aca="false">IFERROR(E64/F64-1,"")</f>
        <v>10.2325502213143</v>
      </c>
      <c r="L64" s="27" t="str">
        <f aca="false">IF('POLY ON WEBSITE'!F22="","",'POLY ON WEBSITE'!F22)</f>
        <v/>
      </c>
    </row>
    <row r="65" customFormat="false" ht="15.75" hidden="false" customHeight="true" outlineLevel="0" collapsed="false">
      <c r="A65" s="26" t="s">
        <v>225</v>
      </c>
      <c r="B65" s="26" t="str">
        <f aca="false">'POLY ON WEBSITE'!A23</f>
        <v>869094</v>
      </c>
      <c r="C65" s="27" t="str">
        <f aca="false">'POLY ON WEBSITE'!B23</f>
        <v>Danger Sign Overhead Power Lines Corflute 600x450 265LC</v>
      </c>
      <c r="D65" s="28" t="n">
        <f aca="false">'POLY ON WEBSITE'!C23</f>
        <v>32.99</v>
      </c>
      <c r="E65" s="28" t="n">
        <f aca="false">D65/1.1</f>
        <v>29.9909090909091</v>
      </c>
      <c r="F65" s="28" t="n">
        <f aca="false">'POLY ON WEBSITE'!D23</f>
        <v>10.69</v>
      </c>
      <c r="G65" s="28" t="n">
        <f aca="false">F65*1.1</f>
        <v>11.759</v>
      </c>
      <c r="J65" s="28" t="n">
        <f aca="false">E65-F65</f>
        <v>19.3009090909091</v>
      </c>
      <c r="K65" s="29" t="n">
        <f aca="false">IFERROR(E65/F65-1,"")</f>
        <v>1.80551067267625</v>
      </c>
      <c r="L65" s="27" t="str">
        <f aca="false">IF('POLY ON WEBSITE'!F23="","",'POLY ON WEBSITE'!F23)</f>
        <v/>
      </c>
    </row>
    <row r="67" customFormat="false" ht="15.75" hidden="false" customHeight="true" outlineLevel="0" collapsed="false">
      <c r="A67" s="34" t="s">
        <v>226</v>
      </c>
    </row>
    <row r="68" customFormat="false" ht="15" hidden="false" customHeight="true" outlineLevel="0" collapsed="false">
      <c r="A68" s="35" t="s">
        <v>227</v>
      </c>
      <c r="B68" s="35"/>
      <c r="C68" s="35"/>
      <c r="D68" s="36" t="n">
        <f aca="false">COUNTA(B6:B65)</f>
        <v>60</v>
      </c>
    </row>
    <row r="69" customFormat="false" ht="15" hidden="false" customHeight="true" outlineLevel="0" collapsed="false">
      <c r="A69" s="35" t="s">
        <v>228</v>
      </c>
      <c r="B69" s="35"/>
      <c r="C69" s="35"/>
      <c r="D69" s="36" t="n">
        <f aca="false">COUNTIF(H6:H65,"&gt;0")</f>
        <v>22</v>
      </c>
    </row>
    <row r="70" customFormat="false" ht="15" hidden="false" customHeight="true" outlineLevel="0" collapsed="false">
      <c r="A70" s="35" t="s">
        <v>229</v>
      </c>
      <c r="B70" s="35"/>
      <c r="C70" s="35"/>
      <c r="D70" s="36" t="n">
        <f aca="false">COUNTIF(H6:H65,"&lt;0")</f>
        <v>0</v>
      </c>
    </row>
    <row r="71" customFormat="false" ht="15" hidden="false" customHeight="true" outlineLevel="0" collapsed="false">
      <c r="A71" s="35" t="s">
        <v>230</v>
      </c>
      <c r="B71" s="35"/>
      <c r="C71" s="35"/>
      <c r="D71" s="37" t="n">
        <f aca="false">AVERAGE(I6:I65)</f>
        <v>27.42824375</v>
      </c>
    </row>
    <row r="72" customFormat="false" ht="15" hidden="false" customHeight="true" outlineLevel="0" collapsed="false">
      <c r="A72" s="35" t="s">
        <v>231</v>
      </c>
      <c r="B72" s="35"/>
      <c r="C72" s="35"/>
      <c r="D72" s="37" t="n">
        <f aca="false">MEDIAN(I6:I65)</f>
        <v>23.27978125</v>
      </c>
    </row>
    <row r="74" customFormat="false" ht="15" hidden="false" customHeight="true" outlineLevel="0" collapsed="false">
      <c r="A74" s="38"/>
      <c r="B74" s="38"/>
      <c r="C74" s="38"/>
      <c r="D74" s="38"/>
      <c r="E74" s="38"/>
      <c r="F74" s="38"/>
      <c r="G74" s="38"/>
      <c r="H74" s="38"/>
      <c r="I74" s="38"/>
      <c r="J74" s="38"/>
    </row>
  </sheetData>
  <mergeCells count="8">
    <mergeCell ref="A2:J2"/>
    <mergeCell ref="A3:J3"/>
    <mergeCell ref="A68:C68"/>
    <mergeCell ref="A69:C69"/>
    <mergeCell ref="A70:C70"/>
    <mergeCell ref="A71:C71"/>
    <mergeCell ref="A72:C72"/>
    <mergeCell ref="A74:J7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11"/>
    <col collapsed="false" customWidth="true" hidden="false" outlineLevel="0" max="3" min="3" style="1" width="46"/>
    <col collapsed="false" customWidth="true" hidden="false" outlineLevel="0" max="27" min="4" style="1" width="13"/>
    <col collapsed="false" customWidth="true" hidden="false" outlineLevel="0" max="30" min="28" style="1" width="14"/>
    <col collapsed="false" customWidth="true" hidden="false" outlineLevel="0" max="31" min="31" style="1" width="50"/>
  </cols>
  <sheetData>
    <row r="1" customFormat="false" ht="19.5" hidden="false" customHeight="true" outlineLevel="0" collapsed="false">
      <c r="A1" s="39" t="s">
        <v>232</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row>
    <row r="2" customFormat="false" ht="72" hidden="false" customHeight="true" outlineLevel="0" collapsed="false">
      <c r="A2" s="40" t="s">
        <v>233</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row>
    <row r="3" customFormat="false" ht="72" hidden="false" customHeight="true" outlineLevel="0" collapsed="false">
      <c r="A3" s="40" t="s">
        <v>234</v>
      </c>
      <c r="B3" s="40"/>
      <c r="C3" s="40"/>
      <c r="D3" s="40"/>
      <c r="E3" s="40"/>
      <c r="F3" s="40"/>
      <c r="G3" s="40"/>
      <c r="H3" s="40"/>
      <c r="I3" s="40"/>
      <c r="J3" s="40"/>
      <c r="K3" s="40"/>
      <c r="L3" s="40"/>
      <c r="M3" s="40"/>
      <c r="N3" s="40"/>
      <c r="O3" s="40"/>
      <c r="P3" s="40"/>
      <c r="Q3" s="40"/>
      <c r="R3" s="40"/>
      <c r="S3" s="40"/>
      <c r="T3" s="40"/>
      <c r="U3" s="40"/>
      <c r="V3" s="40"/>
      <c r="W3" s="40"/>
      <c r="X3" s="40"/>
      <c r="Y3" s="40"/>
      <c r="Z3" s="40"/>
      <c r="AA3" s="40"/>
      <c r="AB3" s="40"/>
      <c r="AC3" s="40"/>
      <c r="AD3" s="40"/>
      <c r="AE3" s="40"/>
    </row>
    <row r="5" customFormat="false" ht="48.75" hidden="false" customHeight="true" outlineLevel="0" collapsed="false">
      <c r="A5" s="25" t="s">
        <v>212</v>
      </c>
      <c r="B5" s="25" t="s">
        <v>0</v>
      </c>
      <c r="C5" s="25" t="s">
        <v>1</v>
      </c>
      <c r="D5" s="25" t="s">
        <v>215</v>
      </c>
      <c r="E5" s="25" t="s">
        <v>216</v>
      </c>
      <c r="F5" s="25" t="s">
        <v>217</v>
      </c>
      <c r="G5" s="25" t="s">
        <v>218</v>
      </c>
      <c r="H5" s="25" t="s">
        <v>213</v>
      </c>
      <c r="I5" s="25" t="s">
        <v>214</v>
      </c>
      <c r="J5" s="25" t="s">
        <v>235</v>
      </c>
      <c r="K5" s="25" t="s">
        <v>236</v>
      </c>
      <c r="L5" s="25" t="s">
        <v>237</v>
      </c>
      <c r="M5" s="25" t="s">
        <v>238</v>
      </c>
      <c r="N5" s="25" t="s">
        <v>239</v>
      </c>
      <c r="O5" s="25" t="s">
        <v>240</v>
      </c>
      <c r="P5" s="25" t="s">
        <v>241</v>
      </c>
      <c r="Q5" s="25" t="s">
        <v>242</v>
      </c>
      <c r="R5" s="25" t="s">
        <v>243</v>
      </c>
      <c r="S5" s="25" t="s">
        <v>244</v>
      </c>
      <c r="T5" s="25" t="s">
        <v>245</v>
      </c>
      <c r="U5" s="25" t="s">
        <v>246</v>
      </c>
      <c r="V5" s="25" t="s">
        <v>247</v>
      </c>
      <c r="W5" s="25" t="s">
        <v>248</v>
      </c>
      <c r="X5" s="25" t="s">
        <v>249</v>
      </c>
      <c r="Y5" s="25" t="s">
        <v>250</v>
      </c>
      <c r="Z5" s="25" t="s">
        <v>251</v>
      </c>
      <c r="AA5" s="25" t="s">
        <v>252</v>
      </c>
      <c r="AB5" s="25" t="s">
        <v>253</v>
      </c>
      <c r="AC5" s="25" t="s">
        <v>254</v>
      </c>
      <c r="AD5" s="25" t="s">
        <v>255</v>
      </c>
      <c r="AE5" s="25" t="s">
        <v>256</v>
      </c>
    </row>
    <row r="6" customFormat="false" ht="108.75" hidden="false" customHeight="true" outlineLevel="0" collapsed="false">
      <c r="A6" s="1" t="s">
        <v>222</v>
      </c>
      <c r="B6" s="1" t="s">
        <v>7</v>
      </c>
      <c r="C6" s="41" t="s">
        <v>8</v>
      </c>
      <c r="D6" s="11" t="n">
        <f aca="false">'RSEA vs Quoted Comparison'!F6</f>
        <v>16.71</v>
      </c>
      <c r="E6" s="11" t="n">
        <f aca="false">'RSEA vs Quoted Comparison'!G6</f>
        <v>18.381</v>
      </c>
      <c r="F6" s="11" t="n">
        <f aca="false">IF('RSEA vs Quoted Comparison'!H6="","",'RSEA vs Quoted Comparison'!H6)</f>
        <v>16.93275</v>
      </c>
      <c r="G6" s="11" t="n">
        <f aca="false">IF('RSEA vs Quoted Comparison'!I6="","",'RSEA vs Quoted Comparison'!I6)</f>
        <v>18.626025</v>
      </c>
      <c r="H6" s="11" t="n">
        <f aca="false">'RSEA vs Quoted Comparison'!D6</f>
        <v>42.99</v>
      </c>
      <c r="I6" s="11" t="n">
        <f aca="false">'RSEA vs Quoted Comparison'!E6</f>
        <v>39.0818181818182</v>
      </c>
      <c r="J6" s="42" t="s">
        <v>257</v>
      </c>
      <c r="K6" s="42" t="s">
        <v>257</v>
      </c>
      <c r="L6" s="42" t="s">
        <v>257</v>
      </c>
      <c r="M6" s="42" t="s">
        <v>257</v>
      </c>
      <c r="N6" s="11" t="n">
        <v>42.5</v>
      </c>
      <c r="O6" s="11" t="n">
        <f aca="false">N6/1.1</f>
        <v>38.6363636363636</v>
      </c>
      <c r="P6" s="11" t="n">
        <v>22.05</v>
      </c>
      <c r="Q6" s="11" t="n">
        <v>20.05</v>
      </c>
      <c r="R6" s="11" t="n">
        <v>30</v>
      </c>
      <c r="S6" s="11" t="n">
        <f aca="false">R6/1.1</f>
        <v>27.2727272727273</v>
      </c>
      <c r="T6" s="11" t="n">
        <v>31.19</v>
      </c>
      <c r="U6" s="11" t="n">
        <f aca="false">T6/1.1</f>
        <v>28.3545454545455</v>
      </c>
      <c r="V6" s="42" t="s">
        <v>257</v>
      </c>
      <c r="W6" s="42" t="s">
        <v>257</v>
      </c>
      <c r="X6" s="11" t="n">
        <v>10.29</v>
      </c>
      <c r="Y6" s="11" t="n">
        <f aca="false">X6/1.1</f>
        <v>9.35454545454545</v>
      </c>
      <c r="Z6" s="11" t="n">
        <v>65.63</v>
      </c>
      <c r="AA6" s="11" t="n">
        <f aca="false">Z6/1.1</f>
        <v>59.6636363636364</v>
      </c>
      <c r="AB6" s="11" t="n">
        <f aca="false">IF(COUNT(I6,K6,M6,O6,Q6,S6,U6,W6,Y6,AA6)=0,"N/A",MIN(I6,K6,M6,O6,Q6,S6,U6,W6,Y6,AA6))</f>
        <v>9.35454545454545</v>
      </c>
      <c r="AC6" s="43" t="n">
        <f aca="false">IF(OR(D6="",AB6="",AB6="N/A"),"N/A",D6/AB6-1)</f>
        <v>0.786297376093295</v>
      </c>
      <c r="AD6" s="43" t="n">
        <f aca="false">IF(OR(F6="",AB6="",AB6="N/A"),"N/A",F6/AB6-1)</f>
        <v>0.810109329446064</v>
      </c>
      <c r="AE6" s="41" t="s">
        <v>258</v>
      </c>
    </row>
    <row r="7" customFormat="false" ht="63.75" hidden="false" customHeight="true" outlineLevel="0" collapsed="false">
      <c r="A7" s="1" t="s">
        <v>222</v>
      </c>
      <c r="B7" s="1" t="s">
        <v>9</v>
      </c>
      <c r="C7" s="41" t="s">
        <v>10</v>
      </c>
      <c r="D7" s="11" t="n">
        <f aca="false">'RSEA vs Quoted Comparison'!F7</f>
        <v>66.83</v>
      </c>
      <c r="E7" s="11" t="n">
        <f aca="false">'RSEA vs Quoted Comparison'!G7</f>
        <v>73.513</v>
      </c>
      <c r="F7" s="11" t="str">
        <f aca="false">IF('RSEA vs Quoted Comparison'!H7="","",'RSEA vs Quoted Comparison'!H7)</f>
        <v/>
      </c>
      <c r="G7" s="11" t="str">
        <f aca="false">IF('RSEA vs Quoted Comparison'!I7="","",'RSEA vs Quoted Comparison'!I7)</f>
        <v/>
      </c>
      <c r="H7" s="11" t="n">
        <f aca="false">'RSEA vs Quoted Comparison'!D7</f>
        <v>134.99</v>
      </c>
      <c r="I7" s="11" t="n">
        <f aca="false">'RSEA vs Quoted Comparison'!E7</f>
        <v>122.718181818182</v>
      </c>
      <c r="J7" s="42" t="s">
        <v>257</v>
      </c>
      <c r="K7" s="42" t="s">
        <v>257</v>
      </c>
      <c r="L7" s="42" t="s">
        <v>257</v>
      </c>
      <c r="M7" s="42" t="s">
        <v>257</v>
      </c>
      <c r="N7" s="42" t="s">
        <v>257</v>
      </c>
      <c r="O7" s="42" t="s">
        <v>257</v>
      </c>
      <c r="P7" s="42" t="s">
        <v>257</v>
      </c>
      <c r="Q7" s="42" t="s">
        <v>257</v>
      </c>
      <c r="R7" s="42" t="s">
        <v>257</v>
      </c>
      <c r="S7" s="42" t="s">
        <v>257</v>
      </c>
      <c r="T7" s="42" t="s">
        <v>257</v>
      </c>
      <c r="U7" s="42" t="s">
        <v>257</v>
      </c>
      <c r="V7" s="42" t="s">
        <v>257</v>
      </c>
      <c r="W7" s="42" t="s">
        <v>257</v>
      </c>
      <c r="X7" s="42" t="s">
        <v>257</v>
      </c>
      <c r="Y7" s="42" t="s">
        <v>257</v>
      </c>
      <c r="Z7" s="42"/>
      <c r="AA7" s="42"/>
      <c r="AB7" s="11" t="n">
        <f aca="false">IF(COUNT(I7,K7,M7,O7,Q7,S7,U7,W7,Y7,AA7)=0,"N/A",MIN(I7,K7,M7,O7,Q7,S7,U7,W7,Y7,AA7))</f>
        <v>122.718181818182</v>
      </c>
      <c r="AC7" s="43" t="n">
        <f aca="false">IF(OR(D7="",AB7="",AB7="N/A"),"N/A",D7/AB7-1)</f>
        <v>-0.455418919919994</v>
      </c>
      <c r="AD7" s="43" t="str">
        <f aca="false">IF(OR(F7="",AB7="",AB7="N/A"),"N/A",F7/AB7-1)</f>
        <v>N/A</v>
      </c>
      <c r="AE7" s="41" t="s">
        <v>259</v>
      </c>
    </row>
    <row r="8" customFormat="false" ht="63.75" hidden="false" customHeight="true" outlineLevel="0" collapsed="false">
      <c r="A8" s="1" t="s">
        <v>222</v>
      </c>
      <c r="B8" s="1" t="s">
        <v>11</v>
      </c>
      <c r="C8" s="41" t="s">
        <v>12</v>
      </c>
      <c r="D8" s="11" t="n">
        <f aca="false">'RSEA vs Quoted Comparison'!F8</f>
        <v>44.55</v>
      </c>
      <c r="E8" s="11" t="n">
        <f aca="false">'RSEA vs Quoted Comparison'!G8</f>
        <v>49.005</v>
      </c>
      <c r="F8" s="11" t="str">
        <f aca="false">IF('RSEA vs Quoted Comparison'!H8="","",'RSEA vs Quoted Comparison'!H8)</f>
        <v/>
      </c>
      <c r="G8" s="11" t="str">
        <f aca="false">IF('RSEA vs Quoted Comparison'!I8="","",'RSEA vs Quoted Comparison'!I8)</f>
        <v/>
      </c>
      <c r="H8" s="11" t="n">
        <f aca="false">'RSEA vs Quoted Comparison'!D8</f>
        <v>167.99</v>
      </c>
      <c r="I8" s="11" t="n">
        <f aca="false">'RSEA vs Quoted Comparison'!E8</f>
        <v>152.718181818182</v>
      </c>
      <c r="J8" s="42" t="s">
        <v>257</v>
      </c>
      <c r="K8" s="42" t="s">
        <v>257</v>
      </c>
      <c r="L8" s="42" t="s">
        <v>257</v>
      </c>
      <c r="M8" s="42" t="s">
        <v>257</v>
      </c>
      <c r="N8" s="42" t="s">
        <v>257</v>
      </c>
      <c r="O8" s="42" t="s">
        <v>257</v>
      </c>
      <c r="P8" s="42" t="s">
        <v>257</v>
      </c>
      <c r="Q8" s="42" t="s">
        <v>257</v>
      </c>
      <c r="R8" s="42" t="s">
        <v>257</v>
      </c>
      <c r="S8" s="42" t="s">
        <v>257</v>
      </c>
      <c r="T8" s="42" t="s">
        <v>257</v>
      </c>
      <c r="U8" s="42" t="s">
        <v>257</v>
      </c>
      <c r="V8" s="42" t="s">
        <v>257</v>
      </c>
      <c r="W8" s="42" t="s">
        <v>257</v>
      </c>
      <c r="X8" s="42" t="s">
        <v>257</v>
      </c>
      <c r="Y8" s="42" t="s">
        <v>257</v>
      </c>
      <c r="Z8" s="42"/>
      <c r="AA8" s="42"/>
      <c r="AB8" s="11" t="n">
        <f aca="false">IF(COUNT(I8,K8,M8,O8,Q8,S8,U8,W8,Y8,AA8)=0,"N/A",MIN(I8,K8,M8,O8,Q8,S8,U8,W8,Y8,AA8))</f>
        <v>152.718181818182</v>
      </c>
      <c r="AC8" s="43" t="n">
        <f aca="false">IF(OR(D8="",AB8="",AB8="N/A"),"N/A",D8/AB8-1)</f>
        <v>-0.708286207512352</v>
      </c>
      <c r="AD8" s="43" t="str">
        <f aca="false">IF(OR(F8="",AB8="",AB8="N/A"),"N/A",F8/AB8-1)</f>
        <v>N/A</v>
      </c>
      <c r="AE8" s="41" t="s">
        <v>259</v>
      </c>
    </row>
    <row r="9" customFormat="false" ht="153.75" hidden="false" customHeight="true" outlineLevel="0" collapsed="false">
      <c r="A9" s="1" t="s">
        <v>222</v>
      </c>
      <c r="B9" s="1" t="s">
        <v>13</v>
      </c>
      <c r="C9" s="41" t="s">
        <v>14</v>
      </c>
      <c r="D9" s="11" t="n">
        <f aca="false">'RSEA vs Quoted Comparison'!F9</f>
        <v>44.55</v>
      </c>
      <c r="E9" s="11" t="n">
        <f aca="false">'RSEA vs Quoted Comparison'!G9</f>
        <v>49.005</v>
      </c>
      <c r="F9" s="11" t="n">
        <f aca="false">IF('RSEA vs Quoted Comparison'!H9="","",'RSEA vs Quoted Comparison'!H9)</f>
        <v>45.144</v>
      </c>
      <c r="G9" s="11" t="n">
        <f aca="false">IF('RSEA vs Quoted Comparison'!I9="","",'RSEA vs Quoted Comparison'!I9)</f>
        <v>49.6584</v>
      </c>
      <c r="H9" s="11" t="n">
        <f aca="false">'RSEA vs Quoted Comparison'!D9</f>
        <v>147.99</v>
      </c>
      <c r="I9" s="11" t="n">
        <f aca="false">'RSEA vs Quoted Comparison'!E9</f>
        <v>134.536363636364</v>
      </c>
      <c r="J9" s="11" t="n">
        <f aca="false">K9*1.1</f>
        <v>71.038</v>
      </c>
      <c r="K9" s="11" t="n">
        <v>64.58</v>
      </c>
      <c r="L9" s="11" t="n">
        <v>93.25</v>
      </c>
      <c r="M9" s="11" t="n">
        <v>84.77</v>
      </c>
      <c r="N9" s="11" t="n">
        <v>99</v>
      </c>
      <c r="O9" s="11" t="n">
        <f aca="false">N9/1.1</f>
        <v>90</v>
      </c>
      <c r="P9" s="11" t="n">
        <v>77.4</v>
      </c>
      <c r="Q9" s="11" t="n">
        <v>70.36</v>
      </c>
      <c r="R9" s="11" t="n">
        <v>92.4</v>
      </c>
      <c r="S9" s="11" t="n">
        <f aca="false">R9/1.1</f>
        <v>84</v>
      </c>
      <c r="T9" s="11" t="n">
        <v>106.09</v>
      </c>
      <c r="U9" s="11" t="n">
        <f aca="false">T9/1.1</f>
        <v>96.4454545454545</v>
      </c>
      <c r="V9" s="11" t="n">
        <f aca="false">W9*1.1</f>
        <v>69.245</v>
      </c>
      <c r="W9" s="11" t="n">
        <v>62.95</v>
      </c>
      <c r="X9" s="11" t="n">
        <v>117.4</v>
      </c>
      <c r="Y9" s="11" t="n">
        <f aca="false">X9/1.1</f>
        <v>106.727272727273</v>
      </c>
      <c r="Z9" s="11" t="n">
        <v>128.81</v>
      </c>
      <c r="AA9" s="11" t="n">
        <f aca="false">Z9/1.1</f>
        <v>117.1</v>
      </c>
      <c r="AB9" s="11" t="n">
        <f aca="false">IF(COUNT(I9,K9,M9,O9,Q9,S9,U9,W9,Y9,AA9)=0,"N/A",MIN(I9,K9,M9,O9,Q9,S9,U9,W9,Y9,AA9))</f>
        <v>62.95</v>
      </c>
      <c r="AC9" s="43" t="n">
        <f aca="false">IF(OR(D9="",AB9="",AB9="N/A"),"N/A",D9/AB9-1)</f>
        <v>-0.2922954725973</v>
      </c>
      <c r="AD9" s="43" t="n">
        <f aca="false">IF(OR(F9="",AB9="",AB9="N/A"),"N/A",F9/AB9-1)</f>
        <v>-0.28285941223193</v>
      </c>
      <c r="AE9" s="41" t="s">
        <v>260</v>
      </c>
    </row>
    <row r="10" customFormat="false" ht="123.75" hidden="false" customHeight="true" outlineLevel="0" collapsed="false">
      <c r="A10" s="1" t="s">
        <v>222</v>
      </c>
      <c r="B10" s="1" t="s">
        <v>15</v>
      </c>
      <c r="C10" s="41" t="s">
        <v>16</v>
      </c>
      <c r="D10" s="11" t="n">
        <f aca="false">'RSEA vs Quoted Comparison'!F10</f>
        <v>69.61</v>
      </c>
      <c r="E10" s="11" t="n">
        <f aca="false">'RSEA vs Quoted Comparison'!G10</f>
        <v>76.571</v>
      </c>
      <c r="F10" s="11" t="n">
        <f aca="false">IF('RSEA vs Quoted Comparison'!H10="","",'RSEA vs Quoted Comparison'!H10)</f>
        <v>70.538125</v>
      </c>
      <c r="G10" s="11" t="n">
        <f aca="false">IF('RSEA vs Quoted Comparison'!I10="","",'RSEA vs Quoted Comparison'!I10)</f>
        <v>77.5919375</v>
      </c>
      <c r="H10" s="11" t="n">
        <f aca="false">'RSEA vs Quoted Comparison'!D10</f>
        <v>167.99</v>
      </c>
      <c r="I10" s="11" t="n">
        <f aca="false">'RSEA vs Quoted Comparison'!E10</f>
        <v>152.718181818182</v>
      </c>
      <c r="J10" s="11" t="n">
        <f aca="false">K10*1.1</f>
        <v>84.15</v>
      </c>
      <c r="K10" s="11" t="n">
        <v>76.5</v>
      </c>
      <c r="L10" s="11" t="n">
        <v>117.3</v>
      </c>
      <c r="M10" s="11" t="n">
        <v>106.64</v>
      </c>
      <c r="N10" s="11" t="n">
        <v>124.95</v>
      </c>
      <c r="O10" s="11" t="n">
        <f aca="false">N10/1.1</f>
        <v>113.590909090909</v>
      </c>
      <c r="P10" s="11" t="n">
        <v>95.4</v>
      </c>
      <c r="Q10" s="11" t="n">
        <v>86.73</v>
      </c>
      <c r="R10" s="11" t="n">
        <v>118.8</v>
      </c>
      <c r="S10" s="11" t="n">
        <f aca="false">R10/1.1</f>
        <v>108</v>
      </c>
      <c r="T10" s="11" t="n">
        <v>98.18</v>
      </c>
      <c r="U10" s="11" t="n">
        <f aca="false">T10/1.1</f>
        <v>89.2545454545455</v>
      </c>
      <c r="V10" s="11" t="n">
        <f aca="false">W10*1.1</f>
        <v>81.4</v>
      </c>
      <c r="W10" s="11" t="n">
        <v>74</v>
      </c>
      <c r="X10" s="11" t="n">
        <v>128.32</v>
      </c>
      <c r="Y10" s="11" t="n">
        <f aca="false">X10/1.1</f>
        <v>116.654545454545</v>
      </c>
      <c r="Z10" s="11" t="n">
        <v>220.92</v>
      </c>
      <c r="AA10" s="11" t="n">
        <f aca="false">Z10/1.1</f>
        <v>200.836363636364</v>
      </c>
      <c r="AB10" s="11" t="n">
        <f aca="false">IF(COUNT(I10,K10,M10,O10,Q10,S10,U10,W10,Y10,AA10)=0,"N/A",MIN(I10,K10,M10,O10,Q10,S10,U10,W10,Y10,AA10))</f>
        <v>74</v>
      </c>
      <c r="AC10" s="43" t="n">
        <f aca="false">IF(OR(D10="",AB10="",AB10="N/A"),"N/A",D10/AB10-1)</f>
        <v>-0.0593243243243243</v>
      </c>
      <c r="AD10" s="43" t="n">
        <f aca="false">IF(OR(F10="",AB10="",AB10="N/A"),"N/A",F10/AB10-1)</f>
        <v>-0.0467820945945947</v>
      </c>
      <c r="AE10" s="41" t="s">
        <v>261</v>
      </c>
    </row>
    <row r="11" customFormat="false" ht="123.75" hidden="false" customHeight="true" outlineLevel="0" collapsed="false">
      <c r="A11" s="1" t="s">
        <v>222</v>
      </c>
      <c r="B11" s="1" t="s">
        <v>17</v>
      </c>
      <c r="C11" s="41" t="s">
        <v>18</v>
      </c>
      <c r="D11" s="11" t="n">
        <f aca="false">'RSEA vs Quoted Comparison'!F11</f>
        <v>33.41</v>
      </c>
      <c r="E11" s="11" t="n">
        <f aca="false">'RSEA vs Quoted Comparison'!G11</f>
        <v>36.751</v>
      </c>
      <c r="F11" s="11" t="n">
        <f aca="false">IF('RSEA vs Quoted Comparison'!H11="","",'RSEA vs Quoted Comparison'!H11)</f>
        <v>33.8555</v>
      </c>
      <c r="G11" s="11" t="n">
        <f aca="false">IF('RSEA vs Quoted Comparison'!I11="","",'RSEA vs Quoted Comparison'!I11)</f>
        <v>37.24105</v>
      </c>
      <c r="H11" s="11" t="n">
        <f aca="false">'RSEA vs Quoted Comparison'!D11</f>
        <v>142.99</v>
      </c>
      <c r="I11" s="11" t="n">
        <f aca="false">'RSEA vs Quoted Comparison'!E11</f>
        <v>129.990909090909</v>
      </c>
      <c r="J11" s="11" t="n">
        <f aca="false">K11*1.1</f>
        <v>44.209</v>
      </c>
      <c r="K11" s="11" t="n">
        <v>40.19</v>
      </c>
      <c r="L11" s="11" t="n">
        <v>63.11</v>
      </c>
      <c r="M11" s="11" t="n">
        <v>57.37</v>
      </c>
      <c r="N11" s="11" t="n">
        <v>90.3</v>
      </c>
      <c r="O11" s="11" t="n">
        <f aca="false">N11/1.1</f>
        <v>82.0909090909091</v>
      </c>
      <c r="P11" s="11" t="n">
        <v>57</v>
      </c>
      <c r="Q11" s="11" t="n">
        <v>51.82</v>
      </c>
      <c r="R11" s="11" t="n">
        <v>74.8</v>
      </c>
      <c r="S11" s="11" t="n">
        <f aca="false">R11/1.1</f>
        <v>68</v>
      </c>
      <c r="T11" s="11" t="n">
        <v>78.64</v>
      </c>
      <c r="U11" s="11" t="n">
        <f aca="false">T11/1.1</f>
        <v>71.4909090909091</v>
      </c>
      <c r="V11" s="11" t="n">
        <f aca="false">W11*1.1</f>
        <v>63.8</v>
      </c>
      <c r="W11" s="11" t="n">
        <v>58</v>
      </c>
      <c r="X11" s="11" t="n">
        <v>80.22</v>
      </c>
      <c r="Y11" s="11" t="n">
        <f aca="false">X11/1.1</f>
        <v>72.9272727272727</v>
      </c>
      <c r="Z11" s="11" t="n">
        <v>173.98</v>
      </c>
      <c r="AA11" s="11" t="n">
        <f aca="false">Z11/1.1</f>
        <v>158.163636363636</v>
      </c>
      <c r="AB11" s="11" t="n">
        <f aca="false">IF(COUNT(I11,K11,M11,O11,Q11,S11,U11,W11,Y11,AA11)=0,"N/A",MIN(I11,K11,M11,O11,Q11,S11,U11,W11,Y11,AA11))</f>
        <v>40.19</v>
      </c>
      <c r="AC11" s="43" t="n">
        <f aca="false">IF(OR(D11="",AB11="",AB11="N/A"),"N/A",D11/AB11-1)</f>
        <v>-0.168698681263996</v>
      </c>
      <c r="AD11" s="43" t="n">
        <f aca="false">IF(OR(F11="",AB11="",AB11="N/A"),"N/A",F11/AB11-1)</f>
        <v>-0.157613834287136</v>
      </c>
      <c r="AE11" s="41" t="s">
        <v>262</v>
      </c>
    </row>
    <row r="12" customFormat="false" ht="123.75" hidden="false" customHeight="true" outlineLevel="0" collapsed="false">
      <c r="A12" s="1" t="s">
        <v>222</v>
      </c>
      <c r="B12" s="1" t="s">
        <v>19</v>
      </c>
      <c r="C12" s="41" t="s">
        <v>20</v>
      </c>
      <c r="D12" s="11" t="n">
        <f aca="false">'RSEA vs Quoted Comparison'!F12</f>
        <v>44.55</v>
      </c>
      <c r="E12" s="11" t="n">
        <f aca="false">'RSEA vs Quoted Comparison'!G12</f>
        <v>49.005</v>
      </c>
      <c r="F12" s="11" t="n">
        <f aca="false">IF('RSEA vs Quoted Comparison'!H12="","",'RSEA vs Quoted Comparison'!H12)</f>
        <v>45.144</v>
      </c>
      <c r="G12" s="11" t="n">
        <f aca="false">IF('RSEA vs Quoted Comparison'!I12="","",'RSEA vs Quoted Comparison'!I12)</f>
        <v>49.6584</v>
      </c>
      <c r="H12" s="11" t="n">
        <f aca="false">'RSEA vs Quoted Comparison'!D12</f>
        <v>157.99</v>
      </c>
      <c r="I12" s="11" t="n">
        <f aca="false">'RSEA vs Quoted Comparison'!E12</f>
        <v>143.627272727273</v>
      </c>
      <c r="J12" s="11" t="n">
        <f aca="false">K12*1.1</f>
        <v>88.781</v>
      </c>
      <c r="K12" s="11" t="n">
        <v>80.71</v>
      </c>
      <c r="L12" s="11" t="n">
        <v>95.35</v>
      </c>
      <c r="M12" s="11" t="n">
        <v>86.68</v>
      </c>
      <c r="N12" s="11" t="n">
        <v>105.6</v>
      </c>
      <c r="O12" s="11" t="n">
        <f aca="false">N12/1.1</f>
        <v>96</v>
      </c>
      <c r="P12" s="11" t="n">
        <v>77.4</v>
      </c>
      <c r="Q12" s="11" t="n">
        <v>70.36</v>
      </c>
      <c r="R12" s="11" t="n">
        <v>107.8</v>
      </c>
      <c r="S12" s="11" t="n">
        <f aca="false">R12/1.1</f>
        <v>98</v>
      </c>
      <c r="T12" s="11" t="n">
        <v>94.5</v>
      </c>
      <c r="U12" s="11" t="n">
        <f aca="false">T12/1.1</f>
        <v>85.9090909090909</v>
      </c>
      <c r="V12" s="11" t="n">
        <f aca="false">W12*1.1</f>
        <v>97.35</v>
      </c>
      <c r="W12" s="11" t="n">
        <v>88.5</v>
      </c>
      <c r="X12" s="11" t="n">
        <v>127.75</v>
      </c>
      <c r="Y12" s="11" t="n">
        <f aca="false">X12/1.1</f>
        <v>116.136363636364</v>
      </c>
      <c r="Z12" s="11" t="n">
        <v>179.74</v>
      </c>
      <c r="AA12" s="11" t="n">
        <f aca="false">Z12/1.1</f>
        <v>163.4</v>
      </c>
      <c r="AB12" s="11" t="n">
        <f aca="false">IF(COUNT(I12,K12,M12,O12,Q12,S12,U12,W12,Y12,AA12)=0,"N/A",MIN(I12,K12,M12,O12,Q12,S12,U12,W12,Y12,AA12))</f>
        <v>70.36</v>
      </c>
      <c r="AC12" s="43" t="n">
        <f aca="false">IF(OR(D12="",AB12="",AB12="N/A"),"N/A",D12/AB12-1)</f>
        <v>-0.366827743035816</v>
      </c>
      <c r="AD12" s="43" t="n">
        <f aca="false">IF(OR(F12="",AB12="",AB12="N/A"),"N/A",F12/AB12-1)</f>
        <v>-0.358385446276293</v>
      </c>
      <c r="AE12" s="41" t="s">
        <v>263</v>
      </c>
    </row>
    <row r="13" customFormat="false" ht="168.75" hidden="false" customHeight="true" outlineLevel="0" collapsed="false">
      <c r="A13" s="1" t="s">
        <v>222</v>
      </c>
      <c r="B13" s="1" t="s">
        <v>79</v>
      </c>
      <c r="C13" s="41" t="s">
        <v>80</v>
      </c>
      <c r="D13" s="11" t="n">
        <f aca="false">'RSEA vs Quoted Comparison'!F13</f>
        <v>33.41</v>
      </c>
      <c r="E13" s="11" t="n">
        <f aca="false">'RSEA vs Quoted Comparison'!G13</f>
        <v>36.751</v>
      </c>
      <c r="F13" s="11" t="n">
        <f aca="false">IF('RSEA vs Quoted Comparison'!H13="","",'RSEA vs Quoted Comparison'!H13)</f>
        <v>33.8555</v>
      </c>
      <c r="G13" s="11" t="n">
        <f aca="false">IF('RSEA vs Quoted Comparison'!I13="","",'RSEA vs Quoted Comparison'!I13)</f>
        <v>37.24105</v>
      </c>
      <c r="H13" s="11" t="n">
        <f aca="false">'RSEA vs Quoted Comparison'!D13</f>
        <v>142.99</v>
      </c>
      <c r="I13" s="11" t="n">
        <f aca="false">'RSEA vs Quoted Comparison'!E13</f>
        <v>129.990909090909</v>
      </c>
      <c r="J13" s="11" t="n">
        <f aca="false">K13*1.1</f>
        <v>109.153</v>
      </c>
      <c r="K13" s="11" t="n">
        <v>99.23</v>
      </c>
      <c r="L13" s="11" t="n">
        <v>61.59</v>
      </c>
      <c r="M13" s="11" t="n">
        <v>55.99</v>
      </c>
      <c r="N13" s="11" t="n">
        <v>36.5</v>
      </c>
      <c r="O13" s="11" t="n">
        <f aca="false">N13/1.1</f>
        <v>33.1818181818182</v>
      </c>
      <c r="P13" s="11" t="n">
        <v>57</v>
      </c>
      <c r="Q13" s="11" t="n">
        <v>51.82</v>
      </c>
      <c r="R13" s="11" t="n">
        <v>74.8</v>
      </c>
      <c r="S13" s="11" t="n">
        <f aca="false">R13/1.1</f>
        <v>68</v>
      </c>
      <c r="T13" s="11" t="n">
        <v>31.19</v>
      </c>
      <c r="U13" s="11" t="n">
        <f aca="false">T13/1.1</f>
        <v>28.3545454545455</v>
      </c>
      <c r="V13" s="42" t="s">
        <v>257</v>
      </c>
      <c r="W13" s="42" t="s">
        <v>257</v>
      </c>
      <c r="X13" s="11" t="n">
        <v>110.1</v>
      </c>
      <c r="Y13" s="11" t="n">
        <f aca="false">X13/1.1</f>
        <v>100.090909090909</v>
      </c>
      <c r="Z13" s="11" t="n">
        <v>44</v>
      </c>
      <c r="AA13" s="11" t="n">
        <f aca="false">Z13/1.1</f>
        <v>40</v>
      </c>
      <c r="AB13" s="11" t="n">
        <f aca="false">IF(COUNT(I13,K13,M13,O13,Q13,S13,U13,W13,Y13,AA13)=0,"N/A",MIN(I13,K13,M13,O13,Q13,S13,U13,W13,Y13,AA13))</f>
        <v>28.3545454545455</v>
      </c>
      <c r="AC13" s="43" t="n">
        <f aca="false">IF(OR(D13="",AB13="",AB13="N/A"),"N/A",D13/AB13-1)</f>
        <v>0.1782943251042</v>
      </c>
      <c r="AD13" s="43" t="n">
        <f aca="false">IF(OR(F13="",AB13="",AB13="N/A"),"N/A",F13/AB13-1)</f>
        <v>0.194006091696056</v>
      </c>
      <c r="AE13" s="41" t="s">
        <v>264</v>
      </c>
    </row>
    <row r="14" customFormat="false" ht="138.75" hidden="false" customHeight="true" outlineLevel="0" collapsed="false">
      <c r="A14" s="1" t="s">
        <v>222</v>
      </c>
      <c r="B14" s="1" t="s">
        <v>81</v>
      </c>
      <c r="C14" s="41" t="s">
        <v>82</v>
      </c>
      <c r="D14" s="11" t="n">
        <f aca="false">'RSEA vs Quoted Comparison'!F14</f>
        <v>25.06</v>
      </c>
      <c r="E14" s="11" t="n">
        <f aca="false">'RSEA vs Quoted Comparison'!G14</f>
        <v>27.566</v>
      </c>
      <c r="F14" s="11" t="n">
        <f aca="false">IF('RSEA vs Quoted Comparison'!H14="","",'RSEA vs Quoted Comparison'!H14)</f>
        <v>25.394125</v>
      </c>
      <c r="G14" s="11" t="n">
        <f aca="false">IF('RSEA vs Quoted Comparison'!I14="","",'RSEA vs Quoted Comparison'!I14)</f>
        <v>27.9335375</v>
      </c>
      <c r="H14" s="11" t="n">
        <f aca="false">'RSEA vs Quoted Comparison'!D14</f>
        <v>112.99</v>
      </c>
      <c r="I14" s="11" t="n">
        <f aca="false">'RSEA vs Quoted Comparison'!E14</f>
        <v>102.718181818182</v>
      </c>
      <c r="J14" s="11" t="n">
        <f aca="false">K14*1.1</f>
        <v>77.968</v>
      </c>
      <c r="K14" s="11" t="n">
        <v>70.88</v>
      </c>
      <c r="L14" s="11" t="n">
        <v>61.29</v>
      </c>
      <c r="M14" s="11" t="n">
        <v>55.72</v>
      </c>
      <c r="N14" s="11" t="n">
        <v>49.5</v>
      </c>
      <c r="O14" s="11" t="n">
        <f aca="false">N14/1.1</f>
        <v>45</v>
      </c>
      <c r="P14" s="11" t="n">
        <v>47.4</v>
      </c>
      <c r="Q14" s="11" t="n">
        <v>43.09</v>
      </c>
      <c r="R14" s="11" t="n">
        <v>61.6</v>
      </c>
      <c r="S14" s="11" t="n">
        <f aca="false">R14/1.1</f>
        <v>56</v>
      </c>
      <c r="T14" s="11" t="n">
        <v>76.56</v>
      </c>
      <c r="U14" s="11" t="n">
        <f aca="false">T14/1.1</f>
        <v>69.6</v>
      </c>
      <c r="V14" s="11" t="n">
        <f aca="false">W14*1.1</f>
        <v>69.245</v>
      </c>
      <c r="W14" s="11" t="n">
        <v>62.95</v>
      </c>
      <c r="X14" s="11" t="n">
        <v>100.71</v>
      </c>
      <c r="Y14" s="11" t="n">
        <f aca="false">X14/1.1</f>
        <v>91.5545454545455</v>
      </c>
      <c r="Z14" s="11" t="n">
        <v>159.24</v>
      </c>
      <c r="AA14" s="11" t="n">
        <f aca="false">Z14/1.1</f>
        <v>144.763636363636</v>
      </c>
      <c r="AB14" s="11" t="n">
        <f aca="false">IF(COUNT(I14,K14,M14,O14,Q14,S14,U14,W14,Y14,AA14)=0,"N/A",MIN(I14,K14,M14,O14,Q14,S14,U14,W14,Y14,AA14))</f>
        <v>43.09</v>
      </c>
      <c r="AC14" s="43" t="n">
        <f aca="false">IF(OR(D14="",AB14="",AB14="N/A"),"N/A",D14/AB14-1)</f>
        <v>-0.418426549083314</v>
      </c>
      <c r="AD14" s="43" t="n">
        <f aca="false">IF(OR(F14="",AB14="",AB14="N/A"),"N/A",F14/AB14-1)</f>
        <v>-0.410672429798097</v>
      </c>
      <c r="AE14" s="41" t="s">
        <v>265</v>
      </c>
    </row>
    <row r="15" customFormat="false" ht="78.75" hidden="false" customHeight="true" outlineLevel="0" collapsed="false">
      <c r="A15" s="1" t="s">
        <v>222</v>
      </c>
      <c r="B15" s="1" t="s">
        <v>101</v>
      </c>
      <c r="C15" s="41" t="s">
        <v>102</v>
      </c>
      <c r="D15" s="11" t="n">
        <f aca="false">'RSEA vs Quoted Comparison'!F15</f>
        <v>8.35</v>
      </c>
      <c r="E15" s="11" t="n">
        <f aca="false">'RSEA vs Quoted Comparison'!G15</f>
        <v>9.185</v>
      </c>
      <c r="F15" s="11" t="n">
        <f aca="false">IF('RSEA vs Quoted Comparison'!H15="","",'RSEA vs Quoted Comparison'!H15)</f>
        <v>8.461375</v>
      </c>
      <c r="G15" s="11" t="n">
        <f aca="false">IF('RSEA vs Quoted Comparison'!I15="","",'RSEA vs Quoted Comparison'!I15)</f>
        <v>9.3075125</v>
      </c>
      <c r="H15" s="11" t="n">
        <f aca="false">'RSEA vs Quoted Comparison'!D15</f>
        <v>32.99</v>
      </c>
      <c r="I15" s="11" t="n">
        <f aca="false">'RSEA vs Quoted Comparison'!E15</f>
        <v>29.9909090909091</v>
      </c>
      <c r="J15" s="42" t="s">
        <v>257</v>
      </c>
      <c r="K15" s="42" t="s">
        <v>257</v>
      </c>
      <c r="L15" s="42" t="s">
        <v>257</v>
      </c>
      <c r="M15" s="42" t="s">
        <v>257</v>
      </c>
      <c r="N15" s="42" t="s">
        <v>257</v>
      </c>
      <c r="O15" s="42" t="s">
        <v>257</v>
      </c>
      <c r="P15" s="42" t="s">
        <v>257</v>
      </c>
      <c r="Q15" s="42" t="s">
        <v>257</v>
      </c>
      <c r="R15" s="42" t="s">
        <v>257</v>
      </c>
      <c r="S15" s="42" t="s">
        <v>257</v>
      </c>
      <c r="T15" s="42" t="s">
        <v>257</v>
      </c>
      <c r="U15" s="42" t="s">
        <v>257</v>
      </c>
      <c r="V15" s="42" t="s">
        <v>257</v>
      </c>
      <c r="W15" s="42" t="s">
        <v>257</v>
      </c>
      <c r="X15" s="42" t="s">
        <v>257</v>
      </c>
      <c r="Y15" s="42" t="s">
        <v>257</v>
      </c>
      <c r="Z15" s="42"/>
      <c r="AA15" s="42"/>
      <c r="AB15" s="11" t="n">
        <f aca="false">IF(COUNT(I15,K15,M15,O15,Q15,S15,U15,W15,Y15,AA15)=0,"N/A",MIN(I15,K15,M15,O15,Q15,S15,U15,W15,Y15,AA15))</f>
        <v>29.9909090909091</v>
      </c>
      <c r="AC15" s="43" t="n">
        <f aca="false">IF(OR(D15="",AB15="",AB15="N/A"),"N/A",D15/AB15-1)</f>
        <v>-0.721582297665959</v>
      </c>
      <c r="AD15" s="43" t="n">
        <f aca="false">IF(OR(F15="",AB15="",AB15="N/A"),"N/A",F15/AB15-1)</f>
        <v>-0.717868672324947</v>
      </c>
      <c r="AE15" s="41" t="s">
        <v>266</v>
      </c>
    </row>
    <row r="16" customFormat="false" ht="78.75" hidden="false" customHeight="true" outlineLevel="0" collapsed="false">
      <c r="A16" s="1" t="s">
        <v>222</v>
      </c>
      <c r="B16" s="1" t="s">
        <v>107</v>
      </c>
      <c r="C16" s="41" t="s">
        <v>108</v>
      </c>
      <c r="D16" s="11" t="n">
        <f aca="false">'RSEA vs Quoted Comparison'!F16</f>
        <v>15.59</v>
      </c>
      <c r="E16" s="11" t="n">
        <f aca="false">'RSEA vs Quoted Comparison'!G16</f>
        <v>17.149</v>
      </c>
      <c r="F16" s="11" t="n">
        <f aca="false">IF('RSEA vs Quoted Comparison'!H16="","",'RSEA vs Quoted Comparison'!H16)</f>
        <v>15.81275</v>
      </c>
      <c r="G16" s="11" t="n">
        <f aca="false">IF('RSEA vs Quoted Comparison'!I16="","",'RSEA vs Quoted Comparison'!I16)</f>
        <v>17.394025</v>
      </c>
      <c r="H16" s="11" t="n">
        <f aca="false">'RSEA vs Quoted Comparison'!D16</f>
        <v>44.99</v>
      </c>
      <c r="I16" s="11" t="n">
        <f aca="false">'RSEA vs Quoted Comparison'!E16</f>
        <v>40.9</v>
      </c>
      <c r="J16" s="42" t="s">
        <v>257</v>
      </c>
      <c r="K16" s="42" t="s">
        <v>257</v>
      </c>
      <c r="L16" s="42" t="s">
        <v>257</v>
      </c>
      <c r="M16" s="42" t="s">
        <v>257</v>
      </c>
      <c r="N16" s="42" t="s">
        <v>257</v>
      </c>
      <c r="O16" s="42" t="s">
        <v>257</v>
      </c>
      <c r="P16" s="42" t="s">
        <v>257</v>
      </c>
      <c r="Q16" s="42" t="s">
        <v>257</v>
      </c>
      <c r="R16" s="42" t="s">
        <v>257</v>
      </c>
      <c r="S16" s="42" t="s">
        <v>257</v>
      </c>
      <c r="T16" s="42" t="s">
        <v>257</v>
      </c>
      <c r="U16" s="42" t="s">
        <v>257</v>
      </c>
      <c r="V16" s="42" t="s">
        <v>257</v>
      </c>
      <c r="W16" s="42" t="s">
        <v>257</v>
      </c>
      <c r="X16" s="42" t="s">
        <v>257</v>
      </c>
      <c r="Y16" s="42" t="s">
        <v>257</v>
      </c>
      <c r="Z16" s="42"/>
      <c r="AA16" s="42"/>
      <c r="AB16" s="11" t="n">
        <f aca="false">IF(COUNT(I16,K16,M16,O16,Q16,S16,U16,W16,Y16,AA16)=0,"N/A",MIN(I16,K16,M16,O16,Q16,S16,U16,W16,Y16,AA16))</f>
        <v>40.9</v>
      </c>
      <c r="AC16" s="43" t="n">
        <f aca="false">IF(OR(D16="",AB16="",AB16="N/A"),"N/A",D16/AB16-1)</f>
        <v>-0.618826405867971</v>
      </c>
      <c r="AD16" s="43" t="n">
        <f aca="false">IF(OR(F16="",AB16="",AB16="N/A"),"N/A",F16/AB16-1)</f>
        <v>-0.613380195599022</v>
      </c>
      <c r="AE16" s="41" t="s">
        <v>267</v>
      </c>
    </row>
    <row r="17" customFormat="false" ht="48.75" hidden="false" customHeight="true" outlineLevel="0" collapsed="false">
      <c r="A17" s="1" t="s">
        <v>222</v>
      </c>
      <c r="B17" s="1" t="s">
        <v>117</v>
      </c>
      <c r="C17" s="41" t="s">
        <v>118</v>
      </c>
      <c r="D17" s="11" t="n">
        <f aca="false">'RSEA vs Quoted Comparison'!F17</f>
        <v>8.35</v>
      </c>
      <c r="E17" s="11" t="n">
        <f aca="false">'RSEA vs Quoted Comparison'!G17</f>
        <v>9.185</v>
      </c>
      <c r="F17" s="11" t="n">
        <f aca="false">IF('RSEA vs Quoted Comparison'!H17="","",'RSEA vs Quoted Comparison'!H17)</f>
        <v>8.461375</v>
      </c>
      <c r="G17" s="11" t="n">
        <f aca="false">IF('RSEA vs Quoted Comparison'!I17="","",'RSEA vs Quoted Comparison'!I17)</f>
        <v>9.3075125</v>
      </c>
      <c r="H17" s="11" t="n">
        <f aca="false">'RSEA vs Quoted Comparison'!D17</f>
        <v>32.99</v>
      </c>
      <c r="I17" s="11" t="n">
        <f aca="false">'RSEA vs Quoted Comparison'!E17</f>
        <v>29.9909090909091</v>
      </c>
      <c r="J17" s="42" t="s">
        <v>257</v>
      </c>
      <c r="K17" s="42" t="s">
        <v>257</v>
      </c>
      <c r="L17" s="42" t="s">
        <v>257</v>
      </c>
      <c r="M17" s="42" t="s">
        <v>257</v>
      </c>
      <c r="N17" s="42" t="s">
        <v>257</v>
      </c>
      <c r="O17" s="42" t="s">
        <v>257</v>
      </c>
      <c r="P17" s="42" t="s">
        <v>257</v>
      </c>
      <c r="Q17" s="42" t="s">
        <v>257</v>
      </c>
      <c r="R17" s="42" t="s">
        <v>257</v>
      </c>
      <c r="S17" s="42" t="s">
        <v>257</v>
      </c>
      <c r="T17" s="42" t="s">
        <v>257</v>
      </c>
      <c r="U17" s="42" t="s">
        <v>257</v>
      </c>
      <c r="V17" s="42" t="s">
        <v>257</v>
      </c>
      <c r="W17" s="42" t="s">
        <v>257</v>
      </c>
      <c r="X17" s="42" t="s">
        <v>257</v>
      </c>
      <c r="Y17" s="42" t="s">
        <v>257</v>
      </c>
      <c r="Z17" s="42"/>
      <c r="AA17" s="42"/>
      <c r="AB17" s="11" t="n">
        <f aca="false">IF(COUNT(I17,K17,M17,O17,Q17,S17,U17,W17,Y17,AA17)=0,"N/A",MIN(I17,K17,M17,O17,Q17,S17,U17,W17,Y17,AA17))</f>
        <v>29.9909090909091</v>
      </c>
      <c r="AC17" s="43" t="n">
        <f aca="false">IF(OR(D17="",AB17="",AB17="N/A"),"N/A",D17/AB17-1)</f>
        <v>-0.721582297665959</v>
      </c>
      <c r="AD17" s="43" t="n">
        <f aca="false">IF(OR(F17="",AB17="",AB17="N/A"),"N/A",F17/AB17-1)</f>
        <v>-0.717868672324947</v>
      </c>
      <c r="AE17" s="41" t="s">
        <v>268</v>
      </c>
    </row>
    <row r="18" customFormat="false" ht="108.75" hidden="false" customHeight="true" outlineLevel="0" collapsed="false">
      <c r="A18" s="1" t="s">
        <v>222</v>
      </c>
      <c r="B18" s="1" t="s">
        <v>127</v>
      </c>
      <c r="C18" s="41" t="s">
        <v>128</v>
      </c>
      <c r="D18" s="11" t="n">
        <f aca="false">'RSEA vs Quoted Comparison'!F18</f>
        <v>29.7</v>
      </c>
      <c r="E18" s="11" t="n">
        <f aca="false">'RSEA vs Quoted Comparison'!G18</f>
        <v>32.67</v>
      </c>
      <c r="F18" s="11" t="n">
        <f aca="false">IF('RSEA vs Quoted Comparison'!H18="","",'RSEA vs Quoted Comparison'!H18)</f>
        <v>30.1455</v>
      </c>
      <c r="G18" s="11" t="n">
        <f aca="false">IF('RSEA vs Quoted Comparison'!I18="","",'RSEA vs Quoted Comparison'!I18)</f>
        <v>33.16005</v>
      </c>
      <c r="H18" s="11" t="n">
        <f aca="false">'RSEA vs Quoted Comparison'!D18</f>
        <v>69.99</v>
      </c>
      <c r="I18" s="11" t="n">
        <f aca="false">'RSEA vs Quoted Comparison'!E18</f>
        <v>63.6272727272727</v>
      </c>
      <c r="J18" s="42" t="s">
        <v>257</v>
      </c>
      <c r="K18" s="42" t="s">
        <v>257</v>
      </c>
      <c r="L18" s="42" t="s">
        <v>257</v>
      </c>
      <c r="M18" s="42" t="s">
        <v>257</v>
      </c>
      <c r="N18" s="42" t="s">
        <v>257</v>
      </c>
      <c r="O18" s="42" t="s">
        <v>257</v>
      </c>
      <c r="P18" s="11" t="n">
        <v>57</v>
      </c>
      <c r="Q18" s="11" t="n">
        <v>51.82</v>
      </c>
      <c r="R18" s="11" t="n">
        <v>74.8</v>
      </c>
      <c r="S18" s="11" t="n">
        <f aca="false">R18/1.1</f>
        <v>68</v>
      </c>
      <c r="T18" s="11" t="n">
        <v>41.13</v>
      </c>
      <c r="U18" s="11" t="n">
        <f aca="false">T18/1.1</f>
        <v>37.3909090909091</v>
      </c>
      <c r="V18" s="42" t="s">
        <v>257</v>
      </c>
      <c r="W18" s="42" t="s">
        <v>257</v>
      </c>
      <c r="X18" s="11" t="n">
        <v>110.1</v>
      </c>
      <c r="Y18" s="11" t="n">
        <f aca="false">X18/1.1</f>
        <v>100.090909090909</v>
      </c>
      <c r="Z18" s="42"/>
      <c r="AA18" s="42"/>
      <c r="AB18" s="11" t="n">
        <f aca="false">IF(COUNT(I18,K18,M18,O18,Q18,S18,U18,W18,Y18,AA18)=0,"N/A",MIN(I18,K18,M18,O18,Q18,S18,U18,W18,Y18,AA18))</f>
        <v>37.3909090909091</v>
      </c>
      <c r="AC18" s="43" t="n">
        <f aca="false">IF(OR(D18="",AB18="",AB18="N/A"),"N/A",D18/AB18-1)</f>
        <v>-0.205689277899344</v>
      </c>
      <c r="AD18" s="43" t="n">
        <f aca="false">IF(OR(F18="",AB18="",AB18="N/A"),"N/A",F18/AB18-1)</f>
        <v>-0.193774617067834</v>
      </c>
      <c r="AE18" s="41" t="s">
        <v>269</v>
      </c>
    </row>
    <row r="19" customFormat="false" ht="138.75" hidden="false" customHeight="true" outlineLevel="0" collapsed="false">
      <c r="A19" s="1" t="s">
        <v>222</v>
      </c>
      <c r="B19" s="1" t="s">
        <v>131</v>
      </c>
      <c r="C19" s="41" t="s">
        <v>132</v>
      </c>
      <c r="D19" s="11" t="n">
        <f aca="false">'RSEA vs Quoted Comparison'!F19</f>
        <v>29.7</v>
      </c>
      <c r="E19" s="11" t="n">
        <f aca="false">'RSEA vs Quoted Comparison'!G19</f>
        <v>32.67</v>
      </c>
      <c r="F19" s="11" t="n">
        <f aca="false">IF('RSEA vs Quoted Comparison'!H19="","",'RSEA vs Quoted Comparison'!H19)</f>
        <v>30.1455</v>
      </c>
      <c r="G19" s="11" t="n">
        <f aca="false">IF('RSEA vs Quoted Comparison'!I19="","",'RSEA vs Quoted Comparison'!I19)</f>
        <v>33.16005</v>
      </c>
      <c r="H19" s="11" t="n">
        <f aca="false">'RSEA vs Quoted Comparison'!D19</f>
        <v>84.99</v>
      </c>
      <c r="I19" s="11" t="n">
        <f aca="false">'RSEA vs Quoted Comparison'!E19</f>
        <v>77.2636363636364</v>
      </c>
      <c r="J19" s="11" t="n">
        <f aca="false">K19*1.1</f>
        <v>109.153</v>
      </c>
      <c r="K19" s="11" t="n">
        <v>99.23</v>
      </c>
      <c r="L19" s="42" t="s">
        <v>257</v>
      </c>
      <c r="M19" s="42" t="s">
        <v>257</v>
      </c>
      <c r="N19" s="11" t="n">
        <v>36.5</v>
      </c>
      <c r="O19" s="11" t="n">
        <f aca="false">N19/1.1</f>
        <v>33.1818181818182</v>
      </c>
      <c r="P19" s="11" t="n">
        <v>57</v>
      </c>
      <c r="Q19" s="11" t="n">
        <v>51.82</v>
      </c>
      <c r="R19" s="11" t="n">
        <v>74.8</v>
      </c>
      <c r="S19" s="11" t="n">
        <f aca="false">R19/1.1</f>
        <v>68</v>
      </c>
      <c r="T19" s="11" t="n">
        <v>31.19</v>
      </c>
      <c r="U19" s="11" t="n">
        <f aca="false">T19/1.1</f>
        <v>28.3545454545455</v>
      </c>
      <c r="V19" s="42" t="s">
        <v>257</v>
      </c>
      <c r="W19" s="42" t="s">
        <v>257</v>
      </c>
      <c r="X19" s="11" t="n">
        <v>110.1</v>
      </c>
      <c r="Y19" s="11" t="n">
        <f aca="false">X19/1.1</f>
        <v>100.090909090909</v>
      </c>
      <c r="Z19" s="42"/>
      <c r="AA19" s="42"/>
      <c r="AB19" s="11" t="n">
        <f aca="false">IF(COUNT(I19,K19,M19,O19,Q19,S19,U19,W19,Y19,AA19)=0,"N/A",MIN(I19,K19,M19,O19,Q19,S19,U19,W19,Y19,AA19))</f>
        <v>28.3545454545455</v>
      </c>
      <c r="AC19" s="43" t="n">
        <f aca="false">IF(OR(D19="",AB19="",AB19="N/A"),"N/A",D19/AB19-1)</f>
        <v>0.0474511061237577</v>
      </c>
      <c r="AD19" s="43" t="n">
        <f aca="false">IF(OR(F19="",AB19="",AB19="N/A"),"N/A",F19/AB19-1)</f>
        <v>0.0631628727156139</v>
      </c>
      <c r="AE19" s="41" t="s">
        <v>270</v>
      </c>
    </row>
    <row r="20" customFormat="false" ht="123.75" hidden="false" customHeight="true" outlineLevel="0" collapsed="false">
      <c r="A20" s="1" t="s">
        <v>222</v>
      </c>
      <c r="B20" s="1" t="s">
        <v>137</v>
      </c>
      <c r="C20" s="41" t="s">
        <v>138</v>
      </c>
      <c r="D20" s="11" t="n">
        <f aca="false">'RSEA vs Quoted Comparison'!F20</f>
        <v>16.71</v>
      </c>
      <c r="E20" s="11" t="n">
        <f aca="false">'RSEA vs Quoted Comparison'!G20</f>
        <v>18.381</v>
      </c>
      <c r="F20" s="11" t="n">
        <f aca="false">IF('RSEA vs Quoted Comparison'!H20="","",'RSEA vs Quoted Comparison'!H20)</f>
        <v>16.93275</v>
      </c>
      <c r="G20" s="11" t="n">
        <f aca="false">IF('RSEA vs Quoted Comparison'!I20="","",'RSEA vs Quoted Comparison'!I20)</f>
        <v>18.626025</v>
      </c>
      <c r="H20" s="11" t="n">
        <f aca="false">'RSEA vs Quoted Comparison'!D20</f>
        <v>44.99</v>
      </c>
      <c r="I20" s="11" t="n">
        <f aca="false">'RSEA vs Quoted Comparison'!E20</f>
        <v>40.9</v>
      </c>
      <c r="J20" s="11" t="n">
        <f aca="false">K20*1.1</f>
        <v>26.653</v>
      </c>
      <c r="K20" s="11" t="n">
        <v>24.23</v>
      </c>
      <c r="L20" s="11" t="n">
        <v>29.61</v>
      </c>
      <c r="M20" s="11" t="n">
        <v>26.92</v>
      </c>
      <c r="N20" s="11" t="n">
        <v>35.7</v>
      </c>
      <c r="O20" s="11" t="n">
        <f aca="false">N20/1.1</f>
        <v>32.4545454545455</v>
      </c>
      <c r="P20" s="11" t="n">
        <v>33</v>
      </c>
      <c r="Q20" s="11" t="n">
        <v>30</v>
      </c>
      <c r="R20" s="11" t="n">
        <v>27.5</v>
      </c>
      <c r="S20" s="11" t="n">
        <f aca="false">R20/1.1</f>
        <v>25</v>
      </c>
      <c r="T20" s="11" t="n">
        <v>25.64</v>
      </c>
      <c r="U20" s="11" t="n">
        <f aca="false">T20/1.1</f>
        <v>23.3090909090909</v>
      </c>
      <c r="V20" s="42" t="s">
        <v>257</v>
      </c>
      <c r="W20" s="42" t="s">
        <v>257</v>
      </c>
      <c r="X20" s="11" t="n">
        <v>26.77</v>
      </c>
      <c r="Y20" s="11" t="n">
        <f aca="false">X20/1.1</f>
        <v>24.3363636363636</v>
      </c>
      <c r="Z20" s="11" t="n">
        <v>49.78</v>
      </c>
      <c r="AA20" s="11" t="n">
        <f aca="false">Z20/1.1</f>
        <v>45.2545454545455</v>
      </c>
      <c r="AB20" s="11" t="n">
        <f aca="false">IF(COUNT(I20,K20,M20,O20,Q20,S20,U20,W20,Y20,AA20)=0,"N/A",MIN(I20,K20,M20,O20,Q20,S20,U20,W20,Y20,AA20))</f>
        <v>23.3090909090909</v>
      </c>
      <c r="AC20" s="43" t="n">
        <f aca="false">IF(OR(D20="",AB20="",AB20="N/A"),"N/A",D20/AB20-1)</f>
        <v>-0.28311232449298</v>
      </c>
      <c r="AD20" s="43" t="n">
        <f aca="false">IF(OR(F20="",AB20="",AB20="N/A"),"N/A",F20/AB20-1)</f>
        <v>-0.27355596723869</v>
      </c>
      <c r="AE20" s="41" t="s">
        <v>271</v>
      </c>
    </row>
    <row r="21" customFormat="false" ht="138.75" hidden="false" customHeight="true" outlineLevel="0" collapsed="false">
      <c r="A21" s="1" t="s">
        <v>222</v>
      </c>
      <c r="B21" s="1" t="s">
        <v>141</v>
      </c>
      <c r="C21" s="41" t="s">
        <v>142</v>
      </c>
      <c r="D21" s="11" t="n">
        <f aca="false">'RSEA vs Quoted Comparison'!F21</f>
        <v>33.41</v>
      </c>
      <c r="E21" s="11" t="n">
        <f aca="false">'RSEA vs Quoted Comparison'!G21</f>
        <v>36.751</v>
      </c>
      <c r="F21" s="11" t="n">
        <f aca="false">IF('RSEA vs Quoted Comparison'!H21="","",'RSEA vs Quoted Comparison'!H21)</f>
        <v>33.8555</v>
      </c>
      <c r="G21" s="11" t="n">
        <f aca="false">IF('RSEA vs Quoted Comparison'!I21="","",'RSEA vs Quoted Comparison'!I21)</f>
        <v>37.24105</v>
      </c>
      <c r="H21" s="11" t="n">
        <f aca="false">'RSEA vs Quoted Comparison'!D21</f>
        <v>64.99</v>
      </c>
      <c r="I21" s="11" t="n">
        <f aca="false">'RSEA vs Quoted Comparison'!E21</f>
        <v>59.0818181818182</v>
      </c>
      <c r="J21" s="11" t="n">
        <f aca="false">K21*1.1</f>
        <v>26.653</v>
      </c>
      <c r="K21" s="11" t="n">
        <v>24.23</v>
      </c>
      <c r="L21" s="11" t="n">
        <v>31.89</v>
      </c>
      <c r="M21" s="11" t="n">
        <v>28.99</v>
      </c>
      <c r="N21" s="11" t="n">
        <v>53.4</v>
      </c>
      <c r="O21" s="11" t="n">
        <f aca="false">N21/1.1</f>
        <v>48.5454545454545</v>
      </c>
      <c r="P21" s="11" t="n">
        <v>45</v>
      </c>
      <c r="Q21" s="11" t="n">
        <v>40.91</v>
      </c>
      <c r="R21" s="42" t="s">
        <v>257</v>
      </c>
      <c r="S21" s="42" t="s">
        <v>257</v>
      </c>
      <c r="T21" s="11" t="n">
        <v>82.82</v>
      </c>
      <c r="U21" s="11" t="n">
        <f aca="false">T21/1.1</f>
        <v>75.2909090909091</v>
      </c>
      <c r="V21" s="42" t="s">
        <v>257</v>
      </c>
      <c r="W21" s="42" t="s">
        <v>257</v>
      </c>
      <c r="X21" s="11" t="n">
        <v>23.32</v>
      </c>
      <c r="Y21" s="11" t="n">
        <f aca="false">X21/1.1</f>
        <v>21.2</v>
      </c>
      <c r="Z21" s="42"/>
      <c r="AA21" s="42"/>
      <c r="AB21" s="11" t="n">
        <f aca="false">IF(COUNT(I21,K21,M21,O21,Q21,S21,U21,W21,Y21,AA21)=0,"N/A",MIN(I21,K21,M21,O21,Q21,S21,U21,W21,Y21,AA21))</f>
        <v>21.2</v>
      </c>
      <c r="AC21" s="43" t="n">
        <f aca="false">IF(OR(D21="",AB21="",AB21="N/A"),"N/A",D21/AB21-1)</f>
        <v>0.575943396226415</v>
      </c>
      <c r="AD21" s="43" t="n">
        <f aca="false">IF(OR(F21="",AB21="",AB21="N/A"),"N/A",F21/AB21-1)</f>
        <v>0.596957547169811</v>
      </c>
      <c r="AE21" s="41" t="s">
        <v>272</v>
      </c>
    </row>
    <row r="22" customFormat="false" ht="138.75" hidden="false" customHeight="true" outlineLevel="0" collapsed="false">
      <c r="A22" s="1" t="s">
        <v>222</v>
      </c>
      <c r="B22" s="1" t="s">
        <v>147</v>
      </c>
      <c r="C22" s="41" t="s">
        <v>148</v>
      </c>
      <c r="D22" s="11" t="n">
        <f aca="false">'RSEA vs Quoted Comparison'!F22</f>
        <v>11.81</v>
      </c>
      <c r="E22" s="11" t="n">
        <f aca="false">'RSEA vs Quoted Comparison'!G22</f>
        <v>12.991</v>
      </c>
      <c r="F22" s="11" t="n">
        <f aca="false">IF('RSEA vs Quoted Comparison'!H22="","",'RSEA vs Quoted Comparison'!H22)</f>
        <v>12.03275</v>
      </c>
      <c r="G22" s="11" t="n">
        <f aca="false">IF('RSEA vs Quoted Comparison'!I22="","",'RSEA vs Quoted Comparison'!I22)</f>
        <v>13.236025</v>
      </c>
      <c r="H22" s="11" t="n">
        <f aca="false">'RSEA vs Quoted Comparison'!D22</f>
        <v>44.99</v>
      </c>
      <c r="I22" s="11" t="n">
        <f aca="false">'RSEA vs Quoted Comparison'!E22</f>
        <v>40.9</v>
      </c>
      <c r="J22" s="42" t="s">
        <v>257</v>
      </c>
      <c r="K22" s="42" t="s">
        <v>257</v>
      </c>
      <c r="L22" s="11" t="n">
        <v>29.61</v>
      </c>
      <c r="M22" s="11" t="n">
        <v>26.92</v>
      </c>
      <c r="N22" s="11" t="n">
        <v>42.5</v>
      </c>
      <c r="O22" s="11" t="n">
        <f aca="false">N22/1.1</f>
        <v>38.6363636363636</v>
      </c>
      <c r="P22" s="11" t="n">
        <v>24.2</v>
      </c>
      <c r="Q22" s="11" t="n">
        <v>22</v>
      </c>
      <c r="R22" s="11" t="n">
        <v>27.5</v>
      </c>
      <c r="S22" s="11" t="n">
        <f aca="false">R22/1.1</f>
        <v>25</v>
      </c>
      <c r="T22" s="11" t="n">
        <v>33.12</v>
      </c>
      <c r="U22" s="11" t="n">
        <f aca="false">T22/1.1</f>
        <v>30.1090909090909</v>
      </c>
      <c r="V22" s="42" t="s">
        <v>257</v>
      </c>
      <c r="W22" s="42" t="s">
        <v>257</v>
      </c>
      <c r="X22" s="11" t="n">
        <v>23.32</v>
      </c>
      <c r="Y22" s="11" t="n">
        <f aca="false">X22/1.1</f>
        <v>21.2</v>
      </c>
      <c r="Z22" s="11" t="n">
        <v>48.85</v>
      </c>
      <c r="AA22" s="11" t="n">
        <f aca="false">Z22/1.1</f>
        <v>44.4090909090909</v>
      </c>
      <c r="AB22" s="11" t="n">
        <f aca="false">IF(COUNT(I22,K22,M22,O22,Q22,S22,U22,W22,Y22,AA22)=0,"N/A",MIN(I22,K22,M22,O22,Q22,S22,U22,W22,Y22,AA22))</f>
        <v>21.2</v>
      </c>
      <c r="AC22" s="43" t="n">
        <f aca="false">IF(OR(D22="",AB22="",AB22="N/A"),"N/A",D22/AB22-1)</f>
        <v>-0.442924528301887</v>
      </c>
      <c r="AD22" s="43" t="n">
        <f aca="false">IF(OR(F22="",AB22="",AB22="N/A"),"N/A",F22/AB22-1)</f>
        <v>-0.432417452830189</v>
      </c>
      <c r="AE22" s="41" t="s">
        <v>273</v>
      </c>
    </row>
    <row r="23" customFormat="false" ht="108.75" hidden="false" customHeight="true" outlineLevel="0" collapsed="false">
      <c r="A23" s="1" t="s">
        <v>222</v>
      </c>
      <c r="B23" s="1" t="s">
        <v>151</v>
      </c>
      <c r="C23" s="41" t="s">
        <v>152</v>
      </c>
      <c r="D23" s="11" t="n">
        <f aca="false">'RSEA vs Quoted Comparison'!F23</f>
        <v>11.81</v>
      </c>
      <c r="E23" s="11" t="n">
        <f aca="false">'RSEA vs Quoted Comparison'!G23</f>
        <v>12.991</v>
      </c>
      <c r="F23" s="11" t="n">
        <f aca="false">IF('RSEA vs Quoted Comparison'!H23="","",'RSEA vs Quoted Comparison'!H23)</f>
        <v>12.03275</v>
      </c>
      <c r="G23" s="11" t="n">
        <f aca="false">IF('RSEA vs Quoted Comparison'!I23="","",'RSEA vs Quoted Comparison'!I23)</f>
        <v>13.236025</v>
      </c>
      <c r="H23" s="11" t="n">
        <f aca="false">'RSEA vs Quoted Comparison'!D23</f>
        <v>49.99</v>
      </c>
      <c r="I23" s="11" t="n">
        <f aca="false">'RSEA vs Quoted Comparison'!E23</f>
        <v>45.4454545454545</v>
      </c>
      <c r="J23" s="11" t="n">
        <f aca="false">K23*1.1</f>
        <v>26.653</v>
      </c>
      <c r="K23" s="11" t="n">
        <v>24.23</v>
      </c>
      <c r="L23" s="11" t="n">
        <v>31.21</v>
      </c>
      <c r="M23" s="11" t="n">
        <v>28.37</v>
      </c>
      <c r="N23" s="11" t="n">
        <v>53.4</v>
      </c>
      <c r="O23" s="11" t="n">
        <f aca="false">N23/1.1</f>
        <v>48.5454545454545</v>
      </c>
      <c r="P23" s="11" t="n">
        <v>24.2</v>
      </c>
      <c r="Q23" s="11" t="n">
        <v>22</v>
      </c>
      <c r="R23" s="11" t="n">
        <v>27.5</v>
      </c>
      <c r="S23" s="11" t="n">
        <f aca="false">R23/1.1</f>
        <v>25</v>
      </c>
      <c r="T23" s="11" t="n">
        <v>33.33</v>
      </c>
      <c r="U23" s="11" t="n">
        <f aca="false">T23/1.1</f>
        <v>30.3</v>
      </c>
      <c r="V23" s="42" t="s">
        <v>257</v>
      </c>
      <c r="W23" s="42" t="s">
        <v>257</v>
      </c>
      <c r="X23" s="11" t="n">
        <v>23.32</v>
      </c>
      <c r="Y23" s="11" t="n">
        <f aca="false">X23/1.1</f>
        <v>21.2</v>
      </c>
      <c r="Z23" s="42"/>
      <c r="AA23" s="42"/>
      <c r="AB23" s="11" t="n">
        <f aca="false">IF(COUNT(I23,K23,M23,O23,Q23,S23,U23,W23,Y23,AA23)=0,"N/A",MIN(I23,K23,M23,O23,Q23,S23,U23,W23,Y23,AA23))</f>
        <v>21.2</v>
      </c>
      <c r="AC23" s="43" t="n">
        <f aca="false">IF(OR(D23="",AB23="",AB23="N/A"),"N/A",D23/AB23-1)</f>
        <v>-0.442924528301887</v>
      </c>
      <c r="AD23" s="43" t="n">
        <f aca="false">IF(OR(F23="",AB23="",AB23="N/A"),"N/A",F23/AB23-1)</f>
        <v>-0.432417452830189</v>
      </c>
      <c r="AE23" s="41" t="s">
        <v>274</v>
      </c>
    </row>
    <row r="24" customFormat="false" ht="48.75" hidden="false" customHeight="true" outlineLevel="0" collapsed="false">
      <c r="A24" s="1" t="s">
        <v>222</v>
      </c>
      <c r="B24" s="1" t="s">
        <v>153</v>
      </c>
      <c r="C24" s="41" t="s">
        <v>154</v>
      </c>
      <c r="D24" s="11" t="n">
        <f aca="false">'RSEA vs Quoted Comparison'!F24</f>
        <v>5.9</v>
      </c>
      <c r="E24" s="11" t="n">
        <f aca="false">'RSEA vs Quoted Comparison'!G24</f>
        <v>6.49</v>
      </c>
      <c r="F24" s="11" t="n">
        <f aca="false">IF('RSEA vs Quoted Comparison'!H24="","",'RSEA vs Quoted Comparison'!H24)</f>
        <v>6.011375</v>
      </c>
      <c r="G24" s="11" t="n">
        <f aca="false">IF('RSEA vs Quoted Comparison'!I24="","",'RSEA vs Quoted Comparison'!I24)</f>
        <v>6.6125125</v>
      </c>
      <c r="H24" s="11" t="n">
        <f aca="false">'RSEA vs Quoted Comparison'!D24</f>
        <v>37.99</v>
      </c>
      <c r="I24" s="11" t="n">
        <f aca="false">'RSEA vs Quoted Comparison'!E24</f>
        <v>34.5363636363636</v>
      </c>
      <c r="J24" s="42" t="s">
        <v>257</v>
      </c>
      <c r="K24" s="42" t="s">
        <v>257</v>
      </c>
      <c r="L24" s="42" t="s">
        <v>257</v>
      </c>
      <c r="M24" s="42" t="s">
        <v>257</v>
      </c>
      <c r="N24" s="42" t="s">
        <v>257</v>
      </c>
      <c r="O24" s="42" t="s">
        <v>257</v>
      </c>
      <c r="P24" s="42" t="s">
        <v>257</v>
      </c>
      <c r="Q24" s="42" t="s">
        <v>257</v>
      </c>
      <c r="R24" s="42" t="s">
        <v>257</v>
      </c>
      <c r="S24" s="42" t="s">
        <v>257</v>
      </c>
      <c r="T24" s="42" t="s">
        <v>257</v>
      </c>
      <c r="U24" s="42" t="s">
        <v>257</v>
      </c>
      <c r="V24" s="42" t="s">
        <v>257</v>
      </c>
      <c r="W24" s="42" t="s">
        <v>257</v>
      </c>
      <c r="X24" s="42" t="s">
        <v>257</v>
      </c>
      <c r="Y24" s="42" t="s">
        <v>257</v>
      </c>
      <c r="Z24" s="42"/>
      <c r="AA24" s="42"/>
      <c r="AB24" s="11" t="n">
        <f aca="false">IF(COUNT(I24,K24,M24,O24,Q24,S24,U24,W24,Y24,AA24)=0,"N/A",MIN(I24,K24,M24,O24,Q24,S24,U24,W24,Y24,AA24))</f>
        <v>34.5363636363636</v>
      </c>
      <c r="AC24" s="43" t="n">
        <f aca="false">IF(OR(D24="",AB24="",AB24="N/A"),"N/A",D24/AB24-1)</f>
        <v>-0.829165569886812</v>
      </c>
      <c r="AD24" s="43" t="n">
        <f aca="false">IF(OR(F24="",AB24="",AB24="N/A"),"N/A",F24/AB24-1)</f>
        <v>-0.825940708081074</v>
      </c>
      <c r="AE24" s="41" t="s">
        <v>268</v>
      </c>
    </row>
    <row r="25" customFormat="false" ht="153.75" hidden="false" customHeight="true" outlineLevel="0" collapsed="false">
      <c r="A25" s="1" t="s">
        <v>222</v>
      </c>
      <c r="B25" s="1" t="s">
        <v>159</v>
      </c>
      <c r="C25" s="41" t="s">
        <v>160</v>
      </c>
      <c r="D25" s="11" t="n">
        <f aca="false">'RSEA vs Quoted Comparison'!F25</f>
        <v>11.81</v>
      </c>
      <c r="E25" s="11" t="n">
        <f aca="false">'RSEA vs Quoted Comparison'!G25</f>
        <v>12.991</v>
      </c>
      <c r="F25" s="11" t="n">
        <f aca="false">IF('RSEA vs Quoted Comparison'!H25="","",'RSEA vs Quoted Comparison'!H25)</f>
        <v>12.03275</v>
      </c>
      <c r="G25" s="11" t="n">
        <f aca="false">IF('RSEA vs Quoted Comparison'!I25="","",'RSEA vs Quoted Comparison'!I25)</f>
        <v>13.236025</v>
      </c>
      <c r="H25" s="11" t="n">
        <f aca="false">'RSEA vs Quoted Comparison'!D25</f>
        <v>49.99</v>
      </c>
      <c r="I25" s="11" t="n">
        <f aca="false">'RSEA vs Quoted Comparison'!E25</f>
        <v>45.4454545454545</v>
      </c>
      <c r="J25" s="42" t="s">
        <v>257</v>
      </c>
      <c r="K25" s="42" t="s">
        <v>257</v>
      </c>
      <c r="L25" s="42" t="s">
        <v>257</v>
      </c>
      <c r="M25" s="42" t="s">
        <v>257</v>
      </c>
      <c r="N25" s="11" t="n">
        <v>42.5</v>
      </c>
      <c r="O25" s="11" t="n">
        <f aca="false">N25/1.1</f>
        <v>38.6363636363636</v>
      </c>
      <c r="P25" s="11" t="n">
        <v>24.2</v>
      </c>
      <c r="Q25" s="11" t="n">
        <v>22</v>
      </c>
      <c r="R25" s="11" t="n">
        <v>33.5</v>
      </c>
      <c r="S25" s="11" t="n">
        <f aca="false">R25/1.1</f>
        <v>30.4545454545455</v>
      </c>
      <c r="T25" s="11" t="n">
        <v>34.46</v>
      </c>
      <c r="U25" s="11" t="n">
        <f aca="false">T25/1.1</f>
        <v>31.3272727272727</v>
      </c>
      <c r="V25" s="11" t="n">
        <f aca="false">W25*1.1</f>
        <v>24.75</v>
      </c>
      <c r="W25" s="11" t="n">
        <v>22.5</v>
      </c>
      <c r="X25" s="11" t="n">
        <v>10.29</v>
      </c>
      <c r="Y25" s="11" t="n">
        <f aca="false">X25/1.1</f>
        <v>9.35454545454545</v>
      </c>
      <c r="Z25" s="42"/>
      <c r="AA25" s="42"/>
      <c r="AB25" s="11" t="n">
        <f aca="false">IF(COUNT(I25,K25,M25,O25,Q25,S25,U25,W25,Y25,AA25)=0,"N/A",MIN(I25,K25,M25,O25,Q25,S25,U25,W25,Y25,AA25))</f>
        <v>9.35454545454545</v>
      </c>
      <c r="AC25" s="43" t="n">
        <f aca="false">IF(OR(D25="",AB25="",AB25="N/A"),"N/A",D25/AB25-1)</f>
        <v>0.262487852283771</v>
      </c>
      <c r="AD25" s="43" t="n">
        <f aca="false">IF(OR(F25="",AB25="",AB25="N/A"),"N/A",F25/AB25-1)</f>
        <v>0.28629980563654</v>
      </c>
      <c r="AE25" s="41" t="s">
        <v>275</v>
      </c>
    </row>
    <row r="26" customFormat="false" ht="108.75" hidden="false" customHeight="true" outlineLevel="0" collapsed="false">
      <c r="A26" s="1" t="s">
        <v>222</v>
      </c>
      <c r="B26" s="1" t="s">
        <v>171</v>
      </c>
      <c r="C26" s="41" t="s">
        <v>172</v>
      </c>
      <c r="D26" s="11" t="n">
        <f aca="false">'RSEA vs Quoted Comparison'!F26</f>
        <v>11.81</v>
      </c>
      <c r="E26" s="11" t="n">
        <f aca="false">'RSEA vs Quoted Comparison'!G26</f>
        <v>12.991</v>
      </c>
      <c r="F26" s="11" t="n">
        <f aca="false">IF('RSEA vs Quoted Comparison'!H26="","",'RSEA vs Quoted Comparison'!H26)</f>
        <v>12.03275</v>
      </c>
      <c r="G26" s="11" t="n">
        <f aca="false">IF('RSEA vs Quoted Comparison'!I26="","",'RSEA vs Quoted Comparison'!I26)</f>
        <v>13.236025</v>
      </c>
      <c r="H26" s="11" t="n">
        <f aca="false">'RSEA vs Quoted Comparison'!D26</f>
        <v>44.99</v>
      </c>
      <c r="I26" s="11" t="n">
        <f aca="false">'RSEA vs Quoted Comparison'!E26</f>
        <v>40.9</v>
      </c>
      <c r="J26" s="42" t="s">
        <v>257</v>
      </c>
      <c r="K26" s="42" t="s">
        <v>257</v>
      </c>
      <c r="L26" s="42" t="s">
        <v>257</v>
      </c>
      <c r="M26" s="42" t="s">
        <v>257</v>
      </c>
      <c r="N26" s="11" t="n">
        <v>42.5</v>
      </c>
      <c r="O26" s="11" t="n">
        <f aca="false">N26/1.1</f>
        <v>38.6363636363636</v>
      </c>
      <c r="P26" s="11" t="n">
        <v>22.05</v>
      </c>
      <c r="Q26" s="11" t="n">
        <v>20.05</v>
      </c>
      <c r="R26" s="11" t="n">
        <v>30</v>
      </c>
      <c r="S26" s="11" t="n">
        <f aca="false">R26/1.1</f>
        <v>27.2727272727273</v>
      </c>
      <c r="T26" s="11" t="n">
        <v>31.19</v>
      </c>
      <c r="U26" s="11" t="n">
        <f aca="false">T26/1.1</f>
        <v>28.3545454545455</v>
      </c>
      <c r="V26" s="42" t="s">
        <v>257</v>
      </c>
      <c r="W26" s="42" t="s">
        <v>257</v>
      </c>
      <c r="X26" s="11" t="n">
        <v>10.29</v>
      </c>
      <c r="Y26" s="11" t="n">
        <f aca="false">X26/1.1</f>
        <v>9.35454545454545</v>
      </c>
      <c r="Z26" s="11" t="n">
        <v>65.63</v>
      </c>
      <c r="AA26" s="11" t="n">
        <f aca="false">Z26/1.1</f>
        <v>59.6636363636364</v>
      </c>
      <c r="AB26" s="11" t="n">
        <f aca="false">IF(COUNT(I26,K26,M26,O26,Q26,S26,U26,W26,Y26,AA26)=0,"N/A",MIN(I26,K26,M26,O26,Q26,S26,U26,W26,Y26,AA26))</f>
        <v>9.35454545454545</v>
      </c>
      <c r="AC26" s="43" t="n">
        <f aca="false">IF(OR(D26="",AB26="",AB26="N/A"),"N/A",D26/AB26-1)</f>
        <v>0.262487852283771</v>
      </c>
      <c r="AD26" s="43" t="n">
        <f aca="false">IF(OR(F26="",AB26="",AB26="N/A"),"N/A",F26/AB26-1)</f>
        <v>0.28629980563654</v>
      </c>
      <c r="AE26" s="41" t="s">
        <v>258</v>
      </c>
    </row>
    <row r="27" customFormat="false" ht="108.75" hidden="false" customHeight="true" outlineLevel="0" collapsed="false">
      <c r="A27" s="1" t="s">
        <v>222</v>
      </c>
      <c r="B27" s="1" t="s">
        <v>276</v>
      </c>
      <c r="C27" s="41" t="s">
        <v>173</v>
      </c>
      <c r="D27" s="11" t="n">
        <f aca="false">'RSEA vs Quoted Comparison'!F27</f>
        <v>11.81</v>
      </c>
      <c r="E27" s="11" t="n">
        <f aca="false">'RSEA vs Quoted Comparison'!G27</f>
        <v>12.991</v>
      </c>
      <c r="F27" s="11" t="n">
        <f aca="false">IF('RSEA vs Quoted Comparison'!H27="","",'RSEA vs Quoted Comparison'!H27)</f>
        <v>12.03275</v>
      </c>
      <c r="G27" s="11" t="n">
        <f aca="false">IF('RSEA vs Quoted Comparison'!I27="","",'RSEA vs Quoted Comparison'!I27)</f>
        <v>13.236025</v>
      </c>
      <c r="H27" s="11" t="n">
        <f aca="false">'RSEA vs Quoted Comparison'!D27</f>
        <v>44.99</v>
      </c>
      <c r="I27" s="11" t="n">
        <f aca="false">'RSEA vs Quoted Comparison'!E27</f>
        <v>40.9</v>
      </c>
      <c r="J27" s="42" t="s">
        <v>257</v>
      </c>
      <c r="K27" s="42" t="s">
        <v>257</v>
      </c>
      <c r="L27" s="42" t="s">
        <v>257</v>
      </c>
      <c r="M27" s="42" t="s">
        <v>257</v>
      </c>
      <c r="N27" s="11" t="n">
        <v>35.75</v>
      </c>
      <c r="O27" s="11" t="n">
        <f aca="false">N27/1.1</f>
        <v>32.5</v>
      </c>
      <c r="P27" s="11" t="n">
        <v>42.5</v>
      </c>
      <c r="Q27" s="11" t="n">
        <v>38.64</v>
      </c>
      <c r="R27" s="11" t="n">
        <v>27.5</v>
      </c>
      <c r="S27" s="11" t="n">
        <f aca="false">R27/1.1</f>
        <v>25</v>
      </c>
      <c r="T27" s="11" t="n">
        <v>30.11</v>
      </c>
      <c r="U27" s="11" t="n">
        <f aca="false">T27/1.1</f>
        <v>27.3727272727273</v>
      </c>
      <c r="V27" s="42" t="s">
        <v>257</v>
      </c>
      <c r="W27" s="42" t="s">
        <v>257</v>
      </c>
      <c r="X27" s="11" t="n">
        <v>23.32</v>
      </c>
      <c r="Y27" s="11" t="n">
        <f aca="false">X27/1.1</f>
        <v>21.2</v>
      </c>
      <c r="Z27" s="11" t="n">
        <v>49.78</v>
      </c>
      <c r="AA27" s="11" t="n">
        <f aca="false">Z27/1.1</f>
        <v>45.2545454545455</v>
      </c>
      <c r="AB27" s="11" t="n">
        <f aca="false">IF(COUNT(I27,K27,M27,O27,Q27,S27,U27,W27,Y27,AA27)=0,"N/A",MIN(I27,K27,M27,O27,Q27,S27,U27,W27,Y27,AA27))</f>
        <v>21.2</v>
      </c>
      <c r="AC27" s="43" t="n">
        <f aca="false">IF(OR(D27="",AB27="",AB27="N/A"),"N/A",D27/AB27-1)</f>
        <v>-0.442924528301887</v>
      </c>
      <c r="AD27" s="43" t="n">
        <f aca="false">IF(OR(F27="",AB27="",AB27="N/A"),"N/A",F27/AB27-1)</f>
        <v>-0.432417452830189</v>
      </c>
      <c r="AE27" s="41" t="s">
        <v>277</v>
      </c>
    </row>
    <row r="28" customFormat="false" ht="153.75" hidden="false" customHeight="true" outlineLevel="0" collapsed="false">
      <c r="A28" s="1" t="s">
        <v>222</v>
      </c>
      <c r="B28" s="1" t="s">
        <v>167</v>
      </c>
      <c r="C28" s="41" t="s">
        <v>168</v>
      </c>
      <c r="D28" s="11" t="n">
        <f aca="false">'RSEA vs Quoted Comparison'!F28</f>
        <v>33.41</v>
      </c>
      <c r="E28" s="11" t="n">
        <f aca="false">'RSEA vs Quoted Comparison'!G28</f>
        <v>36.751</v>
      </c>
      <c r="F28" s="11" t="n">
        <f aca="false">IF('RSEA vs Quoted Comparison'!H28="","",'RSEA vs Quoted Comparison'!H28)</f>
        <v>33.8555</v>
      </c>
      <c r="G28" s="11" t="n">
        <f aca="false">IF('RSEA vs Quoted Comparison'!I28="","",'RSEA vs Quoted Comparison'!I28)</f>
        <v>37.24105</v>
      </c>
      <c r="H28" s="11" t="n">
        <f aca="false">'RSEA vs Quoted Comparison'!D28</f>
        <v>142.99</v>
      </c>
      <c r="I28" s="11" t="n">
        <f aca="false">'RSEA vs Quoted Comparison'!E28</f>
        <v>129.990909090909</v>
      </c>
      <c r="J28" s="42" t="s">
        <v>257</v>
      </c>
      <c r="K28" s="42" t="s">
        <v>257</v>
      </c>
      <c r="L28" s="42" t="s">
        <v>257</v>
      </c>
      <c r="M28" s="42" t="s">
        <v>257</v>
      </c>
      <c r="N28" s="11" t="n">
        <v>35.75</v>
      </c>
      <c r="O28" s="11" t="n">
        <f aca="false">N28/1.1</f>
        <v>32.5</v>
      </c>
      <c r="P28" s="11" t="n">
        <v>57</v>
      </c>
      <c r="Q28" s="11" t="n">
        <v>51.82</v>
      </c>
      <c r="R28" s="11" t="n">
        <v>74.8</v>
      </c>
      <c r="S28" s="11" t="n">
        <f aca="false">R28/1.1</f>
        <v>68</v>
      </c>
      <c r="T28" s="11" t="n">
        <v>98.07</v>
      </c>
      <c r="U28" s="11" t="n">
        <f aca="false">T28/1.1</f>
        <v>89.1545454545454</v>
      </c>
      <c r="V28" s="42" t="s">
        <v>257</v>
      </c>
      <c r="W28" s="42" t="s">
        <v>257</v>
      </c>
      <c r="X28" s="11" t="n">
        <v>110.1</v>
      </c>
      <c r="Y28" s="11" t="n">
        <f aca="false">X28/1.1</f>
        <v>100.090909090909</v>
      </c>
      <c r="Z28" s="42"/>
      <c r="AA28" s="42"/>
      <c r="AB28" s="11" t="n">
        <f aca="false">IF(COUNT(I28,K28,M28,O28,Q28,S28,U28,W28,Y28,AA28)=0,"N/A",MIN(I28,K28,M28,O28,Q28,S28,U28,W28,Y28,AA28))</f>
        <v>32.5</v>
      </c>
      <c r="AC28" s="43" t="n">
        <f aca="false">IF(OR(D28="",AB28="",AB28="N/A"),"N/A",D28/AB28-1)</f>
        <v>0.0279999999999998</v>
      </c>
      <c r="AD28" s="43" t="n">
        <f aca="false">IF(OR(F28="",AB28="",AB28="N/A"),"N/A",F28/AB28-1)</f>
        <v>0.0417076923076922</v>
      </c>
      <c r="AE28" s="41" t="s">
        <v>278</v>
      </c>
    </row>
    <row r="29" customFormat="false" ht="138.75" hidden="false" customHeight="true" outlineLevel="0" collapsed="false">
      <c r="A29" s="1" t="s">
        <v>222</v>
      </c>
      <c r="B29" s="1" t="s">
        <v>174</v>
      </c>
      <c r="C29" s="41" t="s">
        <v>175</v>
      </c>
      <c r="D29" s="11" t="n">
        <f aca="false">'RSEA vs Quoted Comparison'!F29</f>
        <v>33.41</v>
      </c>
      <c r="E29" s="11" t="n">
        <f aca="false">'RSEA vs Quoted Comparison'!G29</f>
        <v>36.751</v>
      </c>
      <c r="F29" s="11" t="n">
        <f aca="false">IF('RSEA vs Quoted Comparison'!H29="","",'RSEA vs Quoted Comparison'!H29)</f>
        <v>33.8555</v>
      </c>
      <c r="G29" s="11" t="n">
        <f aca="false">IF('RSEA vs Quoted Comparison'!I29="","",'RSEA vs Quoted Comparison'!I29)</f>
        <v>37.24105</v>
      </c>
      <c r="H29" s="11" t="n">
        <f aca="false">'RSEA vs Quoted Comparison'!D29</f>
        <v>142.99</v>
      </c>
      <c r="I29" s="11" t="n">
        <f aca="false">'RSEA vs Quoted Comparison'!E29</f>
        <v>129.990909090909</v>
      </c>
      <c r="J29" s="11" t="n">
        <f aca="false">K29*1.1</f>
        <v>109.153</v>
      </c>
      <c r="K29" s="11" t="n">
        <v>99.23</v>
      </c>
      <c r="L29" s="11" t="n">
        <v>61.59</v>
      </c>
      <c r="M29" s="11" t="n">
        <v>55.99</v>
      </c>
      <c r="N29" s="11" t="n">
        <v>49.5</v>
      </c>
      <c r="O29" s="11" t="n">
        <f aca="false">N29/1.1</f>
        <v>45</v>
      </c>
      <c r="P29" s="11" t="n">
        <v>57</v>
      </c>
      <c r="Q29" s="11" t="n">
        <v>51.82</v>
      </c>
      <c r="R29" s="11" t="n">
        <v>74.8</v>
      </c>
      <c r="S29" s="11" t="n">
        <f aca="false">R29/1.1</f>
        <v>68</v>
      </c>
      <c r="T29" s="11" t="n">
        <v>114.08</v>
      </c>
      <c r="U29" s="11" t="n">
        <f aca="false">T29/1.1</f>
        <v>103.709090909091</v>
      </c>
      <c r="V29" s="42" t="s">
        <v>257</v>
      </c>
      <c r="W29" s="42" t="s">
        <v>257</v>
      </c>
      <c r="X29" s="11" t="n">
        <v>110.1</v>
      </c>
      <c r="Y29" s="11" t="n">
        <f aca="false">X29/1.1</f>
        <v>100.090909090909</v>
      </c>
      <c r="Z29" s="42"/>
      <c r="AA29" s="42"/>
      <c r="AB29" s="11" t="n">
        <f aca="false">IF(COUNT(I29,K29,M29,O29,Q29,S29,U29,W29,Y29,AA29)=0,"N/A",MIN(I29,K29,M29,O29,Q29,S29,U29,W29,Y29,AA29))</f>
        <v>45</v>
      </c>
      <c r="AC29" s="43" t="n">
        <f aca="false">IF(OR(D29="",AB29="",AB29="N/A"),"N/A",D29/AB29-1)</f>
        <v>-0.257555555555556</v>
      </c>
      <c r="AD29" s="43" t="n">
        <f aca="false">IF(OR(F29="",AB29="",AB29="N/A"),"N/A",F29/AB29-1)</f>
        <v>-0.247655555555555</v>
      </c>
      <c r="AE29" s="41" t="s">
        <v>279</v>
      </c>
    </row>
    <row r="30" customFormat="false" ht="153.75" hidden="false" customHeight="true" outlineLevel="0" collapsed="false">
      <c r="A30" s="1" t="s">
        <v>223</v>
      </c>
      <c r="B30" s="1" t="s">
        <v>49</v>
      </c>
      <c r="C30" s="41" t="s">
        <v>50</v>
      </c>
      <c r="D30" s="11" t="n">
        <f aca="false">'RSEA vs Quoted Comparison'!F30</f>
        <v>13.07</v>
      </c>
      <c r="E30" s="11" t="n">
        <f aca="false">'RSEA vs Quoted Comparison'!G30</f>
        <v>14.377</v>
      </c>
      <c r="F30" s="11" t="str">
        <f aca="false">IF('RSEA vs Quoted Comparison'!H30="","",'RSEA vs Quoted Comparison'!H30)</f>
        <v/>
      </c>
      <c r="G30" s="11" t="str">
        <f aca="false">IF('RSEA vs Quoted Comparison'!I30="","",'RSEA vs Quoted Comparison'!I30)</f>
        <v/>
      </c>
      <c r="H30" s="11" t="n">
        <f aca="false">'RSEA vs Quoted Comparison'!D30</f>
        <v>57.99</v>
      </c>
      <c r="I30" s="11" t="n">
        <f aca="false">'RSEA vs Quoted Comparison'!E30</f>
        <v>52.7181818181818</v>
      </c>
      <c r="J30" s="11" t="n">
        <f aca="false">K30*1.1</f>
        <v>164.098</v>
      </c>
      <c r="K30" s="11" t="n">
        <v>149.18</v>
      </c>
      <c r="L30" s="42" t="s">
        <v>257</v>
      </c>
      <c r="M30" s="42" t="s">
        <v>257</v>
      </c>
      <c r="N30" s="42" t="s">
        <v>257</v>
      </c>
      <c r="O30" s="42" t="s">
        <v>257</v>
      </c>
      <c r="P30" s="42" t="s">
        <v>257</v>
      </c>
      <c r="Q30" s="42" t="s">
        <v>257</v>
      </c>
      <c r="R30" s="11" t="n">
        <v>34.1</v>
      </c>
      <c r="S30" s="11" t="n">
        <f aca="false">R30/1.1</f>
        <v>31</v>
      </c>
      <c r="T30" s="11" t="n">
        <v>61.04</v>
      </c>
      <c r="U30" s="11" t="n">
        <f aca="false">T30/1.1</f>
        <v>55.4909090909091</v>
      </c>
      <c r="V30" s="11" t="n">
        <f aca="false">W30*1.1</f>
        <v>30.8</v>
      </c>
      <c r="W30" s="11" t="n">
        <v>28</v>
      </c>
      <c r="X30" s="42" t="s">
        <v>257</v>
      </c>
      <c r="Y30" s="42" t="s">
        <v>257</v>
      </c>
      <c r="Z30" s="42"/>
      <c r="AA30" s="42"/>
      <c r="AB30" s="11" t="n">
        <f aca="false">IF(COUNT(I30,K30,M30,O30,Q30,S30,U30,W30,Y30,AA30)=0,"N/A",MIN(I30,K30,M30,O30,Q30,S30,U30,W30,Y30,AA30))</f>
        <v>28</v>
      </c>
      <c r="AC30" s="43" t="n">
        <f aca="false">IF(OR(D30="",AB30="",AB30="N/A"),"N/A",D30/AB30-1)</f>
        <v>-0.533214285714286</v>
      </c>
      <c r="AD30" s="43" t="str">
        <f aca="false">IF(OR(F30="",AB30="",AB30="N/A"),"N/A",F30/AB30-1)</f>
        <v>N/A</v>
      </c>
      <c r="AE30" s="41" t="s">
        <v>280</v>
      </c>
    </row>
    <row r="31" customFormat="false" ht="108.75" hidden="false" customHeight="true" outlineLevel="0" collapsed="false">
      <c r="A31" s="1" t="s">
        <v>223</v>
      </c>
      <c r="B31" s="1" t="s">
        <v>51</v>
      </c>
      <c r="C31" s="41" t="s">
        <v>52</v>
      </c>
      <c r="D31" s="11" t="n">
        <f aca="false">'RSEA vs Quoted Comparison'!F31</f>
        <v>13.07</v>
      </c>
      <c r="E31" s="11" t="n">
        <f aca="false">'RSEA vs Quoted Comparison'!G31</f>
        <v>14.377</v>
      </c>
      <c r="F31" s="11" t="str">
        <f aca="false">IF('RSEA vs Quoted Comparison'!H31="","",'RSEA vs Quoted Comparison'!H31)</f>
        <v/>
      </c>
      <c r="G31" s="11" t="str">
        <f aca="false">IF('RSEA vs Quoted Comparison'!I31="","",'RSEA vs Quoted Comparison'!I31)</f>
        <v/>
      </c>
      <c r="H31" s="11" t="n">
        <f aca="false">'RSEA vs Quoted Comparison'!D31</f>
        <v>44.99</v>
      </c>
      <c r="I31" s="11" t="n">
        <f aca="false">'RSEA vs Quoted Comparison'!E31</f>
        <v>40.9</v>
      </c>
      <c r="J31" s="42" t="s">
        <v>257</v>
      </c>
      <c r="K31" s="42" t="s">
        <v>257</v>
      </c>
      <c r="L31" s="42" t="s">
        <v>257</v>
      </c>
      <c r="M31" s="42" t="s">
        <v>257</v>
      </c>
      <c r="N31" s="42" t="s">
        <v>257</v>
      </c>
      <c r="O31" s="42" t="s">
        <v>257</v>
      </c>
      <c r="P31" s="42" t="s">
        <v>257</v>
      </c>
      <c r="Q31" s="42" t="s">
        <v>257</v>
      </c>
      <c r="R31" s="11" t="n">
        <v>34.1</v>
      </c>
      <c r="S31" s="11" t="n">
        <f aca="false">R31/1.1</f>
        <v>31</v>
      </c>
      <c r="T31" s="11" t="n">
        <v>47.14</v>
      </c>
      <c r="U31" s="11" t="n">
        <f aca="false">T31/1.1</f>
        <v>42.8545454545455</v>
      </c>
      <c r="V31" s="42" t="s">
        <v>257</v>
      </c>
      <c r="W31" s="42" t="s">
        <v>257</v>
      </c>
      <c r="X31" s="11" t="n">
        <v>53.22</v>
      </c>
      <c r="Y31" s="11" t="n">
        <f aca="false">X31/1.1</f>
        <v>48.3818181818182</v>
      </c>
      <c r="Z31" s="42"/>
      <c r="AA31" s="42"/>
      <c r="AB31" s="11" t="n">
        <f aca="false">IF(COUNT(I31,K31,M31,O31,Q31,S31,U31,W31,Y31,AA31)=0,"N/A",MIN(I31,K31,M31,O31,Q31,S31,U31,W31,Y31,AA31))</f>
        <v>31</v>
      </c>
      <c r="AC31" s="43" t="n">
        <f aca="false">IF(OR(D31="",AB31="",AB31="N/A"),"N/A",D31/AB31-1)</f>
        <v>-0.578387096774194</v>
      </c>
      <c r="AD31" s="43" t="str">
        <f aca="false">IF(OR(F31="",AB31="",AB31="N/A"),"N/A",F31/AB31-1)</f>
        <v>N/A</v>
      </c>
      <c r="AE31" s="41" t="s">
        <v>281</v>
      </c>
    </row>
    <row r="32" customFormat="false" ht="138.75" hidden="false" customHeight="true" outlineLevel="0" collapsed="false">
      <c r="A32" s="1" t="s">
        <v>223</v>
      </c>
      <c r="B32" s="1" t="s">
        <v>53</v>
      </c>
      <c r="C32" s="41" t="s">
        <v>54</v>
      </c>
      <c r="D32" s="11" t="n">
        <f aca="false">'RSEA vs Quoted Comparison'!F32</f>
        <v>16.04</v>
      </c>
      <c r="E32" s="11" t="n">
        <f aca="false">'RSEA vs Quoted Comparison'!G32</f>
        <v>17.644</v>
      </c>
      <c r="F32" s="11" t="str">
        <f aca="false">IF('RSEA vs Quoted Comparison'!H32="","",'RSEA vs Quoted Comparison'!H32)</f>
        <v/>
      </c>
      <c r="G32" s="11" t="str">
        <f aca="false">IF('RSEA vs Quoted Comparison'!I32="","",'RSEA vs Quoted Comparison'!I32)</f>
        <v/>
      </c>
      <c r="H32" s="11" t="n">
        <f aca="false">'RSEA vs Quoted Comparison'!D32</f>
        <v>52.99</v>
      </c>
      <c r="I32" s="11" t="n">
        <f aca="false">'RSEA vs Quoted Comparison'!E32</f>
        <v>48.1727272727273</v>
      </c>
      <c r="J32" s="11" t="n">
        <f aca="false">K32*1.1</f>
        <v>159.885</v>
      </c>
      <c r="K32" s="11" t="n">
        <v>145.35</v>
      </c>
      <c r="L32" s="42" t="s">
        <v>257</v>
      </c>
      <c r="M32" s="42" t="s">
        <v>257</v>
      </c>
      <c r="N32" s="42" t="s">
        <v>257</v>
      </c>
      <c r="O32" s="42" t="s">
        <v>257</v>
      </c>
      <c r="P32" s="42" t="s">
        <v>257</v>
      </c>
      <c r="Q32" s="42" t="s">
        <v>257</v>
      </c>
      <c r="R32" s="11" t="n">
        <v>34.1</v>
      </c>
      <c r="S32" s="11" t="n">
        <f aca="false">R32/1.1</f>
        <v>31</v>
      </c>
      <c r="T32" s="11" t="n">
        <v>86.85</v>
      </c>
      <c r="U32" s="11" t="n">
        <f aca="false">T32/1.1</f>
        <v>78.9545454545454</v>
      </c>
      <c r="V32" s="11" t="n">
        <f aca="false">W32*1.1</f>
        <v>56.65</v>
      </c>
      <c r="W32" s="11" t="n">
        <v>51.5</v>
      </c>
      <c r="X32" s="42" t="s">
        <v>257</v>
      </c>
      <c r="Y32" s="42" t="s">
        <v>257</v>
      </c>
      <c r="Z32" s="42"/>
      <c r="AA32" s="42"/>
      <c r="AB32" s="11" t="n">
        <f aca="false">IF(COUNT(I32,K32,M32,O32,Q32,S32,U32,W32,Y32,AA32)=0,"N/A",MIN(I32,K32,M32,O32,Q32,S32,U32,W32,Y32,AA32))</f>
        <v>31</v>
      </c>
      <c r="AC32" s="43" t="n">
        <f aca="false">IF(OR(D32="",AB32="",AB32="N/A"),"N/A",D32/AB32-1)</f>
        <v>-0.48258064516129</v>
      </c>
      <c r="AD32" s="43" t="str">
        <f aca="false">IF(OR(F32="",AB32="",AB32="N/A"),"N/A",F32/AB32-1)</f>
        <v>N/A</v>
      </c>
      <c r="AE32" s="41" t="s">
        <v>282</v>
      </c>
    </row>
    <row r="33" customFormat="false" ht="123.75" hidden="false" customHeight="true" outlineLevel="0" collapsed="false">
      <c r="A33" s="1" t="s">
        <v>223</v>
      </c>
      <c r="B33" s="1" t="s">
        <v>55</v>
      </c>
      <c r="C33" s="41" t="s">
        <v>56</v>
      </c>
      <c r="D33" s="11" t="n">
        <f aca="false">'RSEA vs Quoted Comparison'!F33</f>
        <v>16.04</v>
      </c>
      <c r="E33" s="11" t="n">
        <f aca="false">'RSEA vs Quoted Comparison'!G33</f>
        <v>17.644</v>
      </c>
      <c r="F33" s="11" t="str">
        <f aca="false">IF('RSEA vs Quoted Comparison'!H33="","",'RSEA vs Quoted Comparison'!H33)</f>
        <v/>
      </c>
      <c r="G33" s="11" t="str">
        <f aca="false">IF('RSEA vs Quoted Comparison'!I33="","",'RSEA vs Quoted Comparison'!I33)</f>
        <v/>
      </c>
      <c r="H33" s="11" t="n">
        <f aca="false">'RSEA vs Quoted Comparison'!D33</f>
        <v>57.99</v>
      </c>
      <c r="I33" s="11" t="n">
        <f aca="false">'RSEA vs Quoted Comparison'!E33</f>
        <v>52.7181818181818</v>
      </c>
      <c r="J33" s="11" t="n">
        <f aca="false">K33*1.1</f>
        <v>200.354</v>
      </c>
      <c r="K33" s="11" t="n">
        <v>182.14</v>
      </c>
      <c r="L33" s="42" t="s">
        <v>257</v>
      </c>
      <c r="M33" s="42" t="s">
        <v>257</v>
      </c>
      <c r="N33" s="42" t="s">
        <v>257</v>
      </c>
      <c r="O33" s="42" t="s">
        <v>257</v>
      </c>
      <c r="P33" s="42" t="s">
        <v>257</v>
      </c>
      <c r="Q33" s="42" t="s">
        <v>257</v>
      </c>
      <c r="R33" s="11" t="n">
        <v>34.1</v>
      </c>
      <c r="S33" s="11" t="n">
        <f aca="false">R33/1.1</f>
        <v>31</v>
      </c>
      <c r="T33" s="11" t="n">
        <v>58.84</v>
      </c>
      <c r="U33" s="11" t="n">
        <f aca="false">T33/1.1</f>
        <v>53.4909090909091</v>
      </c>
      <c r="V33" s="42" t="s">
        <v>257</v>
      </c>
      <c r="W33" s="42" t="s">
        <v>257</v>
      </c>
      <c r="X33" s="11" t="n">
        <v>53.22</v>
      </c>
      <c r="Y33" s="11" t="n">
        <f aca="false">X33/1.1</f>
        <v>48.3818181818182</v>
      </c>
      <c r="Z33" s="42"/>
      <c r="AA33" s="42"/>
      <c r="AB33" s="11" t="n">
        <f aca="false">IF(COUNT(I33,K33,M33,O33,Q33,S33,U33,W33,Y33,AA33)=0,"N/A",MIN(I33,K33,M33,O33,Q33,S33,U33,W33,Y33,AA33))</f>
        <v>31</v>
      </c>
      <c r="AC33" s="43" t="n">
        <f aca="false">IF(OR(D33="",AB33="",AB33="N/A"),"N/A",D33/AB33-1)</f>
        <v>-0.48258064516129</v>
      </c>
      <c r="AD33" s="43" t="str">
        <f aca="false">IF(OR(F33="",AB33="",AB33="N/A"),"N/A",F33/AB33-1)</f>
        <v>N/A</v>
      </c>
      <c r="AE33" s="41" t="s">
        <v>283</v>
      </c>
    </row>
    <row r="34" customFormat="false" ht="123.75" hidden="false" customHeight="true" outlineLevel="0" collapsed="false">
      <c r="A34" s="1" t="s">
        <v>223</v>
      </c>
      <c r="B34" s="1" t="s">
        <v>57</v>
      </c>
      <c r="C34" s="41" t="s">
        <v>58</v>
      </c>
      <c r="D34" s="11" t="n">
        <f aca="false">'RSEA vs Quoted Comparison'!F34</f>
        <v>16.04</v>
      </c>
      <c r="E34" s="11" t="n">
        <f aca="false">'RSEA vs Quoted Comparison'!G34</f>
        <v>17.644</v>
      </c>
      <c r="F34" s="11" t="str">
        <f aca="false">IF('RSEA vs Quoted Comparison'!H34="","",'RSEA vs Quoted Comparison'!H34)</f>
        <v/>
      </c>
      <c r="G34" s="11" t="str">
        <f aca="false">IF('RSEA vs Quoted Comparison'!I34="","",'RSEA vs Quoted Comparison'!I34)</f>
        <v/>
      </c>
      <c r="H34" s="11" t="n">
        <f aca="false">'RSEA vs Quoted Comparison'!D34</f>
        <v>57.99</v>
      </c>
      <c r="I34" s="11" t="n">
        <f aca="false">'RSEA vs Quoted Comparison'!E34</f>
        <v>52.7181818181818</v>
      </c>
      <c r="J34" s="11" t="n">
        <f aca="false">K34*1.1</f>
        <v>200.354</v>
      </c>
      <c r="K34" s="11" t="n">
        <v>182.14</v>
      </c>
      <c r="L34" s="42" t="s">
        <v>257</v>
      </c>
      <c r="M34" s="42" t="s">
        <v>257</v>
      </c>
      <c r="N34" s="42" t="s">
        <v>257</v>
      </c>
      <c r="O34" s="42" t="s">
        <v>257</v>
      </c>
      <c r="P34" s="42" t="s">
        <v>257</v>
      </c>
      <c r="Q34" s="42" t="s">
        <v>257</v>
      </c>
      <c r="R34" s="11" t="n">
        <v>34.1</v>
      </c>
      <c r="S34" s="11" t="n">
        <f aca="false">R34/1.1</f>
        <v>31</v>
      </c>
      <c r="T34" s="11" t="n">
        <v>60.6</v>
      </c>
      <c r="U34" s="11" t="n">
        <f aca="false">T34/1.1</f>
        <v>55.0909090909091</v>
      </c>
      <c r="V34" s="11" t="n">
        <f aca="false">W34*1.1</f>
        <v>56.65</v>
      </c>
      <c r="W34" s="11" t="n">
        <v>51.5</v>
      </c>
      <c r="X34" s="11" t="n">
        <v>53.22</v>
      </c>
      <c r="Y34" s="11" t="n">
        <f aca="false">X34/1.1</f>
        <v>48.3818181818182</v>
      </c>
      <c r="Z34" s="42"/>
      <c r="AA34" s="42"/>
      <c r="AB34" s="11" t="n">
        <f aca="false">IF(COUNT(I34,K34,M34,O34,Q34,S34,U34,W34,Y34,AA34)=0,"N/A",MIN(I34,K34,M34,O34,Q34,S34,U34,W34,Y34,AA34))</f>
        <v>31</v>
      </c>
      <c r="AC34" s="43" t="n">
        <f aca="false">IF(OR(D34="",AB34="",AB34="N/A"),"N/A",D34/AB34-1)</f>
        <v>-0.48258064516129</v>
      </c>
      <c r="AD34" s="43" t="str">
        <f aca="false">IF(OR(F34="",AB34="",AB34="N/A"),"N/A",F34/AB34-1)</f>
        <v>N/A</v>
      </c>
      <c r="AE34" s="41" t="s">
        <v>284</v>
      </c>
    </row>
    <row r="35" customFormat="false" ht="123.75" hidden="false" customHeight="true" outlineLevel="0" collapsed="false">
      <c r="A35" s="1" t="s">
        <v>223</v>
      </c>
      <c r="B35" s="1" t="s">
        <v>59</v>
      </c>
      <c r="C35" s="41" t="s">
        <v>60</v>
      </c>
      <c r="D35" s="11" t="n">
        <f aca="false">'RSEA vs Quoted Comparison'!F35</f>
        <v>16.04</v>
      </c>
      <c r="E35" s="11" t="n">
        <f aca="false">'RSEA vs Quoted Comparison'!G35</f>
        <v>17.644</v>
      </c>
      <c r="F35" s="11" t="str">
        <f aca="false">IF('RSEA vs Quoted Comparison'!H35="","",'RSEA vs Quoted Comparison'!H35)</f>
        <v/>
      </c>
      <c r="G35" s="11" t="str">
        <f aca="false">IF('RSEA vs Quoted Comparison'!I35="","",'RSEA vs Quoted Comparison'!I35)</f>
        <v/>
      </c>
      <c r="H35" s="11" t="n">
        <f aca="false">'RSEA vs Quoted Comparison'!D35</f>
        <v>57.99</v>
      </c>
      <c r="I35" s="11" t="n">
        <f aca="false">'RSEA vs Quoted Comparison'!E35</f>
        <v>52.7181818181818</v>
      </c>
      <c r="J35" s="11" t="n">
        <f aca="false">K35*1.1</f>
        <v>130.24</v>
      </c>
      <c r="K35" s="11" t="n">
        <v>118.4</v>
      </c>
      <c r="L35" s="42" t="s">
        <v>257</v>
      </c>
      <c r="M35" s="42" t="s">
        <v>257</v>
      </c>
      <c r="N35" s="42" t="s">
        <v>257</v>
      </c>
      <c r="O35" s="42" t="s">
        <v>257</v>
      </c>
      <c r="P35" s="42" t="s">
        <v>257</v>
      </c>
      <c r="Q35" s="42" t="s">
        <v>257</v>
      </c>
      <c r="R35" s="11" t="n">
        <v>34.1</v>
      </c>
      <c r="S35" s="11" t="n">
        <f aca="false">R35/1.1</f>
        <v>31</v>
      </c>
      <c r="T35" s="11" t="n">
        <v>59.05</v>
      </c>
      <c r="U35" s="11" t="n">
        <f aca="false">T35/1.1</f>
        <v>53.6818181818182</v>
      </c>
      <c r="V35" s="11" t="n">
        <f aca="false">W35*1.1</f>
        <v>56.65</v>
      </c>
      <c r="W35" s="11" t="n">
        <v>51.5</v>
      </c>
      <c r="X35" s="11" t="n">
        <v>53.22</v>
      </c>
      <c r="Y35" s="11" t="n">
        <f aca="false">X35/1.1</f>
        <v>48.3818181818182</v>
      </c>
      <c r="Z35" s="42"/>
      <c r="AA35" s="42"/>
      <c r="AB35" s="11" t="n">
        <f aca="false">IF(COUNT(I35,K35,M35,O35,Q35,S35,U35,W35,Y35,AA35)=0,"N/A",MIN(I35,K35,M35,O35,Q35,S35,U35,W35,Y35,AA35))</f>
        <v>31</v>
      </c>
      <c r="AC35" s="43" t="n">
        <f aca="false">IF(OR(D35="",AB35="",AB35="N/A"),"N/A",D35/AB35-1)</f>
        <v>-0.48258064516129</v>
      </c>
      <c r="AD35" s="43" t="str">
        <f aca="false">IF(OR(F35="",AB35="",AB35="N/A"),"N/A",F35/AB35-1)</f>
        <v>N/A</v>
      </c>
      <c r="AE35" s="41" t="s">
        <v>285</v>
      </c>
    </row>
    <row r="36" customFormat="false" ht="138.75" hidden="false" customHeight="true" outlineLevel="0" collapsed="false">
      <c r="A36" s="1" t="s">
        <v>223</v>
      </c>
      <c r="B36" s="1" t="s">
        <v>61</v>
      </c>
      <c r="C36" s="41" t="s">
        <v>62</v>
      </c>
      <c r="D36" s="11" t="n">
        <f aca="false">'RSEA vs Quoted Comparison'!F36</f>
        <v>13.07</v>
      </c>
      <c r="E36" s="11" t="n">
        <f aca="false">'RSEA vs Quoted Comparison'!G36</f>
        <v>14.377</v>
      </c>
      <c r="F36" s="11" t="str">
        <f aca="false">IF('RSEA vs Quoted Comparison'!H36="","",'RSEA vs Quoted Comparison'!H36)</f>
        <v/>
      </c>
      <c r="G36" s="11" t="str">
        <f aca="false">IF('RSEA vs Quoted Comparison'!I36="","",'RSEA vs Quoted Comparison'!I36)</f>
        <v/>
      </c>
      <c r="H36" s="11" t="n">
        <f aca="false">'RSEA vs Quoted Comparison'!D36</f>
        <v>57.99</v>
      </c>
      <c r="I36" s="11" t="n">
        <f aca="false">'RSEA vs Quoted Comparison'!E36</f>
        <v>52.7181818181818</v>
      </c>
      <c r="J36" s="11" t="n">
        <f aca="false">K36*1.1</f>
        <v>164.098</v>
      </c>
      <c r="K36" s="11" t="n">
        <v>149.18</v>
      </c>
      <c r="L36" s="42" t="s">
        <v>257</v>
      </c>
      <c r="M36" s="42" t="s">
        <v>257</v>
      </c>
      <c r="N36" s="11" t="n">
        <v>46.6</v>
      </c>
      <c r="O36" s="11" t="n">
        <f aca="false">N36/1.1</f>
        <v>42.3636363636364</v>
      </c>
      <c r="P36" s="42" t="s">
        <v>257</v>
      </c>
      <c r="Q36" s="42" t="s">
        <v>257</v>
      </c>
      <c r="R36" s="11" t="n">
        <v>34.1</v>
      </c>
      <c r="S36" s="11" t="n">
        <f aca="false">R36/1.1</f>
        <v>31</v>
      </c>
      <c r="T36" s="11" t="n">
        <v>73.96</v>
      </c>
      <c r="U36" s="11" t="n">
        <f aca="false">T36/1.1</f>
        <v>67.2363636363636</v>
      </c>
      <c r="V36" s="11" t="n">
        <f aca="false">W36*1.1</f>
        <v>52.25</v>
      </c>
      <c r="W36" s="11" t="n">
        <v>47.5</v>
      </c>
      <c r="X36" s="11" t="n">
        <v>53.22</v>
      </c>
      <c r="Y36" s="11" t="n">
        <f aca="false">X36/1.1</f>
        <v>48.3818181818182</v>
      </c>
      <c r="Z36" s="42"/>
      <c r="AA36" s="42"/>
      <c r="AB36" s="11" t="n">
        <f aca="false">IF(COUNT(I36,K36,M36,O36,Q36,S36,U36,W36,Y36,AA36)=0,"N/A",MIN(I36,K36,M36,O36,Q36,S36,U36,W36,Y36,AA36))</f>
        <v>31</v>
      </c>
      <c r="AC36" s="43" t="n">
        <f aca="false">IF(OR(D36="",AB36="",AB36="N/A"),"N/A",D36/AB36-1)</f>
        <v>-0.578387096774194</v>
      </c>
      <c r="AD36" s="43" t="str">
        <f aca="false">IF(OR(F36="",AB36="",AB36="N/A"),"N/A",F36/AB36-1)</f>
        <v>N/A</v>
      </c>
      <c r="AE36" s="41" t="s">
        <v>286</v>
      </c>
    </row>
    <row r="37" customFormat="false" ht="93.75" hidden="false" customHeight="true" outlineLevel="0" collapsed="false">
      <c r="A37" s="1" t="s">
        <v>223</v>
      </c>
      <c r="B37" s="1" t="s">
        <v>63</v>
      </c>
      <c r="C37" s="41" t="s">
        <v>64</v>
      </c>
      <c r="D37" s="11" t="n">
        <f aca="false">'RSEA vs Quoted Comparison'!F37</f>
        <v>16.04</v>
      </c>
      <c r="E37" s="11" t="n">
        <f aca="false">'RSEA vs Quoted Comparison'!G37</f>
        <v>17.644</v>
      </c>
      <c r="F37" s="11" t="str">
        <f aca="false">IF('RSEA vs Quoted Comparison'!H37="","",'RSEA vs Quoted Comparison'!H37)</f>
        <v/>
      </c>
      <c r="G37" s="11" t="str">
        <f aca="false">IF('RSEA vs Quoted Comparison'!I37="","",'RSEA vs Quoted Comparison'!I37)</f>
        <v/>
      </c>
      <c r="H37" s="11" t="n">
        <f aca="false">'RSEA vs Quoted Comparison'!D37</f>
        <v>59.99</v>
      </c>
      <c r="I37" s="11" t="n">
        <f aca="false">'RSEA vs Quoted Comparison'!E37</f>
        <v>54.5363636363636</v>
      </c>
      <c r="J37" s="42" t="s">
        <v>257</v>
      </c>
      <c r="K37" s="42" t="s">
        <v>257</v>
      </c>
      <c r="L37" s="42" t="s">
        <v>257</v>
      </c>
      <c r="M37" s="42" t="s">
        <v>257</v>
      </c>
      <c r="N37" s="42" t="s">
        <v>257</v>
      </c>
      <c r="O37" s="42" t="s">
        <v>257</v>
      </c>
      <c r="P37" s="42" t="s">
        <v>257</v>
      </c>
      <c r="Q37" s="42" t="s">
        <v>257</v>
      </c>
      <c r="R37" s="11" t="n">
        <v>34.1</v>
      </c>
      <c r="S37" s="11" t="n">
        <f aca="false">R37/1.1</f>
        <v>31</v>
      </c>
      <c r="T37" s="11" t="n">
        <v>61.03</v>
      </c>
      <c r="U37" s="11" t="n">
        <f aca="false">T37/1.1</f>
        <v>55.4818181818182</v>
      </c>
      <c r="V37" s="11" t="n">
        <f aca="false">W37*1.1</f>
        <v>52.25</v>
      </c>
      <c r="W37" s="11" t="n">
        <v>47.5</v>
      </c>
      <c r="X37" s="42" t="s">
        <v>257</v>
      </c>
      <c r="Y37" s="42" t="s">
        <v>257</v>
      </c>
      <c r="Z37" s="42"/>
      <c r="AA37" s="42"/>
      <c r="AB37" s="11" t="n">
        <f aca="false">IF(COUNT(I37,K37,M37,O37,Q37,S37,U37,W37,Y37,AA37)=0,"N/A",MIN(I37,K37,M37,O37,Q37,S37,U37,W37,Y37,AA37))</f>
        <v>31</v>
      </c>
      <c r="AC37" s="43" t="n">
        <f aca="false">IF(OR(D37="",AB37="",AB37="N/A"),"N/A",D37/AB37-1)</f>
        <v>-0.48258064516129</v>
      </c>
      <c r="AD37" s="43" t="str">
        <f aca="false">IF(OR(F37="",AB37="",AB37="N/A"),"N/A",F37/AB37-1)</f>
        <v>N/A</v>
      </c>
      <c r="AE37" s="41" t="s">
        <v>287</v>
      </c>
    </row>
    <row r="38" customFormat="false" ht="138.75" hidden="false" customHeight="true" outlineLevel="0" collapsed="false">
      <c r="A38" s="1" t="s">
        <v>223</v>
      </c>
      <c r="B38" s="1" t="s">
        <v>65</v>
      </c>
      <c r="C38" s="41" t="s">
        <v>66</v>
      </c>
      <c r="D38" s="11" t="n">
        <f aca="false">'RSEA vs Quoted Comparison'!F38</f>
        <v>13.07</v>
      </c>
      <c r="E38" s="11" t="n">
        <f aca="false">'RSEA vs Quoted Comparison'!G38</f>
        <v>14.377</v>
      </c>
      <c r="F38" s="11" t="str">
        <f aca="false">IF('RSEA vs Quoted Comparison'!H38="","",'RSEA vs Quoted Comparison'!H38)</f>
        <v/>
      </c>
      <c r="G38" s="11" t="str">
        <f aca="false">IF('RSEA vs Quoted Comparison'!I38="","",'RSEA vs Quoted Comparison'!I38)</f>
        <v/>
      </c>
      <c r="H38" s="11" t="n">
        <f aca="false">'RSEA vs Quoted Comparison'!D38</f>
        <v>57.99</v>
      </c>
      <c r="I38" s="11" t="n">
        <f aca="false">'RSEA vs Quoted Comparison'!E38</f>
        <v>52.7181818181818</v>
      </c>
      <c r="J38" s="11" t="n">
        <f aca="false">K38*1.1</f>
        <v>102.047</v>
      </c>
      <c r="K38" s="11" t="n">
        <v>92.77</v>
      </c>
      <c r="L38" s="42" t="s">
        <v>257</v>
      </c>
      <c r="M38" s="42" t="s">
        <v>257</v>
      </c>
      <c r="N38" s="42" t="s">
        <v>257</v>
      </c>
      <c r="O38" s="42" t="s">
        <v>257</v>
      </c>
      <c r="P38" s="42" t="s">
        <v>257</v>
      </c>
      <c r="Q38" s="42" t="s">
        <v>257</v>
      </c>
      <c r="R38" s="11" t="n">
        <v>34.1</v>
      </c>
      <c r="S38" s="11" t="n">
        <f aca="false">R38/1.1</f>
        <v>31</v>
      </c>
      <c r="T38" s="11" t="n">
        <v>59.05</v>
      </c>
      <c r="U38" s="11" t="n">
        <f aca="false">T38/1.1</f>
        <v>53.6818181818182</v>
      </c>
      <c r="V38" s="42" t="s">
        <v>257</v>
      </c>
      <c r="W38" s="42" t="s">
        <v>257</v>
      </c>
      <c r="X38" s="11" t="n">
        <v>53.22</v>
      </c>
      <c r="Y38" s="11" t="n">
        <f aca="false">X38/1.1</f>
        <v>48.3818181818182</v>
      </c>
      <c r="Z38" s="42"/>
      <c r="AA38" s="42"/>
      <c r="AB38" s="11" t="n">
        <f aca="false">IF(COUNT(I38,K38,M38,O38,Q38,S38,U38,W38,Y38,AA38)=0,"N/A",MIN(I38,K38,M38,O38,Q38,S38,U38,W38,Y38,AA38))</f>
        <v>31</v>
      </c>
      <c r="AC38" s="43" t="n">
        <f aca="false">IF(OR(D38="",AB38="",AB38="N/A"),"N/A",D38/AB38-1)</f>
        <v>-0.578387096774194</v>
      </c>
      <c r="AD38" s="43" t="str">
        <f aca="false">IF(OR(F38="",AB38="",AB38="N/A"),"N/A",F38/AB38-1)</f>
        <v>N/A</v>
      </c>
      <c r="AE38" s="41" t="s">
        <v>288</v>
      </c>
    </row>
    <row r="39" customFormat="false" ht="153.75" hidden="false" customHeight="true" outlineLevel="0" collapsed="false">
      <c r="A39" s="1" t="s">
        <v>223</v>
      </c>
      <c r="B39" s="1" t="s">
        <v>67</v>
      </c>
      <c r="C39" s="41" t="s">
        <v>68</v>
      </c>
      <c r="D39" s="11" t="n">
        <f aca="false">'RSEA vs Quoted Comparison'!F39</f>
        <v>13.07</v>
      </c>
      <c r="E39" s="11" t="n">
        <f aca="false">'RSEA vs Quoted Comparison'!G39</f>
        <v>14.377</v>
      </c>
      <c r="F39" s="11" t="str">
        <f aca="false">IF('RSEA vs Quoted Comparison'!H39="","",'RSEA vs Quoted Comparison'!H39)</f>
        <v/>
      </c>
      <c r="G39" s="11" t="str">
        <f aca="false">IF('RSEA vs Quoted Comparison'!I39="","",'RSEA vs Quoted Comparison'!I39)</f>
        <v/>
      </c>
      <c r="H39" s="11" t="n">
        <f aca="false">'RSEA vs Quoted Comparison'!D39</f>
        <v>57.99</v>
      </c>
      <c r="I39" s="11" t="n">
        <f aca="false">'RSEA vs Quoted Comparison'!E39</f>
        <v>52.7181818181818</v>
      </c>
      <c r="J39" s="11" t="n">
        <f aca="false">K39*1.1</f>
        <v>72.391</v>
      </c>
      <c r="K39" s="11" t="n">
        <v>65.81</v>
      </c>
      <c r="L39" s="42" t="s">
        <v>257</v>
      </c>
      <c r="M39" s="42" t="s">
        <v>257</v>
      </c>
      <c r="N39" s="11" t="n">
        <v>115.9</v>
      </c>
      <c r="O39" s="11" t="n">
        <f aca="false">N39/1.1</f>
        <v>105.363636363636</v>
      </c>
      <c r="P39" s="42" t="s">
        <v>257</v>
      </c>
      <c r="Q39" s="42" t="s">
        <v>257</v>
      </c>
      <c r="R39" s="11" t="n">
        <v>34.1</v>
      </c>
      <c r="S39" s="11" t="n">
        <f aca="false">R39/1.1</f>
        <v>31</v>
      </c>
      <c r="T39" s="11" t="n">
        <v>61.04</v>
      </c>
      <c r="U39" s="11" t="n">
        <f aca="false">T39/1.1</f>
        <v>55.4909090909091</v>
      </c>
      <c r="V39" s="42" t="s">
        <v>257</v>
      </c>
      <c r="W39" s="42" t="s">
        <v>257</v>
      </c>
      <c r="X39" s="11" t="n">
        <v>124.21</v>
      </c>
      <c r="Y39" s="11" t="n">
        <f aca="false">X39/1.1</f>
        <v>112.918181818182</v>
      </c>
      <c r="Z39" s="42"/>
      <c r="AA39" s="42"/>
      <c r="AB39" s="11" t="n">
        <f aca="false">IF(COUNT(I39,K39,M39,O39,Q39,S39,U39,W39,Y39,AA39)=0,"N/A",MIN(I39,K39,M39,O39,Q39,S39,U39,W39,Y39,AA39))</f>
        <v>31</v>
      </c>
      <c r="AC39" s="43" t="n">
        <f aca="false">IF(OR(D39="",AB39="",AB39="N/A"),"N/A",D39/AB39-1)</f>
        <v>-0.578387096774194</v>
      </c>
      <c r="AD39" s="43" t="str">
        <f aca="false">IF(OR(F39="",AB39="",AB39="N/A"),"N/A",F39/AB39-1)</f>
        <v>N/A</v>
      </c>
      <c r="AE39" s="41" t="s">
        <v>289</v>
      </c>
    </row>
    <row r="40" customFormat="false" ht="123.75" hidden="false" customHeight="true" outlineLevel="0" collapsed="false">
      <c r="A40" s="1" t="s">
        <v>223</v>
      </c>
      <c r="B40" s="1" t="s">
        <v>69</v>
      </c>
      <c r="C40" s="41" t="s">
        <v>70</v>
      </c>
      <c r="D40" s="11" t="n">
        <f aca="false">'RSEA vs Quoted Comparison'!F40</f>
        <v>13.07</v>
      </c>
      <c r="E40" s="11" t="n">
        <f aca="false">'RSEA vs Quoted Comparison'!G40</f>
        <v>14.377</v>
      </c>
      <c r="F40" s="11" t="str">
        <f aca="false">IF('RSEA vs Quoted Comparison'!H40="","",'RSEA vs Quoted Comparison'!H40)</f>
        <v/>
      </c>
      <c r="G40" s="11" t="str">
        <f aca="false">IF('RSEA vs Quoted Comparison'!I40="","",'RSEA vs Quoted Comparison'!I40)</f>
        <v/>
      </c>
      <c r="H40" s="11" t="n">
        <f aca="false">'RSEA vs Quoted Comparison'!D40</f>
        <v>57.99</v>
      </c>
      <c r="I40" s="11" t="n">
        <f aca="false">'RSEA vs Quoted Comparison'!E40</f>
        <v>52.7181818181818</v>
      </c>
      <c r="J40" s="11" t="n">
        <f aca="false">K40*1.1</f>
        <v>72.391</v>
      </c>
      <c r="K40" s="11" t="n">
        <v>65.81</v>
      </c>
      <c r="L40" s="42" t="s">
        <v>257</v>
      </c>
      <c r="M40" s="42" t="s">
        <v>257</v>
      </c>
      <c r="N40" s="11" t="n">
        <v>115.9</v>
      </c>
      <c r="O40" s="11" t="n">
        <f aca="false">N40/1.1</f>
        <v>105.363636363636</v>
      </c>
      <c r="P40" s="42" t="s">
        <v>257</v>
      </c>
      <c r="Q40" s="42" t="s">
        <v>257</v>
      </c>
      <c r="R40" s="11" t="n">
        <v>34.1</v>
      </c>
      <c r="S40" s="11" t="n">
        <f aca="false">R40/1.1</f>
        <v>31</v>
      </c>
      <c r="T40" s="11" t="n">
        <v>61.04</v>
      </c>
      <c r="U40" s="11" t="n">
        <f aca="false">T40/1.1</f>
        <v>55.4909090909091</v>
      </c>
      <c r="V40" s="42" t="s">
        <v>257</v>
      </c>
      <c r="W40" s="42" t="s">
        <v>257</v>
      </c>
      <c r="X40" s="11" t="n">
        <v>124.21</v>
      </c>
      <c r="Y40" s="11" t="n">
        <f aca="false">X40/1.1</f>
        <v>112.918181818182</v>
      </c>
      <c r="Z40" s="42"/>
      <c r="AA40" s="42"/>
      <c r="AB40" s="11" t="n">
        <f aca="false">IF(COUNT(I40,K40,M40,O40,Q40,S40,U40,W40,Y40,AA40)=0,"N/A",MIN(I40,K40,M40,O40,Q40,S40,U40,W40,Y40,AA40))</f>
        <v>31</v>
      </c>
      <c r="AC40" s="43" t="n">
        <f aca="false">IF(OR(D40="",AB40="",AB40="N/A"),"N/A",D40/AB40-1)</f>
        <v>-0.578387096774194</v>
      </c>
      <c r="AD40" s="43" t="str">
        <f aca="false">IF(OR(F40="",AB40="",AB40="N/A"),"N/A",F40/AB40-1)</f>
        <v>N/A</v>
      </c>
      <c r="AE40" s="41" t="s">
        <v>290</v>
      </c>
    </row>
    <row r="41" customFormat="false" ht="138.75" hidden="false" customHeight="true" outlineLevel="0" collapsed="false">
      <c r="A41" s="1" t="s">
        <v>223</v>
      </c>
      <c r="B41" s="1" t="s">
        <v>71</v>
      </c>
      <c r="C41" s="41" t="s">
        <v>72</v>
      </c>
      <c r="D41" s="11" t="n">
        <f aca="false">'RSEA vs Quoted Comparison'!F41</f>
        <v>13.07</v>
      </c>
      <c r="E41" s="11" t="n">
        <f aca="false">'RSEA vs Quoted Comparison'!G41</f>
        <v>14.377</v>
      </c>
      <c r="F41" s="11" t="str">
        <f aca="false">IF('RSEA vs Quoted Comparison'!H41="","",'RSEA vs Quoted Comparison'!H41)</f>
        <v/>
      </c>
      <c r="G41" s="11" t="str">
        <f aca="false">IF('RSEA vs Quoted Comparison'!I41="","",'RSEA vs Quoted Comparison'!I41)</f>
        <v/>
      </c>
      <c r="H41" s="11" t="n">
        <f aca="false">'RSEA vs Quoted Comparison'!D41</f>
        <v>57.99</v>
      </c>
      <c r="I41" s="11" t="n">
        <f aca="false">'RSEA vs Quoted Comparison'!E41</f>
        <v>52.7181818181818</v>
      </c>
      <c r="J41" s="11" t="n">
        <f aca="false">K41*1.1</f>
        <v>108.163</v>
      </c>
      <c r="K41" s="11" t="n">
        <v>98.33</v>
      </c>
      <c r="L41" s="42" t="s">
        <v>257</v>
      </c>
      <c r="M41" s="42" t="s">
        <v>257</v>
      </c>
      <c r="N41" s="42" t="s">
        <v>257</v>
      </c>
      <c r="O41" s="42" t="s">
        <v>257</v>
      </c>
      <c r="P41" s="11" t="n">
        <v>96.1</v>
      </c>
      <c r="Q41" s="11" t="n">
        <v>87.36</v>
      </c>
      <c r="R41" s="11" t="n">
        <v>34.1</v>
      </c>
      <c r="S41" s="11" t="n">
        <f aca="false">R41/1.1</f>
        <v>31</v>
      </c>
      <c r="T41" s="11" t="n">
        <v>59.26</v>
      </c>
      <c r="U41" s="11" t="n">
        <f aca="false">T41/1.1</f>
        <v>53.8727272727273</v>
      </c>
      <c r="V41" s="11" t="n">
        <f aca="false">W41*1.1</f>
        <v>85.745</v>
      </c>
      <c r="W41" s="11" t="n">
        <v>77.95</v>
      </c>
      <c r="X41" s="11" t="n">
        <v>53.22</v>
      </c>
      <c r="Y41" s="11" t="n">
        <f aca="false">X41/1.1</f>
        <v>48.3818181818182</v>
      </c>
      <c r="Z41" s="42"/>
      <c r="AA41" s="42"/>
      <c r="AB41" s="11" t="n">
        <f aca="false">IF(COUNT(I41,K41,M41,O41,Q41,S41,U41,W41,Y41,AA41)=0,"N/A",MIN(I41,K41,M41,O41,Q41,S41,U41,W41,Y41,AA41))</f>
        <v>31</v>
      </c>
      <c r="AC41" s="43" t="n">
        <f aca="false">IF(OR(D41="",AB41="",AB41="N/A"),"N/A",D41/AB41-1)</f>
        <v>-0.578387096774194</v>
      </c>
      <c r="AD41" s="43" t="str">
        <f aca="false">IF(OR(F41="",AB41="",AB41="N/A"),"N/A",F41/AB41-1)</f>
        <v>N/A</v>
      </c>
      <c r="AE41" s="41" t="s">
        <v>291</v>
      </c>
    </row>
    <row r="42" customFormat="false" ht="138.75" hidden="false" customHeight="true" outlineLevel="0" collapsed="false">
      <c r="A42" s="1" t="s">
        <v>223</v>
      </c>
      <c r="B42" s="1" t="s">
        <v>73</v>
      </c>
      <c r="C42" s="41" t="s">
        <v>74</v>
      </c>
      <c r="D42" s="11" t="n">
        <f aca="false">'RSEA vs Quoted Comparison'!F42</f>
        <v>13.07</v>
      </c>
      <c r="E42" s="11" t="n">
        <f aca="false">'RSEA vs Quoted Comparison'!G42</f>
        <v>14.377</v>
      </c>
      <c r="F42" s="11" t="str">
        <f aca="false">IF('RSEA vs Quoted Comparison'!H42="","",'RSEA vs Quoted Comparison'!H42)</f>
        <v/>
      </c>
      <c r="G42" s="11" t="str">
        <f aca="false">IF('RSEA vs Quoted Comparison'!I42="","",'RSEA vs Quoted Comparison'!I42)</f>
        <v/>
      </c>
      <c r="H42" s="11" t="n">
        <f aca="false">'RSEA vs Quoted Comparison'!D42</f>
        <v>57.99</v>
      </c>
      <c r="I42" s="11" t="n">
        <f aca="false">'RSEA vs Quoted Comparison'!E42</f>
        <v>52.7181818181818</v>
      </c>
      <c r="J42" s="11" t="n">
        <f aca="false">K42*1.1</f>
        <v>108.163</v>
      </c>
      <c r="K42" s="11" t="n">
        <v>98.33</v>
      </c>
      <c r="L42" s="42" t="s">
        <v>257</v>
      </c>
      <c r="M42" s="42" t="s">
        <v>257</v>
      </c>
      <c r="N42" s="42" t="s">
        <v>257</v>
      </c>
      <c r="O42" s="42" t="s">
        <v>257</v>
      </c>
      <c r="P42" s="11" t="n">
        <v>96.1</v>
      </c>
      <c r="Q42" s="11" t="n">
        <v>87.36</v>
      </c>
      <c r="R42" s="11" t="n">
        <v>34.1</v>
      </c>
      <c r="S42" s="11" t="n">
        <f aca="false">R42/1.1</f>
        <v>31</v>
      </c>
      <c r="T42" s="11" t="n">
        <v>59.26</v>
      </c>
      <c r="U42" s="11" t="n">
        <f aca="false">T42/1.1</f>
        <v>53.8727272727273</v>
      </c>
      <c r="V42" s="11" t="n">
        <f aca="false">W42*1.1</f>
        <v>52.8</v>
      </c>
      <c r="W42" s="11" t="n">
        <v>48</v>
      </c>
      <c r="X42" s="11" t="n">
        <v>53.22</v>
      </c>
      <c r="Y42" s="11" t="n">
        <f aca="false">X42/1.1</f>
        <v>48.3818181818182</v>
      </c>
      <c r="Z42" s="42"/>
      <c r="AA42" s="42"/>
      <c r="AB42" s="11" t="n">
        <f aca="false">IF(COUNT(I42,K42,M42,O42,Q42,S42,U42,W42,Y42,AA42)=0,"N/A",MIN(I42,K42,M42,O42,Q42,S42,U42,W42,Y42,AA42))</f>
        <v>31</v>
      </c>
      <c r="AC42" s="43" t="n">
        <f aca="false">IF(OR(D42="",AB42="",AB42="N/A"),"N/A",D42/AB42-1)</f>
        <v>-0.578387096774194</v>
      </c>
      <c r="AD42" s="43" t="str">
        <f aca="false">IF(OR(F42="",AB42="",AB42="N/A"),"N/A",F42/AB42-1)</f>
        <v>N/A</v>
      </c>
      <c r="AE42" s="41" t="s">
        <v>292</v>
      </c>
    </row>
    <row r="43" customFormat="false" ht="63.75" hidden="false" customHeight="true" outlineLevel="0" collapsed="false">
      <c r="A43" s="1" t="s">
        <v>225</v>
      </c>
      <c r="B43" s="1" t="s">
        <v>4</v>
      </c>
      <c r="C43" s="41" t="s">
        <v>5</v>
      </c>
      <c r="D43" s="11" t="n">
        <f aca="false">'RSEA vs Quoted Comparison'!F43</f>
        <v>5.35</v>
      </c>
      <c r="E43" s="11" t="n">
        <f aca="false">'RSEA vs Quoted Comparison'!G43</f>
        <v>5.885</v>
      </c>
      <c r="F43" s="11" t="str">
        <f aca="false">IF('RSEA vs Quoted Comparison'!H43="","",'RSEA vs Quoted Comparison'!H43)</f>
        <v/>
      </c>
      <c r="G43" s="11" t="str">
        <f aca="false">IF('RSEA vs Quoted Comparison'!I43="","",'RSEA vs Quoted Comparison'!I43)</f>
        <v/>
      </c>
      <c r="H43" s="11" t="n">
        <f aca="false">'RSEA vs Quoted Comparison'!D43</f>
        <v>37.99</v>
      </c>
      <c r="I43" s="11" t="n">
        <f aca="false">'RSEA vs Quoted Comparison'!E43</f>
        <v>34.5363636363636</v>
      </c>
      <c r="J43" s="42" t="s">
        <v>257</v>
      </c>
      <c r="K43" s="42" t="s">
        <v>257</v>
      </c>
      <c r="L43" s="42" t="s">
        <v>257</v>
      </c>
      <c r="M43" s="42" t="s">
        <v>257</v>
      </c>
      <c r="N43" s="42" t="s">
        <v>257</v>
      </c>
      <c r="O43" s="42" t="s">
        <v>257</v>
      </c>
      <c r="P43" s="42" t="s">
        <v>257</v>
      </c>
      <c r="Q43" s="42" t="s">
        <v>257</v>
      </c>
      <c r="R43" s="42" t="s">
        <v>257</v>
      </c>
      <c r="S43" s="42" t="s">
        <v>257</v>
      </c>
      <c r="T43" s="42" t="s">
        <v>257</v>
      </c>
      <c r="U43" s="42" t="s">
        <v>257</v>
      </c>
      <c r="V43" s="42" t="s">
        <v>257</v>
      </c>
      <c r="W43" s="42" t="s">
        <v>257</v>
      </c>
      <c r="X43" s="42" t="s">
        <v>257</v>
      </c>
      <c r="Y43" s="42" t="s">
        <v>257</v>
      </c>
      <c r="Z43" s="42"/>
      <c r="AA43" s="42"/>
      <c r="AB43" s="11" t="n">
        <f aca="false">IF(COUNT(I43,K43,M43,O43,Q43,S43,U43,W43,Y43,AA43)=0,"N/A",MIN(I43,K43,M43,O43,Q43,S43,U43,W43,Y43,AA43))</f>
        <v>34.5363636363636</v>
      </c>
      <c r="AC43" s="43" t="n">
        <f aca="false">IF(OR(D43="",AB43="",AB43="N/A"),"N/A",D43/AB43-1)</f>
        <v>-0.84509081337194</v>
      </c>
      <c r="AD43" s="43" t="str">
        <f aca="false">IF(OR(F43="",AB43="",AB43="N/A"),"N/A",F43/AB43-1)</f>
        <v>N/A</v>
      </c>
      <c r="AE43" s="41" t="s">
        <v>293</v>
      </c>
    </row>
    <row r="44" customFormat="false" ht="138.75" hidden="false" customHeight="true" outlineLevel="0" collapsed="false">
      <c r="A44" s="1" t="s">
        <v>225</v>
      </c>
      <c r="B44" s="1" t="s">
        <v>95</v>
      </c>
      <c r="C44" s="41" t="s">
        <v>96</v>
      </c>
      <c r="D44" s="11" t="n">
        <f aca="false">'RSEA vs Quoted Comparison'!F44</f>
        <v>2.67</v>
      </c>
      <c r="E44" s="11" t="n">
        <f aca="false">'RSEA vs Quoted Comparison'!G44</f>
        <v>2.937</v>
      </c>
      <c r="F44" s="11" t="str">
        <f aca="false">IF('RSEA vs Quoted Comparison'!H44="","",'RSEA vs Quoted Comparison'!H44)</f>
        <v/>
      </c>
      <c r="G44" s="11" t="str">
        <f aca="false">IF('RSEA vs Quoted Comparison'!I44="","",'RSEA vs Quoted Comparison'!I44)</f>
        <v/>
      </c>
      <c r="H44" s="11" t="n">
        <f aca="false">'RSEA vs Quoted Comparison'!D44</f>
        <v>24.99</v>
      </c>
      <c r="I44" s="11" t="n">
        <f aca="false">'RSEA vs Quoted Comparison'!E44</f>
        <v>22.7181818181818</v>
      </c>
      <c r="J44" s="42" t="s">
        <v>257</v>
      </c>
      <c r="K44" s="42" t="s">
        <v>257</v>
      </c>
      <c r="L44" s="11" t="n">
        <v>34.67</v>
      </c>
      <c r="M44" s="11" t="n">
        <v>31.52</v>
      </c>
      <c r="N44" s="11" t="n">
        <v>42.5</v>
      </c>
      <c r="O44" s="11" t="n">
        <f aca="false">N44/1.1</f>
        <v>38.6363636363636</v>
      </c>
      <c r="P44" s="11" t="n">
        <v>24.2</v>
      </c>
      <c r="Q44" s="11" t="n">
        <v>22</v>
      </c>
      <c r="R44" s="42" t="s">
        <v>257</v>
      </c>
      <c r="S44" s="42" t="s">
        <v>257</v>
      </c>
      <c r="T44" s="11" t="n">
        <v>21.12</v>
      </c>
      <c r="U44" s="11" t="n">
        <f aca="false">T44/1.1</f>
        <v>19.2</v>
      </c>
      <c r="V44" s="42" t="s">
        <v>257</v>
      </c>
      <c r="W44" s="42" t="s">
        <v>257</v>
      </c>
      <c r="X44" s="11" t="n">
        <v>10.29</v>
      </c>
      <c r="Y44" s="11" t="n">
        <f aca="false">X44/1.1</f>
        <v>9.35454545454545</v>
      </c>
      <c r="Z44" s="11" t="n">
        <v>32.72</v>
      </c>
      <c r="AA44" s="11" t="n">
        <f aca="false">Z44/1.1</f>
        <v>29.7454545454545</v>
      </c>
      <c r="AB44" s="11" t="n">
        <f aca="false">IF(COUNT(I44,K44,M44,O44,Q44,S44,U44,W44,Y44,AA44)=0,"N/A",MIN(I44,K44,M44,O44,Q44,S44,U44,W44,Y44,AA44))</f>
        <v>9.35454545454545</v>
      </c>
      <c r="AC44" s="43" t="n">
        <f aca="false">IF(OR(D44="",AB44="",AB44="N/A"),"N/A",D44/AB44-1)</f>
        <v>-0.714577259475219</v>
      </c>
      <c r="AD44" s="43" t="str">
        <f aca="false">IF(OR(F44="",AB44="",AB44="N/A"),"N/A",F44/AB44-1)</f>
        <v>N/A</v>
      </c>
      <c r="AE44" s="41" t="s">
        <v>294</v>
      </c>
    </row>
    <row r="45" customFormat="false" ht="138.75" hidden="false" customHeight="true" outlineLevel="0" collapsed="false">
      <c r="A45" s="1" t="s">
        <v>225</v>
      </c>
      <c r="B45" s="1" t="s">
        <v>97</v>
      </c>
      <c r="C45" s="41" t="s">
        <v>98</v>
      </c>
      <c r="D45" s="11" t="n">
        <f aca="false">'RSEA vs Quoted Comparison'!F45</f>
        <v>10.69</v>
      </c>
      <c r="E45" s="11" t="n">
        <f aca="false">'RSEA vs Quoted Comparison'!G45</f>
        <v>11.759</v>
      </c>
      <c r="F45" s="11" t="str">
        <f aca="false">IF('RSEA vs Quoted Comparison'!H45="","",'RSEA vs Quoted Comparison'!H45)</f>
        <v/>
      </c>
      <c r="G45" s="11" t="str">
        <f aca="false">IF('RSEA vs Quoted Comparison'!I45="","",'RSEA vs Quoted Comparison'!I45)</f>
        <v/>
      </c>
      <c r="H45" s="11" t="n">
        <f aca="false">'RSEA vs Quoted Comparison'!D45</f>
        <v>44.99</v>
      </c>
      <c r="I45" s="11" t="n">
        <f aca="false">'RSEA vs Quoted Comparison'!E45</f>
        <v>40.9</v>
      </c>
      <c r="J45" s="42" t="s">
        <v>257</v>
      </c>
      <c r="K45" s="42" t="s">
        <v>257</v>
      </c>
      <c r="L45" s="11" t="n">
        <v>39.58</v>
      </c>
      <c r="M45" s="11" t="n">
        <v>35.98</v>
      </c>
      <c r="N45" s="11" t="n">
        <v>42.5</v>
      </c>
      <c r="O45" s="11" t="n">
        <f aca="false">N45/1.1</f>
        <v>38.6363636363636</v>
      </c>
      <c r="P45" s="11" t="n">
        <v>51</v>
      </c>
      <c r="Q45" s="11" t="n">
        <v>46.36</v>
      </c>
      <c r="R45" s="11" t="n">
        <v>25.75</v>
      </c>
      <c r="S45" s="11" t="n">
        <f aca="false">R45/1.1</f>
        <v>23.4090909090909</v>
      </c>
      <c r="T45" s="42" t="s">
        <v>257</v>
      </c>
      <c r="U45" s="42" t="s">
        <v>257</v>
      </c>
      <c r="V45" s="11" t="n">
        <f aca="false">W45*1.1</f>
        <v>29.15</v>
      </c>
      <c r="W45" s="11" t="n">
        <v>26.5</v>
      </c>
      <c r="X45" s="42" t="s">
        <v>257</v>
      </c>
      <c r="Y45" s="42" t="s">
        <v>257</v>
      </c>
      <c r="Z45" s="42"/>
      <c r="AA45" s="42"/>
      <c r="AB45" s="11" t="n">
        <f aca="false">IF(COUNT(I45,K45,M45,O45,Q45,S45,U45,W45,Y45,AA45)=0,"N/A",MIN(I45,K45,M45,O45,Q45,S45,U45,W45,Y45,AA45))</f>
        <v>23.4090909090909</v>
      </c>
      <c r="AC45" s="43" t="n">
        <f aca="false">IF(OR(D45="",AB45="",AB45="N/A"),"N/A",D45/AB45-1)</f>
        <v>-0.543339805825243</v>
      </c>
      <c r="AD45" s="43" t="str">
        <f aca="false">IF(OR(F45="",AB45="",AB45="N/A"),"N/A",F45/AB45-1)</f>
        <v>N/A</v>
      </c>
      <c r="AE45" s="41" t="s">
        <v>295</v>
      </c>
    </row>
    <row r="46" customFormat="false" ht="63.75" hidden="false" customHeight="true" outlineLevel="0" collapsed="false">
      <c r="A46" s="1" t="s">
        <v>225</v>
      </c>
      <c r="B46" s="1" t="s">
        <v>99</v>
      </c>
      <c r="C46" s="41" t="s">
        <v>100</v>
      </c>
      <c r="D46" s="11" t="n">
        <f aca="false">'RSEA vs Quoted Comparison'!F46</f>
        <v>2.67</v>
      </c>
      <c r="E46" s="11" t="n">
        <f aca="false">'RSEA vs Quoted Comparison'!G46</f>
        <v>2.937</v>
      </c>
      <c r="F46" s="11" t="str">
        <f aca="false">IF('RSEA vs Quoted Comparison'!H46="","",'RSEA vs Quoted Comparison'!H46)</f>
        <v/>
      </c>
      <c r="G46" s="11" t="str">
        <f aca="false">IF('RSEA vs Quoted Comparison'!I46="","",'RSEA vs Quoted Comparison'!I46)</f>
        <v/>
      </c>
      <c r="H46" s="11" t="n">
        <f aca="false">'RSEA vs Quoted Comparison'!D46</f>
        <v>24.99</v>
      </c>
      <c r="I46" s="11" t="n">
        <f aca="false">'RSEA vs Quoted Comparison'!E46</f>
        <v>22.7181818181818</v>
      </c>
      <c r="J46" s="42" t="s">
        <v>257</v>
      </c>
      <c r="K46" s="42" t="s">
        <v>257</v>
      </c>
      <c r="L46" s="42" t="s">
        <v>257</v>
      </c>
      <c r="M46" s="42" t="s">
        <v>257</v>
      </c>
      <c r="N46" s="42" t="s">
        <v>257</v>
      </c>
      <c r="O46" s="42" t="s">
        <v>257</v>
      </c>
      <c r="P46" s="42" t="s">
        <v>257</v>
      </c>
      <c r="Q46" s="42" t="s">
        <v>257</v>
      </c>
      <c r="R46" s="42" t="s">
        <v>257</v>
      </c>
      <c r="S46" s="42" t="s">
        <v>257</v>
      </c>
      <c r="T46" s="42" t="s">
        <v>257</v>
      </c>
      <c r="U46" s="42" t="s">
        <v>257</v>
      </c>
      <c r="V46" s="42" t="s">
        <v>257</v>
      </c>
      <c r="W46" s="42" t="s">
        <v>257</v>
      </c>
      <c r="X46" s="42" t="s">
        <v>257</v>
      </c>
      <c r="Y46" s="42" t="s">
        <v>257</v>
      </c>
      <c r="Z46" s="42"/>
      <c r="AA46" s="42"/>
      <c r="AB46" s="11" t="n">
        <f aca="false">IF(COUNT(I46,K46,M46,O46,Q46,S46,U46,W46,Y46,AA46)=0,"N/A",MIN(I46,K46,M46,O46,Q46,S46,U46,W46,Y46,AA46))</f>
        <v>22.7181818181818</v>
      </c>
      <c r="AC46" s="43" t="n">
        <f aca="false">IF(OR(D46="",AB46="",AB46="N/A"),"N/A",D46/AB46-1)</f>
        <v>-0.882472989195678</v>
      </c>
      <c r="AD46" s="43" t="str">
        <f aca="false">IF(OR(F46="",AB46="",AB46="N/A"),"N/A",F46/AB46-1)</f>
        <v>N/A</v>
      </c>
      <c r="AE46" s="41" t="s">
        <v>293</v>
      </c>
    </row>
    <row r="47" customFormat="false" ht="63.75" hidden="false" customHeight="true" outlineLevel="0" collapsed="false">
      <c r="A47" s="1" t="s">
        <v>225</v>
      </c>
      <c r="B47" s="1" t="s">
        <v>103</v>
      </c>
      <c r="C47" s="41" t="s">
        <v>104</v>
      </c>
      <c r="D47" s="11" t="n">
        <f aca="false">'RSEA vs Quoted Comparison'!F47</f>
        <v>9.5</v>
      </c>
      <c r="E47" s="11" t="n">
        <f aca="false">'RSEA vs Quoted Comparison'!G47</f>
        <v>10.45</v>
      </c>
      <c r="F47" s="11" t="str">
        <f aca="false">IF('RSEA vs Quoted Comparison'!H47="","",'RSEA vs Quoted Comparison'!H47)</f>
        <v/>
      </c>
      <c r="G47" s="11" t="str">
        <f aca="false">IF('RSEA vs Quoted Comparison'!I47="","",'RSEA vs Quoted Comparison'!I47)</f>
        <v/>
      </c>
      <c r="H47" s="11" t="n">
        <f aca="false">'RSEA vs Quoted Comparison'!D47</f>
        <v>44.99</v>
      </c>
      <c r="I47" s="11" t="n">
        <f aca="false">'RSEA vs Quoted Comparison'!E47</f>
        <v>40.9</v>
      </c>
      <c r="J47" s="42" t="s">
        <v>257</v>
      </c>
      <c r="K47" s="42" t="s">
        <v>257</v>
      </c>
      <c r="L47" s="42" t="s">
        <v>257</v>
      </c>
      <c r="M47" s="42" t="s">
        <v>257</v>
      </c>
      <c r="N47" s="42" t="s">
        <v>257</v>
      </c>
      <c r="O47" s="42" t="s">
        <v>257</v>
      </c>
      <c r="P47" s="42" t="s">
        <v>257</v>
      </c>
      <c r="Q47" s="42" t="s">
        <v>257</v>
      </c>
      <c r="R47" s="42" t="s">
        <v>257</v>
      </c>
      <c r="S47" s="42" t="s">
        <v>257</v>
      </c>
      <c r="T47" s="42" t="s">
        <v>257</v>
      </c>
      <c r="U47" s="42" t="s">
        <v>257</v>
      </c>
      <c r="V47" s="42" t="s">
        <v>257</v>
      </c>
      <c r="W47" s="42" t="s">
        <v>257</v>
      </c>
      <c r="X47" s="42" t="s">
        <v>257</v>
      </c>
      <c r="Y47" s="42" t="s">
        <v>257</v>
      </c>
      <c r="Z47" s="42"/>
      <c r="AA47" s="42"/>
      <c r="AB47" s="11" t="n">
        <f aca="false">IF(COUNT(I47,K47,M47,O47,Q47,S47,U47,W47,Y47,AA47)=0,"N/A",MIN(I47,K47,M47,O47,Q47,S47,U47,W47,Y47,AA47))</f>
        <v>40.9</v>
      </c>
      <c r="AC47" s="43" t="n">
        <f aca="false">IF(OR(D47="",AB47="",AB47="N/A"),"N/A",D47/AB47-1)</f>
        <v>-0.767726161369193</v>
      </c>
      <c r="AD47" s="43" t="str">
        <f aca="false">IF(OR(F47="",AB47="",AB47="N/A"),"N/A",F47/AB47-1)</f>
        <v>N/A</v>
      </c>
      <c r="AE47" s="41" t="s">
        <v>293</v>
      </c>
    </row>
    <row r="48" customFormat="false" ht="63.75" hidden="false" customHeight="true" outlineLevel="0" collapsed="false">
      <c r="A48" s="1" t="s">
        <v>225</v>
      </c>
      <c r="B48" s="1" t="s">
        <v>105</v>
      </c>
      <c r="C48" s="41" t="s">
        <v>106</v>
      </c>
      <c r="D48" s="11" t="n">
        <f aca="false">'RSEA vs Quoted Comparison'!F48</f>
        <v>10.69</v>
      </c>
      <c r="E48" s="11" t="n">
        <f aca="false">'RSEA vs Quoted Comparison'!G48</f>
        <v>11.759</v>
      </c>
      <c r="F48" s="11" t="str">
        <f aca="false">IF('RSEA vs Quoted Comparison'!H48="","",'RSEA vs Quoted Comparison'!H48)</f>
        <v/>
      </c>
      <c r="G48" s="11" t="str">
        <f aca="false">IF('RSEA vs Quoted Comparison'!I48="","",'RSEA vs Quoted Comparison'!I48)</f>
        <v/>
      </c>
      <c r="H48" s="11" t="n">
        <f aca="false">'RSEA vs Quoted Comparison'!D48</f>
        <v>44.99</v>
      </c>
      <c r="I48" s="11" t="n">
        <f aca="false">'RSEA vs Quoted Comparison'!E48</f>
        <v>40.9</v>
      </c>
      <c r="J48" s="42" t="s">
        <v>257</v>
      </c>
      <c r="K48" s="42" t="s">
        <v>257</v>
      </c>
      <c r="L48" s="42" t="s">
        <v>257</v>
      </c>
      <c r="M48" s="42" t="s">
        <v>257</v>
      </c>
      <c r="N48" s="42" t="s">
        <v>257</v>
      </c>
      <c r="O48" s="42" t="s">
        <v>257</v>
      </c>
      <c r="P48" s="42" t="s">
        <v>257</v>
      </c>
      <c r="Q48" s="42" t="s">
        <v>257</v>
      </c>
      <c r="R48" s="42" t="s">
        <v>257</v>
      </c>
      <c r="S48" s="42" t="s">
        <v>257</v>
      </c>
      <c r="T48" s="42" t="s">
        <v>257</v>
      </c>
      <c r="U48" s="42" t="s">
        <v>257</v>
      </c>
      <c r="V48" s="42" t="s">
        <v>257</v>
      </c>
      <c r="W48" s="42" t="s">
        <v>257</v>
      </c>
      <c r="X48" s="42" t="s">
        <v>257</v>
      </c>
      <c r="Y48" s="42" t="s">
        <v>257</v>
      </c>
      <c r="Z48" s="42"/>
      <c r="AA48" s="42"/>
      <c r="AB48" s="11" t="n">
        <f aca="false">IF(COUNT(I48,K48,M48,O48,Q48,S48,U48,W48,Y48,AA48)=0,"N/A",MIN(I48,K48,M48,O48,Q48,S48,U48,W48,Y48,AA48))</f>
        <v>40.9</v>
      </c>
      <c r="AC48" s="43" t="n">
        <f aca="false">IF(OR(D48="",AB48="",AB48="N/A"),"N/A",D48/AB48-1)</f>
        <v>-0.738630806845966</v>
      </c>
      <c r="AD48" s="43" t="str">
        <f aca="false">IF(OR(F48="",AB48="",AB48="N/A"),"N/A",F48/AB48-1)</f>
        <v>N/A</v>
      </c>
      <c r="AE48" s="41" t="s">
        <v>293</v>
      </c>
    </row>
    <row r="49" customFormat="false" ht="123.75" hidden="false" customHeight="true" outlineLevel="0" collapsed="false">
      <c r="A49" s="1" t="s">
        <v>225</v>
      </c>
      <c r="B49" s="1" t="s">
        <v>109</v>
      </c>
      <c r="C49" s="41" t="s">
        <v>110</v>
      </c>
      <c r="D49" s="11" t="n">
        <f aca="false">'RSEA vs Quoted Comparison'!F49</f>
        <v>5.35</v>
      </c>
      <c r="E49" s="11" t="n">
        <f aca="false">'RSEA vs Quoted Comparison'!G49</f>
        <v>5.885</v>
      </c>
      <c r="F49" s="11" t="str">
        <f aca="false">IF('RSEA vs Quoted Comparison'!H49="","",'RSEA vs Quoted Comparison'!H49)</f>
        <v/>
      </c>
      <c r="G49" s="11" t="str">
        <f aca="false">IF('RSEA vs Quoted Comparison'!I49="","",'RSEA vs Quoted Comparison'!I49)</f>
        <v/>
      </c>
      <c r="H49" s="11" t="n">
        <f aca="false">'RSEA vs Quoted Comparison'!D49</f>
        <v>32.99</v>
      </c>
      <c r="I49" s="11" t="n">
        <f aca="false">'RSEA vs Quoted Comparison'!E49</f>
        <v>29.9909090909091</v>
      </c>
      <c r="J49" s="42" t="s">
        <v>257</v>
      </c>
      <c r="K49" s="42" t="s">
        <v>257</v>
      </c>
      <c r="L49" s="11" t="n">
        <v>34.67</v>
      </c>
      <c r="M49" s="11" t="n">
        <v>31.52</v>
      </c>
      <c r="N49" s="42" t="s">
        <v>257</v>
      </c>
      <c r="O49" s="42" t="s">
        <v>257</v>
      </c>
      <c r="P49" s="42" t="s">
        <v>257</v>
      </c>
      <c r="Q49" s="42" t="s">
        <v>257</v>
      </c>
      <c r="R49" s="11" t="n">
        <v>23</v>
      </c>
      <c r="S49" s="11" t="n">
        <f aca="false">R49/1.1</f>
        <v>20.9090909090909</v>
      </c>
      <c r="T49" s="11" t="n">
        <v>35.73</v>
      </c>
      <c r="U49" s="11" t="n">
        <f aca="false">T49/1.1</f>
        <v>32.4818181818182</v>
      </c>
      <c r="V49" s="11" t="n">
        <f aca="false">W49*1.1</f>
        <v>24.09</v>
      </c>
      <c r="W49" s="11" t="n">
        <v>21.9</v>
      </c>
      <c r="X49" s="42" t="s">
        <v>257</v>
      </c>
      <c r="Y49" s="42" t="s">
        <v>257</v>
      </c>
      <c r="Z49" s="42"/>
      <c r="AA49" s="42"/>
      <c r="AB49" s="11" t="n">
        <f aca="false">IF(COUNT(I49,K49,M49,O49,Q49,S49,U49,W49,Y49,AA49)=0,"N/A",MIN(I49,K49,M49,O49,Q49,S49,U49,W49,Y49,AA49))</f>
        <v>20.9090909090909</v>
      </c>
      <c r="AC49" s="43" t="n">
        <f aca="false">IF(OR(D49="",AB49="",AB49="N/A"),"N/A",D49/AB49-1)</f>
        <v>-0.744130434782609</v>
      </c>
      <c r="AD49" s="43" t="str">
        <f aca="false">IF(OR(F49="",AB49="",AB49="N/A"),"N/A",F49/AB49-1)</f>
        <v>N/A</v>
      </c>
      <c r="AE49" s="41" t="s">
        <v>296</v>
      </c>
    </row>
    <row r="50" customFormat="false" ht="138.75" hidden="false" customHeight="true" outlineLevel="0" collapsed="false">
      <c r="A50" s="1" t="s">
        <v>225</v>
      </c>
      <c r="B50" s="1" t="s">
        <v>111</v>
      </c>
      <c r="C50" s="41" t="s">
        <v>112</v>
      </c>
      <c r="D50" s="11" t="n">
        <f aca="false">'RSEA vs Quoted Comparison'!F50</f>
        <v>5.35</v>
      </c>
      <c r="E50" s="11" t="n">
        <f aca="false">'RSEA vs Quoted Comparison'!G50</f>
        <v>5.885</v>
      </c>
      <c r="F50" s="11" t="str">
        <f aca="false">IF('RSEA vs Quoted Comparison'!H50="","",'RSEA vs Quoted Comparison'!H50)</f>
        <v/>
      </c>
      <c r="G50" s="11" t="str">
        <f aca="false">IF('RSEA vs Quoted Comparison'!I50="","",'RSEA vs Quoted Comparison'!I50)</f>
        <v/>
      </c>
      <c r="H50" s="11" t="n">
        <f aca="false">'RSEA vs Quoted Comparison'!D50</f>
        <v>49.99</v>
      </c>
      <c r="I50" s="11" t="n">
        <f aca="false">'RSEA vs Quoted Comparison'!E50</f>
        <v>45.4454545454545</v>
      </c>
      <c r="J50" s="42" t="s">
        <v>257</v>
      </c>
      <c r="K50" s="42" t="s">
        <v>257</v>
      </c>
      <c r="L50" s="11" t="n">
        <v>34.67</v>
      </c>
      <c r="M50" s="11" t="n">
        <v>31.52</v>
      </c>
      <c r="N50" s="11" t="n">
        <v>28.3</v>
      </c>
      <c r="O50" s="11" t="n">
        <f aca="false">N50/1.1</f>
        <v>25.7272727272727</v>
      </c>
      <c r="P50" s="11" t="n">
        <v>11.55</v>
      </c>
      <c r="Q50" s="11" t="n">
        <v>10.5</v>
      </c>
      <c r="R50" s="11" t="n">
        <v>23</v>
      </c>
      <c r="S50" s="11" t="n">
        <f aca="false">R50/1.1</f>
        <v>20.9090909090909</v>
      </c>
      <c r="T50" s="11" t="n">
        <v>35.01</v>
      </c>
      <c r="U50" s="11" t="n">
        <f aca="false">T50/1.1</f>
        <v>31.8272727272727</v>
      </c>
      <c r="V50" s="11" t="n">
        <f aca="false">W50*1.1</f>
        <v>25.3</v>
      </c>
      <c r="W50" s="11" t="n">
        <v>23</v>
      </c>
      <c r="X50" s="11" t="n">
        <v>10.29</v>
      </c>
      <c r="Y50" s="11" t="n">
        <f aca="false">X50/1.1</f>
        <v>9.35454545454545</v>
      </c>
      <c r="Z50" s="42"/>
      <c r="AA50" s="42"/>
      <c r="AB50" s="11" t="n">
        <f aca="false">IF(COUNT(I50,K50,M50,O50,Q50,S50,U50,W50,Y50,AA50)=0,"N/A",MIN(I50,K50,M50,O50,Q50,S50,U50,W50,Y50,AA50))</f>
        <v>9.35454545454545</v>
      </c>
      <c r="AC50" s="43" t="n">
        <f aca="false">IF(OR(D50="",AB50="",AB50="N/A"),"N/A",D50/AB50-1)</f>
        <v>-0.428085519922255</v>
      </c>
      <c r="AD50" s="43" t="str">
        <f aca="false">IF(OR(F50="",AB50="",AB50="N/A"),"N/A",F50/AB50-1)</f>
        <v>N/A</v>
      </c>
      <c r="AE50" s="41" t="s">
        <v>297</v>
      </c>
    </row>
    <row r="51" customFormat="false" ht="63.75" hidden="false" customHeight="true" outlineLevel="0" collapsed="false">
      <c r="A51" s="1" t="s">
        <v>225</v>
      </c>
      <c r="B51" s="1" t="s">
        <v>115</v>
      </c>
      <c r="C51" s="41" t="s">
        <v>116</v>
      </c>
      <c r="D51" s="11" t="n">
        <f aca="false">'RSEA vs Quoted Comparison'!F51</f>
        <v>2.67</v>
      </c>
      <c r="E51" s="11" t="n">
        <f aca="false">'RSEA vs Quoted Comparison'!G51</f>
        <v>2.937</v>
      </c>
      <c r="F51" s="11" t="str">
        <f aca="false">IF('RSEA vs Quoted Comparison'!H51="","",'RSEA vs Quoted Comparison'!H51)</f>
        <v/>
      </c>
      <c r="G51" s="11" t="str">
        <f aca="false">IF('RSEA vs Quoted Comparison'!I51="","",'RSEA vs Quoted Comparison'!I51)</f>
        <v/>
      </c>
      <c r="H51" s="11" t="n">
        <f aca="false">'RSEA vs Quoted Comparison'!D51</f>
        <v>27.99</v>
      </c>
      <c r="I51" s="11" t="n">
        <f aca="false">'RSEA vs Quoted Comparison'!E51</f>
        <v>25.4454545454545</v>
      </c>
      <c r="J51" s="42" t="s">
        <v>257</v>
      </c>
      <c r="K51" s="42" t="s">
        <v>257</v>
      </c>
      <c r="L51" s="42" t="s">
        <v>257</v>
      </c>
      <c r="M51" s="42" t="s">
        <v>257</v>
      </c>
      <c r="N51" s="42" t="s">
        <v>257</v>
      </c>
      <c r="O51" s="42" t="s">
        <v>257</v>
      </c>
      <c r="P51" s="42" t="s">
        <v>257</v>
      </c>
      <c r="Q51" s="42" t="s">
        <v>257</v>
      </c>
      <c r="R51" s="42" t="s">
        <v>257</v>
      </c>
      <c r="S51" s="42" t="s">
        <v>257</v>
      </c>
      <c r="T51" s="42" t="s">
        <v>257</v>
      </c>
      <c r="U51" s="42" t="s">
        <v>257</v>
      </c>
      <c r="V51" s="42" t="s">
        <v>257</v>
      </c>
      <c r="W51" s="42" t="s">
        <v>257</v>
      </c>
      <c r="X51" s="42" t="s">
        <v>257</v>
      </c>
      <c r="Y51" s="42" t="s">
        <v>257</v>
      </c>
      <c r="Z51" s="42"/>
      <c r="AA51" s="42"/>
      <c r="AB51" s="11" t="n">
        <f aca="false">IF(COUNT(I51,K51,M51,O51,Q51,S51,U51,W51,Y51,AA51)=0,"N/A",MIN(I51,K51,M51,O51,Q51,S51,U51,W51,Y51,AA51))</f>
        <v>25.4454545454545</v>
      </c>
      <c r="AC51" s="43" t="n">
        <f aca="false">IF(OR(D51="",AB51="",AB51="N/A"),"N/A",D51/AB51-1)</f>
        <v>-0.895069667738478</v>
      </c>
      <c r="AD51" s="43" t="str">
        <f aca="false">IF(OR(F51="",AB51="",AB51="N/A"),"N/A",F51/AB51-1)</f>
        <v>N/A</v>
      </c>
      <c r="AE51" s="41" t="s">
        <v>293</v>
      </c>
    </row>
    <row r="52" customFormat="false" ht="63.75" hidden="false" customHeight="true" outlineLevel="0" collapsed="false">
      <c r="A52" s="1" t="s">
        <v>225</v>
      </c>
      <c r="B52" s="1" t="s">
        <v>119</v>
      </c>
      <c r="C52" s="41" t="s">
        <v>120</v>
      </c>
      <c r="D52" s="11" t="n">
        <f aca="false">'RSEA vs Quoted Comparison'!F52</f>
        <v>9.5</v>
      </c>
      <c r="E52" s="11" t="n">
        <f aca="false">'RSEA vs Quoted Comparison'!G52</f>
        <v>10.45</v>
      </c>
      <c r="F52" s="11" t="str">
        <f aca="false">IF('RSEA vs Quoted Comparison'!H52="","",'RSEA vs Quoted Comparison'!H52)</f>
        <v/>
      </c>
      <c r="G52" s="11" t="str">
        <f aca="false">IF('RSEA vs Quoted Comparison'!I52="","",'RSEA vs Quoted Comparison'!I52)</f>
        <v/>
      </c>
      <c r="H52" s="11" t="n">
        <f aca="false">'RSEA vs Quoted Comparison'!D52</f>
        <v>44.99</v>
      </c>
      <c r="I52" s="11" t="n">
        <f aca="false">'RSEA vs Quoted Comparison'!E52</f>
        <v>40.9</v>
      </c>
      <c r="J52" s="42" t="s">
        <v>257</v>
      </c>
      <c r="K52" s="42" t="s">
        <v>257</v>
      </c>
      <c r="L52" s="42" t="s">
        <v>257</v>
      </c>
      <c r="M52" s="42" t="s">
        <v>257</v>
      </c>
      <c r="N52" s="42" t="s">
        <v>257</v>
      </c>
      <c r="O52" s="42" t="s">
        <v>257</v>
      </c>
      <c r="P52" s="42" t="s">
        <v>257</v>
      </c>
      <c r="Q52" s="42" t="s">
        <v>257</v>
      </c>
      <c r="R52" s="42" t="s">
        <v>257</v>
      </c>
      <c r="S52" s="42" t="s">
        <v>257</v>
      </c>
      <c r="T52" s="42" t="s">
        <v>257</v>
      </c>
      <c r="U52" s="42" t="s">
        <v>257</v>
      </c>
      <c r="V52" s="42" t="s">
        <v>257</v>
      </c>
      <c r="W52" s="42" t="s">
        <v>257</v>
      </c>
      <c r="X52" s="42" t="s">
        <v>257</v>
      </c>
      <c r="Y52" s="42" t="s">
        <v>257</v>
      </c>
      <c r="Z52" s="42"/>
      <c r="AA52" s="42"/>
      <c r="AB52" s="11" t="n">
        <f aca="false">IF(COUNT(I52,K52,M52,O52,Q52,S52,U52,W52,Y52,AA52)=0,"N/A",MIN(I52,K52,M52,O52,Q52,S52,U52,W52,Y52,AA52))</f>
        <v>40.9</v>
      </c>
      <c r="AC52" s="43" t="n">
        <f aca="false">IF(OR(D52="",AB52="",AB52="N/A"),"N/A",D52/AB52-1)</f>
        <v>-0.767726161369193</v>
      </c>
      <c r="AD52" s="43" t="str">
        <f aca="false">IF(OR(F52="",AB52="",AB52="N/A"),"N/A",F52/AB52-1)</f>
        <v>N/A</v>
      </c>
      <c r="AE52" s="41" t="s">
        <v>293</v>
      </c>
    </row>
    <row r="53" customFormat="false" ht="168.75" hidden="false" customHeight="true" outlineLevel="0" collapsed="false">
      <c r="A53" s="1" t="s">
        <v>225</v>
      </c>
      <c r="B53" s="1" t="s">
        <v>121</v>
      </c>
      <c r="C53" s="41" t="s">
        <v>122</v>
      </c>
      <c r="D53" s="11" t="n">
        <f aca="false">'RSEA vs Quoted Comparison'!F53</f>
        <v>2</v>
      </c>
      <c r="E53" s="11" t="n">
        <f aca="false">'RSEA vs Quoted Comparison'!G53</f>
        <v>2.2</v>
      </c>
      <c r="F53" s="11" t="str">
        <f aca="false">IF('RSEA vs Quoted Comparison'!H53="","",'RSEA vs Quoted Comparison'!H53)</f>
        <v/>
      </c>
      <c r="G53" s="11" t="str">
        <f aca="false">IF('RSEA vs Quoted Comparison'!I53="","",'RSEA vs Quoted Comparison'!I53)</f>
        <v/>
      </c>
      <c r="H53" s="11" t="n">
        <f aca="false">'RSEA vs Quoted Comparison'!D53</f>
        <v>49.99</v>
      </c>
      <c r="I53" s="11" t="n">
        <f aca="false">'RSEA vs Quoted Comparison'!E53</f>
        <v>45.4454545454545</v>
      </c>
      <c r="J53" s="42" t="s">
        <v>257</v>
      </c>
      <c r="K53" s="42" t="s">
        <v>257</v>
      </c>
      <c r="L53" s="11" t="n">
        <v>21.51</v>
      </c>
      <c r="M53" s="11" t="n">
        <v>19.55</v>
      </c>
      <c r="N53" s="11" t="n">
        <v>8.6</v>
      </c>
      <c r="O53" s="11" t="n">
        <f aca="false">N53/1.1</f>
        <v>7.81818181818182</v>
      </c>
      <c r="P53" s="11" t="n">
        <v>22.6</v>
      </c>
      <c r="Q53" s="11" t="n">
        <v>20.55</v>
      </c>
      <c r="R53" s="11" t="n">
        <v>28.5</v>
      </c>
      <c r="S53" s="11" t="n">
        <f aca="false">R53/1.1</f>
        <v>25.9090909090909</v>
      </c>
      <c r="T53" s="11" t="n">
        <v>22.12</v>
      </c>
      <c r="U53" s="11" t="n">
        <f aca="false">T53/1.1</f>
        <v>20.1090909090909</v>
      </c>
      <c r="V53" s="42" t="s">
        <v>257</v>
      </c>
      <c r="W53" s="42" t="s">
        <v>257</v>
      </c>
      <c r="X53" s="11" t="n">
        <v>10.29</v>
      </c>
      <c r="Y53" s="11" t="n">
        <f aca="false">X53/1.1</f>
        <v>9.35454545454545</v>
      </c>
      <c r="Z53" s="11" t="n">
        <v>61.33</v>
      </c>
      <c r="AA53" s="11" t="n">
        <f aca="false">Z53/1.1</f>
        <v>55.7545454545455</v>
      </c>
      <c r="AB53" s="11" t="n">
        <f aca="false">IF(COUNT(I53,K53,M53,O53,Q53,S53,U53,W53,Y53,AA53)=0,"N/A",MIN(I53,K53,M53,O53,Q53,S53,U53,W53,Y53,AA53))</f>
        <v>7.81818181818182</v>
      </c>
      <c r="AC53" s="43" t="n">
        <f aca="false">IF(OR(D53="",AB53="",AB53="N/A"),"N/A",D53/AB53-1)</f>
        <v>-0.744186046511628</v>
      </c>
      <c r="AD53" s="43" t="str">
        <f aca="false">IF(OR(F53="",AB53="",AB53="N/A"),"N/A",F53/AB53-1)</f>
        <v>N/A</v>
      </c>
      <c r="AE53" s="41" t="s">
        <v>298</v>
      </c>
    </row>
    <row r="54" customFormat="false" ht="63.75" hidden="false" customHeight="true" outlineLevel="0" collapsed="false">
      <c r="A54" s="1" t="s">
        <v>225</v>
      </c>
      <c r="B54" s="1" t="s">
        <v>123</v>
      </c>
      <c r="C54" s="41" t="s">
        <v>124</v>
      </c>
      <c r="D54" s="11" t="n">
        <f aca="false">'RSEA vs Quoted Comparison'!F54</f>
        <v>2.67</v>
      </c>
      <c r="E54" s="11" t="n">
        <f aca="false">'RSEA vs Quoted Comparison'!G54</f>
        <v>2.937</v>
      </c>
      <c r="F54" s="11" t="str">
        <f aca="false">IF('RSEA vs Quoted Comparison'!H54="","",'RSEA vs Quoted Comparison'!H54)</f>
        <v/>
      </c>
      <c r="G54" s="11" t="str">
        <f aca="false">IF('RSEA vs Quoted Comparison'!I54="","",'RSEA vs Quoted Comparison'!I54)</f>
        <v/>
      </c>
      <c r="H54" s="11" t="n">
        <f aca="false">'RSEA vs Quoted Comparison'!D54</f>
        <v>32.99</v>
      </c>
      <c r="I54" s="11" t="n">
        <f aca="false">'RSEA vs Quoted Comparison'!E54</f>
        <v>29.9909090909091</v>
      </c>
      <c r="J54" s="42" t="s">
        <v>257</v>
      </c>
      <c r="K54" s="42" t="s">
        <v>257</v>
      </c>
      <c r="L54" s="42" t="s">
        <v>257</v>
      </c>
      <c r="M54" s="42" t="s">
        <v>257</v>
      </c>
      <c r="N54" s="42" t="s">
        <v>257</v>
      </c>
      <c r="O54" s="42" t="s">
        <v>257</v>
      </c>
      <c r="P54" s="42" t="s">
        <v>257</v>
      </c>
      <c r="Q54" s="42" t="s">
        <v>257</v>
      </c>
      <c r="R54" s="42" t="s">
        <v>257</v>
      </c>
      <c r="S54" s="42" t="s">
        <v>257</v>
      </c>
      <c r="T54" s="42" t="s">
        <v>257</v>
      </c>
      <c r="U54" s="42" t="s">
        <v>257</v>
      </c>
      <c r="V54" s="42" t="s">
        <v>257</v>
      </c>
      <c r="W54" s="42" t="s">
        <v>257</v>
      </c>
      <c r="X54" s="42" t="s">
        <v>257</v>
      </c>
      <c r="Y54" s="42" t="s">
        <v>257</v>
      </c>
      <c r="Z54" s="42"/>
      <c r="AA54" s="42"/>
      <c r="AB54" s="11" t="n">
        <f aca="false">IF(COUNT(I54,K54,M54,O54,Q54,S54,U54,W54,Y54,AA54)=0,"N/A",MIN(I54,K54,M54,O54,Q54,S54,U54,W54,Y54,AA54))</f>
        <v>29.9909090909091</v>
      </c>
      <c r="AC54" s="43" t="n">
        <f aca="false">IF(OR(D54="",AB54="",AB54="N/A"),"N/A",D54/AB54-1)</f>
        <v>-0.910973022127918</v>
      </c>
      <c r="AD54" s="43" t="str">
        <f aca="false">IF(OR(F54="",AB54="",AB54="N/A"),"N/A",F54/AB54-1)</f>
        <v>N/A</v>
      </c>
      <c r="AE54" s="41" t="s">
        <v>293</v>
      </c>
    </row>
    <row r="55" customFormat="false" ht="63.75" hidden="false" customHeight="true" outlineLevel="0" collapsed="false">
      <c r="A55" s="1" t="s">
        <v>225</v>
      </c>
      <c r="B55" s="1" t="s">
        <v>125</v>
      </c>
      <c r="C55" s="41" t="s">
        <v>126</v>
      </c>
      <c r="D55" s="11" t="n">
        <f aca="false">'RSEA vs Quoted Comparison'!F55</f>
        <v>4.01</v>
      </c>
      <c r="E55" s="11" t="n">
        <f aca="false">'RSEA vs Quoted Comparison'!G55</f>
        <v>4.411</v>
      </c>
      <c r="F55" s="11" t="str">
        <f aca="false">IF('RSEA vs Quoted Comparison'!H55="","",'RSEA vs Quoted Comparison'!H55)</f>
        <v/>
      </c>
      <c r="G55" s="11" t="str">
        <f aca="false">IF('RSEA vs Quoted Comparison'!I55="","",'RSEA vs Quoted Comparison'!I55)</f>
        <v/>
      </c>
      <c r="H55" s="11" t="n">
        <f aca="false">'RSEA vs Quoted Comparison'!D55</f>
        <v>37.99</v>
      </c>
      <c r="I55" s="11" t="n">
        <f aca="false">'RSEA vs Quoted Comparison'!E55</f>
        <v>34.5363636363636</v>
      </c>
      <c r="J55" s="42" t="s">
        <v>257</v>
      </c>
      <c r="K55" s="42" t="s">
        <v>257</v>
      </c>
      <c r="L55" s="42" t="s">
        <v>257</v>
      </c>
      <c r="M55" s="42" t="s">
        <v>257</v>
      </c>
      <c r="N55" s="42" t="s">
        <v>257</v>
      </c>
      <c r="O55" s="42" t="s">
        <v>257</v>
      </c>
      <c r="P55" s="42" t="s">
        <v>257</v>
      </c>
      <c r="Q55" s="42" t="s">
        <v>257</v>
      </c>
      <c r="R55" s="42" t="s">
        <v>257</v>
      </c>
      <c r="S55" s="42" t="s">
        <v>257</v>
      </c>
      <c r="T55" s="42" t="s">
        <v>257</v>
      </c>
      <c r="U55" s="42" t="s">
        <v>257</v>
      </c>
      <c r="V55" s="42" t="s">
        <v>257</v>
      </c>
      <c r="W55" s="42" t="s">
        <v>257</v>
      </c>
      <c r="X55" s="42" t="s">
        <v>257</v>
      </c>
      <c r="Y55" s="42" t="s">
        <v>257</v>
      </c>
      <c r="Z55" s="42"/>
      <c r="AA55" s="42"/>
      <c r="AB55" s="11" t="n">
        <f aca="false">IF(COUNT(I55,K55,M55,O55,Q55,S55,U55,W55,Y55,AA55)=0,"N/A",MIN(I55,K55,M55,O55,Q55,S55,U55,W55,Y55,AA55))</f>
        <v>34.5363636363636</v>
      </c>
      <c r="AC55" s="43" t="n">
        <f aca="false">IF(OR(D55="",AB55="",AB55="N/A"),"N/A",D55/AB55-1)</f>
        <v>-0.883890497499342</v>
      </c>
      <c r="AD55" s="43" t="str">
        <f aca="false">IF(OR(F55="",AB55="",AB55="N/A"),"N/A",F55/AB55-1)</f>
        <v>N/A</v>
      </c>
      <c r="AE55" s="41" t="s">
        <v>293</v>
      </c>
    </row>
    <row r="56" customFormat="false" ht="63.75" hidden="false" customHeight="true" outlineLevel="0" collapsed="false">
      <c r="A56" s="1" t="s">
        <v>225</v>
      </c>
      <c r="B56" s="1" t="s">
        <v>129</v>
      </c>
      <c r="C56" s="41" t="s">
        <v>130</v>
      </c>
      <c r="D56" s="11" t="n">
        <f aca="false">'RSEA vs Quoted Comparison'!F56</f>
        <v>10.69</v>
      </c>
      <c r="E56" s="11" t="n">
        <f aca="false">'RSEA vs Quoted Comparison'!G56</f>
        <v>11.759</v>
      </c>
      <c r="F56" s="11" t="str">
        <f aca="false">IF('RSEA vs Quoted Comparison'!H56="","",'RSEA vs Quoted Comparison'!H56)</f>
        <v/>
      </c>
      <c r="G56" s="11" t="str">
        <f aca="false">IF('RSEA vs Quoted Comparison'!I56="","",'RSEA vs Quoted Comparison'!I56)</f>
        <v/>
      </c>
      <c r="H56" s="11" t="n">
        <f aca="false">'RSEA vs Quoted Comparison'!D56</f>
        <v>37.99</v>
      </c>
      <c r="I56" s="11" t="n">
        <f aca="false">'RSEA vs Quoted Comparison'!E56</f>
        <v>34.5363636363636</v>
      </c>
      <c r="J56" s="42" t="s">
        <v>257</v>
      </c>
      <c r="K56" s="42" t="s">
        <v>257</v>
      </c>
      <c r="L56" s="42" t="s">
        <v>257</v>
      </c>
      <c r="M56" s="42" t="s">
        <v>257</v>
      </c>
      <c r="N56" s="42" t="s">
        <v>257</v>
      </c>
      <c r="O56" s="42" t="s">
        <v>257</v>
      </c>
      <c r="P56" s="42" t="s">
        <v>257</v>
      </c>
      <c r="Q56" s="42" t="s">
        <v>257</v>
      </c>
      <c r="R56" s="42" t="s">
        <v>257</v>
      </c>
      <c r="S56" s="42" t="s">
        <v>257</v>
      </c>
      <c r="T56" s="42" t="s">
        <v>257</v>
      </c>
      <c r="U56" s="42" t="s">
        <v>257</v>
      </c>
      <c r="V56" s="42" t="s">
        <v>257</v>
      </c>
      <c r="W56" s="42" t="s">
        <v>257</v>
      </c>
      <c r="X56" s="42" t="s">
        <v>257</v>
      </c>
      <c r="Y56" s="42" t="s">
        <v>257</v>
      </c>
      <c r="Z56" s="42"/>
      <c r="AA56" s="42"/>
      <c r="AB56" s="11" t="n">
        <f aca="false">IF(COUNT(I56,K56,M56,O56,Q56,S56,U56,W56,Y56,AA56)=0,"N/A",MIN(I56,K56,M56,O56,Q56,S56,U56,W56,Y56,AA56))</f>
        <v>34.5363636363636</v>
      </c>
      <c r="AC56" s="43" t="n">
        <f aca="false">IF(OR(D56="",AB56="",AB56="N/A"),"N/A",D56/AB56-1)</f>
        <v>-0.690471176625428</v>
      </c>
      <c r="AD56" s="43" t="str">
        <f aca="false">IF(OR(F56="",AB56="",AB56="N/A"),"N/A",F56/AB56-1)</f>
        <v>N/A</v>
      </c>
      <c r="AE56" s="41" t="s">
        <v>293</v>
      </c>
    </row>
    <row r="57" customFormat="false" ht="63.75" hidden="false" customHeight="true" outlineLevel="0" collapsed="false">
      <c r="A57" s="1" t="s">
        <v>225</v>
      </c>
      <c r="B57" s="1" t="s">
        <v>133</v>
      </c>
      <c r="C57" s="41" t="s">
        <v>134</v>
      </c>
      <c r="D57" s="11" t="n">
        <f aca="false">'RSEA vs Quoted Comparison'!F57</f>
        <v>10.69</v>
      </c>
      <c r="E57" s="11" t="n">
        <f aca="false">'RSEA vs Quoted Comparison'!G57</f>
        <v>11.759</v>
      </c>
      <c r="F57" s="11" t="str">
        <f aca="false">IF('RSEA vs Quoted Comparison'!H57="","",'RSEA vs Quoted Comparison'!H57)</f>
        <v/>
      </c>
      <c r="G57" s="11" t="str">
        <f aca="false">IF('RSEA vs Quoted Comparison'!I57="","",'RSEA vs Quoted Comparison'!I57)</f>
        <v/>
      </c>
      <c r="H57" s="11" t="n">
        <f aca="false">'RSEA vs Quoted Comparison'!D57</f>
        <v>37.99</v>
      </c>
      <c r="I57" s="11" t="n">
        <f aca="false">'RSEA vs Quoted Comparison'!E57</f>
        <v>34.5363636363636</v>
      </c>
      <c r="J57" s="42" t="s">
        <v>257</v>
      </c>
      <c r="K57" s="42" t="s">
        <v>257</v>
      </c>
      <c r="L57" s="42" t="s">
        <v>257</v>
      </c>
      <c r="M57" s="42" t="s">
        <v>257</v>
      </c>
      <c r="N57" s="42" t="s">
        <v>257</v>
      </c>
      <c r="O57" s="42" t="s">
        <v>257</v>
      </c>
      <c r="P57" s="42" t="s">
        <v>257</v>
      </c>
      <c r="Q57" s="42" t="s">
        <v>257</v>
      </c>
      <c r="R57" s="42" t="s">
        <v>257</v>
      </c>
      <c r="S57" s="42" t="s">
        <v>257</v>
      </c>
      <c r="T57" s="42" t="s">
        <v>257</v>
      </c>
      <c r="U57" s="42" t="s">
        <v>257</v>
      </c>
      <c r="V57" s="42" t="s">
        <v>257</v>
      </c>
      <c r="W57" s="42" t="s">
        <v>257</v>
      </c>
      <c r="X57" s="42" t="s">
        <v>257</v>
      </c>
      <c r="Y57" s="42" t="s">
        <v>257</v>
      </c>
      <c r="Z57" s="42"/>
      <c r="AA57" s="42"/>
      <c r="AB57" s="11" t="n">
        <f aca="false">IF(COUNT(I57,K57,M57,O57,Q57,S57,U57,W57,Y57,AA57)=0,"N/A",MIN(I57,K57,M57,O57,Q57,S57,U57,W57,Y57,AA57))</f>
        <v>34.5363636363636</v>
      </c>
      <c r="AC57" s="43" t="n">
        <f aca="false">IF(OR(D57="",AB57="",AB57="N/A"),"N/A",D57/AB57-1)</f>
        <v>-0.690471176625428</v>
      </c>
      <c r="AD57" s="43" t="str">
        <f aca="false">IF(OR(F57="",AB57="",AB57="N/A"),"N/A",F57/AB57-1)</f>
        <v>N/A</v>
      </c>
      <c r="AE57" s="41" t="s">
        <v>293</v>
      </c>
    </row>
    <row r="58" customFormat="false" ht="63.75" hidden="false" customHeight="true" outlineLevel="0" collapsed="false">
      <c r="A58" s="1" t="s">
        <v>225</v>
      </c>
      <c r="B58" s="1" t="s">
        <v>135</v>
      </c>
      <c r="C58" s="41" t="s">
        <v>136</v>
      </c>
      <c r="D58" s="11" t="n">
        <f aca="false">'RSEA vs Quoted Comparison'!F58</f>
        <v>10.69</v>
      </c>
      <c r="E58" s="11" t="n">
        <f aca="false">'RSEA vs Quoted Comparison'!G58</f>
        <v>11.759</v>
      </c>
      <c r="F58" s="11" t="str">
        <f aca="false">IF('RSEA vs Quoted Comparison'!H58="","",'RSEA vs Quoted Comparison'!H58)</f>
        <v/>
      </c>
      <c r="G58" s="11" t="str">
        <f aca="false">IF('RSEA vs Quoted Comparison'!I58="","",'RSEA vs Quoted Comparison'!I58)</f>
        <v/>
      </c>
      <c r="H58" s="11" t="n">
        <f aca="false">'RSEA vs Quoted Comparison'!D58</f>
        <v>44.99</v>
      </c>
      <c r="I58" s="11" t="n">
        <f aca="false">'RSEA vs Quoted Comparison'!E58</f>
        <v>40.9</v>
      </c>
      <c r="J58" s="42" t="s">
        <v>257</v>
      </c>
      <c r="K58" s="42" t="s">
        <v>257</v>
      </c>
      <c r="L58" s="42" t="s">
        <v>257</v>
      </c>
      <c r="M58" s="42" t="s">
        <v>257</v>
      </c>
      <c r="N58" s="42" t="s">
        <v>257</v>
      </c>
      <c r="O58" s="42" t="s">
        <v>257</v>
      </c>
      <c r="P58" s="42" t="s">
        <v>257</v>
      </c>
      <c r="Q58" s="42" t="s">
        <v>257</v>
      </c>
      <c r="R58" s="42" t="s">
        <v>257</v>
      </c>
      <c r="S58" s="42" t="s">
        <v>257</v>
      </c>
      <c r="T58" s="42" t="s">
        <v>257</v>
      </c>
      <c r="U58" s="42" t="s">
        <v>257</v>
      </c>
      <c r="V58" s="42" t="s">
        <v>257</v>
      </c>
      <c r="W58" s="42" t="s">
        <v>257</v>
      </c>
      <c r="X58" s="42" t="s">
        <v>257</v>
      </c>
      <c r="Y58" s="42" t="s">
        <v>257</v>
      </c>
      <c r="Z58" s="42"/>
      <c r="AA58" s="42"/>
      <c r="AB58" s="11" t="n">
        <f aca="false">IF(COUNT(I58,K58,M58,O58,Q58,S58,U58,W58,Y58,AA58)=0,"N/A",MIN(I58,K58,M58,O58,Q58,S58,U58,W58,Y58,AA58))</f>
        <v>40.9</v>
      </c>
      <c r="AC58" s="43" t="n">
        <f aca="false">IF(OR(D58="",AB58="",AB58="N/A"),"N/A",D58/AB58-1)</f>
        <v>-0.738630806845966</v>
      </c>
      <c r="AD58" s="43" t="str">
        <f aca="false">IF(OR(F58="",AB58="",AB58="N/A"),"N/A",F58/AB58-1)</f>
        <v>N/A</v>
      </c>
      <c r="AE58" s="41" t="s">
        <v>293</v>
      </c>
    </row>
    <row r="59" customFormat="false" ht="63.75" hidden="false" customHeight="true" outlineLevel="0" collapsed="false">
      <c r="A59" s="1" t="s">
        <v>225</v>
      </c>
      <c r="B59" s="1" t="s">
        <v>139</v>
      </c>
      <c r="C59" s="41" t="s">
        <v>140</v>
      </c>
      <c r="D59" s="11" t="n">
        <f aca="false">'RSEA vs Quoted Comparison'!F59</f>
        <v>2.89</v>
      </c>
      <c r="E59" s="11" t="n">
        <f aca="false">'RSEA vs Quoted Comparison'!G59</f>
        <v>3.179</v>
      </c>
      <c r="F59" s="11" t="str">
        <f aca="false">IF('RSEA vs Quoted Comparison'!H59="","",'RSEA vs Quoted Comparison'!H59)</f>
        <v/>
      </c>
      <c r="G59" s="11" t="str">
        <f aca="false">IF('RSEA vs Quoted Comparison'!I59="","",'RSEA vs Quoted Comparison'!I59)</f>
        <v/>
      </c>
      <c r="H59" s="11" t="n">
        <f aca="false">'RSEA vs Quoted Comparison'!D59</f>
        <v>32.99</v>
      </c>
      <c r="I59" s="11" t="n">
        <f aca="false">'RSEA vs Quoted Comparison'!E59</f>
        <v>29.9909090909091</v>
      </c>
      <c r="J59" s="42" t="s">
        <v>257</v>
      </c>
      <c r="K59" s="42" t="s">
        <v>257</v>
      </c>
      <c r="L59" s="42" t="s">
        <v>257</v>
      </c>
      <c r="M59" s="42" t="s">
        <v>257</v>
      </c>
      <c r="N59" s="42" t="s">
        <v>257</v>
      </c>
      <c r="O59" s="42" t="s">
        <v>257</v>
      </c>
      <c r="P59" s="42" t="s">
        <v>257</v>
      </c>
      <c r="Q59" s="42" t="s">
        <v>257</v>
      </c>
      <c r="R59" s="42" t="s">
        <v>257</v>
      </c>
      <c r="S59" s="42" t="s">
        <v>257</v>
      </c>
      <c r="T59" s="42" t="s">
        <v>257</v>
      </c>
      <c r="U59" s="42" t="s">
        <v>257</v>
      </c>
      <c r="V59" s="42" t="s">
        <v>257</v>
      </c>
      <c r="W59" s="42" t="s">
        <v>257</v>
      </c>
      <c r="X59" s="42" t="s">
        <v>257</v>
      </c>
      <c r="Y59" s="42" t="s">
        <v>257</v>
      </c>
      <c r="Z59" s="42"/>
      <c r="AA59" s="42"/>
      <c r="AB59" s="11" t="n">
        <f aca="false">IF(COUNT(I59,K59,M59,O59,Q59,S59,U59,W59,Y59,AA59)=0,"N/A",MIN(I59,K59,M59,O59,Q59,S59,U59,W59,Y59,AA59))</f>
        <v>29.9909090909091</v>
      </c>
      <c r="AC59" s="43" t="n">
        <f aca="false">IF(OR(D59="",AB59="",AB59="N/A"),"N/A",D59/AB59-1)</f>
        <v>-0.903637465898757</v>
      </c>
      <c r="AD59" s="43" t="str">
        <f aca="false">IF(OR(F59="",AB59="",AB59="N/A"),"N/A",F59/AB59-1)</f>
        <v>N/A</v>
      </c>
      <c r="AE59" s="41" t="s">
        <v>293</v>
      </c>
    </row>
    <row r="60" customFormat="false" ht="63.75" hidden="false" customHeight="true" outlineLevel="0" collapsed="false">
      <c r="A60" s="1" t="s">
        <v>225</v>
      </c>
      <c r="B60" s="1" t="s">
        <v>143</v>
      </c>
      <c r="C60" s="41" t="s">
        <v>144</v>
      </c>
      <c r="D60" s="11" t="n">
        <f aca="false">'RSEA vs Quoted Comparison'!F60</f>
        <v>1.94</v>
      </c>
      <c r="E60" s="11" t="n">
        <f aca="false">'RSEA vs Quoted Comparison'!G60</f>
        <v>2.134</v>
      </c>
      <c r="F60" s="11" t="str">
        <f aca="false">IF('RSEA vs Quoted Comparison'!H60="","",'RSEA vs Quoted Comparison'!H60)</f>
        <v/>
      </c>
      <c r="G60" s="11" t="str">
        <f aca="false">IF('RSEA vs Quoted Comparison'!I60="","",'RSEA vs Quoted Comparison'!I60)</f>
        <v/>
      </c>
      <c r="H60" s="11" t="n">
        <f aca="false">'RSEA vs Quoted Comparison'!D60</f>
        <v>49.99</v>
      </c>
      <c r="I60" s="11" t="n">
        <f aca="false">'RSEA vs Quoted Comparison'!E60</f>
        <v>45.4454545454545</v>
      </c>
      <c r="J60" s="42" t="s">
        <v>257</v>
      </c>
      <c r="K60" s="42" t="s">
        <v>257</v>
      </c>
      <c r="L60" s="42" t="s">
        <v>257</v>
      </c>
      <c r="M60" s="42" t="s">
        <v>257</v>
      </c>
      <c r="N60" s="42" t="s">
        <v>257</v>
      </c>
      <c r="O60" s="42" t="s">
        <v>257</v>
      </c>
      <c r="P60" s="42" t="s">
        <v>257</v>
      </c>
      <c r="Q60" s="42" t="s">
        <v>257</v>
      </c>
      <c r="R60" s="42" t="s">
        <v>257</v>
      </c>
      <c r="S60" s="42" t="s">
        <v>257</v>
      </c>
      <c r="T60" s="42" t="s">
        <v>257</v>
      </c>
      <c r="U60" s="42" t="s">
        <v>257</v>
      </c>
      <c r="V60" s="42" t="s">
        <v>257</v>
      </c>
      <c r="W60" s="42" t="s">
        <v>257</v>
      </c>
      <c r="X60" s="42" t="s">
        <v>257</v>
      </c>
      <c r="Y60" s="42" t="s">
        <v>257</v>
      </c>
      <c r="Z60" s="42"/>
      <c r="AA60" s="42"/>
      <c r="AB60" s="11" t="n">
        <f aca="false">IF(COUNT(I60,K60,M60,O60,Q60,S60,U60,W60,Y60,AA60)=0,"N/A",MIN(I60,K60,M60,O60,Q60,S60,U60,W60,Y60,AA60))</f>
        <v>45.4454545454545</v>
      </c>
      <c r="AC60" s="43" t="n">
        <f aca="false">IF(OR(D60="",AB60="",AB60="N/A"),"N/A",D60/AB60-1)</f>
        <v>-0.957311462292458</v>
      </c>
      <c r="AD60" s="43" t="str">
        <f aca="false">IF(OR(F60="",AB60="",AB60="N/A"),"N/A",F60/AB60-1)</f>
        <v>N/A</v>
      </c>
      <c r="AE60" s="41" t="s">
        <v>293</v>
      </c>
    </row>
    <row r="61" customFormat="false" ht="63.75" hidden="false" customHeight="true" outlineLevel="0" collapsed="false">
      <c r="A61" s="1" t="s">
        <v>225</v>
      </c>
      <c r="B61" s="1" t="s">
        <v>149</v>
      </c>
      <c r="C61" s="41" t="s">
        <v>150</v>
      </c>
      <c r="D61" s="11" t="n">
        <f aca="false">'RSEA vs Quoted Comparison'!F61</f>
        <v>10.69</v>
      </c>
      <c r="E61" s="11" t="n">
        <f aca="false">'RSEA vs Quoted Comparison'!G61</f>
        <v>11.759</v>
      </c>
      <c r="F61" s="11" t="str">
        <f aca="false">IF('RSEA vs Quoted Comparison'!H61="","",'RSEA vs Quoted Comparison'!H61)</f>
        <v/>
      </c>
      <c r="G61" s="11" t="str">
        <f aca="false">IF('RSEA vs Quoted Comparison'!I61="","",'RSEA vs Quoted Comparison'!I61)</f>
        <v/>
      </c>
      <c r="H61" s="11" t="n">
        <f aca="false">'RSEA vs Quoted Comparison'!D61</f>
        <v>49.99</v>
      </c>
      <c r="I61" s="11" t="n">
        <f aca="false">'RSEA vs Quoted Comparison'!E61</f>
        <v>45.4454545454545</v>
      </c>
      <c r="J61" s="42" t="s">
        <v>257</v>
      </c>
      <c r="K61" s="42" t="s">
        <v>257</v>
      </c>
      <c r="L61" s="42" t="s">
        <v>257</v>
      </c>
      <c r="M61" s="42" t="s">
        <v>257</v>
      </c>
      <c r="N61" s="42" t="s">
        <v>257</v>
      </c>
      <c r="O61" s="42" t="s">
        <v>257</v>
      </c>
      <c r="P61" s="42" t="s">
        <v>257</v>
      </c>
      <c r="Q61" s="42" t="s">
        <v>257</v>
      </c>
      <c r="R61" s="42" t="s">
        <v>257</v>
      </c>
      <c r="S61" s="42" t="s">
        <v>257</v>
      </c>
      <c r="T61" s="42" t="s">
        <v>257</v>
      </c>
      <c r="U61" s="42" t="s">
        <v>257</v>
      </c>
      <c r="V61" s="42" t="s">
        <v>257</v>
      </c>
      <c r="W61" s="42" t="s">
        <v>257</v>
      </c>
      <c r="X61" s="42" t="s">
        <v>257</v>
      </c>
      <c r="Y61" s="42" t="s">
        <v>257</v>
      </c>
      <c r="Z61" s="42"/>
      <c r="AA61" s="42"/>
      <c r="AB61" s="11" t="n">
        <f aca="false">IF(COUNT(I61,K61,M61,O61,Q61,S61,U61,W61,Y61,AA61)=0,"N/A",MIN(I61,K61,M61,O61,Q61,S61,U61,W61,Y61,AA61))</f>
        <v>45.4454545454545</v>
      </c>
      <c r="AC61" s="43" t="n">
        <f aca="false">IF(OR(D61="",AB61="",AB61="N/A"),"N/A",D61/AB61-1)</f>
        <v>-0.764772954590918</v>
      </c>
      <c r="AD61" s="43" t="str">
        <f aca="false">IF(OR(F61="",AB61="",AB61="N/A"),"N/A",F61/AB61-1)</f>
        <v>N/A</v>
      </c>
      <c r="AE61" s="41" t="s">
        <v>293</v>
      </c>
    </row>
    <row r="62" customFormat="false" ht="63.75" hidden="false" customHeight="true" outlineLevel="0" collapsed="false">
      <c r="A62" s="1" t="s">
        <v>225</v>
      </c>
      <c r="B62" s="1" t="s">
        <v>155</v>
      </c>
      <c r="C62" s="41" t="s">
        <v>156</v>
      </c>
      <c r="D62" s="11" t="n">
        <f aca="false">'RSEA vs Quoted Comparison'!F62</f>
        <v>3.201</v>
      </c>
      <c r="E62" s="11" t="n">
        <f aca="false">'RSEA vs Quoted Comparison'!G62</f>
        <v>3.5211</v>
      </c>
      <c r="F62" s="11" t="str">
        <f aca="false">IF('RSEA vs Quoted Comparison'!H62="","",'RSEA vs Quoted Comparison'!H62)</f>
        <v/>
      </c>
      <c r="G62" s="11" t="str">
        <f aca="false">IF('RSEA vs Quoted Comparison'!I62="","",'RSEA vs Quoted Comparison'!I62)</f>
        <v/>
      </c>
      <c r="H62" s="11" t="n">
        <f aca="false">'RSEA vs Quoted Comparison'!D62</f>
        <v>32.99</v>
      </c>
      <c r="I62" s="11" t="n">
        <f aca="false">'RSEA vs Quoted Comparison'!E62</f>
        <v>29.9909090909091</v>
      </c>
      <c r="J62" s="42" t="s">
        <v>257</v>
      </c>
      <c r="K62" s="42" t="s">
        <v>257</v>
      </c>
      <c r="L62" s="42" t="s">
        <v>257</v>
      </c>
      <c r="M62" s="42" t="s">
        <v>257</v>
      </c>
      <c r="N62" s="42" t="s">
        <v>257</v>
      </c>
      <c r="O62" s="42" t="s">
        <v>257</v>
      </c>
      <c r="P62" s="42" t="s">
        <v>257</v>
      </c>
      <c r="Q62" s="42" t="s">
        <v>257</v>
      </c>
      <c r="R62" s="42" t="s">
        <v>257</v>
      </c>
      <c r="S62" s="42" t="s">
        <v>257</v>
      </c>
      <c r="T62" s="42" t="s">
        <v>257</v>
      </c>
      <c r="U62" s="42" t="s">
        <v>257</v>
      </c>
      <c r="V62" s="42" t="s">
        <v>257</v>
      </c>
      <c r="W62" s="42" t="s">
        <v>257</v>
      </c>
      <c r="X62" s="42" t="s">
        <v>257</v>
      </c>
      <c r="Y62" s="42" t="s">
        <v>257</v>
      </c>
      <c r="Z62" s="42"/>
      <c r="AA62" s="42"/>
      <c r="AB62" s="11" t="n">
        <f aca="false">IF(COUNT(I62,K62,M62,O62,Q62,S62,U62,W62,Y62,AA62)=0,"N/A",MIN(I62,K62,M62,O62,Q62,S62,U62,W62,Y62,AA62))</f>
        <v>29.9909090909091</v>
      </c>
      <c r="AC62" s="43" t="n">
        <f aca="false">IF(OR(D62="",AB62="",AB62="N/A"),"N/A",D62/AB62-1)</f>
        <v>-0.893267656865717</v>
      </c>
      <c r="AD62" s="43" t="str">
        <f aca="false">IF(OR(F62="",AB62="",AB62="N/A"),"N/A",F62/AB62-1)</f>
        <v>N/A</v>
      </c>
      <c r="AE62" s="41" t="s">
        <v>293</v>
      </c>
    </row>
    <row r="63" customFormat="false" ht="63.75" hidden="false" customHeight="true" outlineLevel="0" collapsed="false">
      <c r="A63" s="1" t="s">
        <v>225</v>
      </c>
      <c r="B63" s="1" t="s">
        <v>157</v>
      </c>
      <c r="C63" s="41" t="s">
        <v>158</v>
      </c>
      <c r="D63" s="11" t="n">
        <f aca="false">'RSEA vs Quoted Comparison'!F63</f>
        <v>5.35</v>
      </c>
      <c r="E63" s="11" t="n">
        <f aca="false">'RSEA vs Quoted Comparison'!G63</f>
        <v>5.885</v>
      </c>
      <c r="F63" s="11" t="str">
        <f aca="false">IF('RSEA vs Quoted Comparison'!H63="","",'RSEA vs Quoted Comparison'!H63)</f>
        <v/>
      </c>
      <c r="G63" s="11" t="str">
        <f aca="false">IF('RSEA vs Quoted Comparison'!I63="","",'RSEA vs Quoted Comparison'!I63)</f>
        <v/>
      </c>
      <c r="H63" s="11" t="n">
        <f aca="false">'RSEA vs Quoted Comparison'!D63</f>
        <v>32.99</v>
      </c>
      <c r="I63" s="11" t="n">
        <f aca="false">'RSEA vs Quoted Comparison'!E63</f>
        <v>29.9909090909091</v>
      </c>
      <c r="J63" s="42" t="s">
        <v>257</v>
      </c>
      <c r="K63" s="42" t="s">
        <v>257</v>
      </c>
      <c r="L63" s="42" t="s">
        <v>257</v>
      </c>
      <c r="M63" s="42" t="s">
        <v>257</v>
      </c>
      <c r="N63" s="42" t="s">
        <v>257</v>
      </c>
      <c r="O63" s="42" t="s">
        <v>257</v>
      </c>
      <c r="P63" s="42" t="s">
        <v>257</v>
      </c>
      <c r="Q63" s="42" t="s">
        <v>257</v>
      </c>
      <c r="R63" s="42" t="s">
        <v>257</v>
      </c>
      <c r="S63" s="42" t="s">
        <v>257</v>
      </c>
      <c r="T63" s="42" t="s">
        <v>257</v>
      </c>
      <c r="U63" s="42" t="s">
        <v>257</v>
      </c>
      <c r="V63" s="42" t="s">
        <v>257</v>
      </c>
      <c r="W63" s="42" t="s">
        <v>257</v>
      </c>
      <c r="X63" s="42" t="s">
        <v>257</v>
      </c>
      <c r="Y63" s="42" t="s">
        <v>257</v>
      </c>
      <c r="Z63" s="42"/>
      <c r="AA63" s="42"/>
      <c r="AB63" s="11" t="n">
        <f aca="false">IF(COUNT(I63,K63,M63,O63,Q63,S63,U63,W63,Y63,AA63)=0,"N/A",MIN(I63,K63,M63,O63,Q63,S63,U63,W63,Y63,AA63))</f>
        <v>29.9909090909091</v>
      </c>
      <c r="AC63" s="43" t="n">
        <f aca="false">IF(OR(D63="",AB63="",AB63="N/A"),"N/A",D63/AB63-1)</f>
        <v>-0.821612609881782</v>
      </c>
      <c r="AD63" s="43" t="str">
        <f aca="false">IF(OR(F63="",AB63="",AB63="N/A"),"N/A",F63/AB63-1)</f>
        <v>N/A</v>
      </c>
      <c r="AE63" s="41" t="s">
        <v>293</v>
      </c>
    </row>
    <row r="64" customFormat="false" ht="63.75" hidden="false" customHeight="true" outlineLevel="0" collapsed="false">
      <c r="A64" s="1" t="s">
        <v>225</v>
      </c>
      <c r="B64" s="1" t="s">
        <v>161</v>
      </c>
      <c r="C64" s="41" t="s">
        <v>162</v>
      </c>
      <c r="D64" s="11" t="n">
        <f aca="false">'RSEA vs Quoted Comparison'!F64</f>
        <v>2.67</v>
      </c>
      <c r="E64" s="11" t="n">
        <f aca="false">'RSEA vs Quoted Comparison'!G64</f>
        <v>2.937</v>
      </c>
      <c r="F64" s="11" t="str">
        <f aca="false">IF('RSEA vs Quoted Comparison'!H64="","",'RSEA vs Quoted Comparison'!H64)</f>
        <v/>
      </c>
      <c r="G64" s="11" t="str">
        <f aca="false">IF('RSEA vs Quoted Comparison'!I64="","",'RSEA vs Quoted Comparison'!I64)</f>
        <v/>
      </c>
      <c r="H64" s="11" t="n">
        <f aca="false">'RSEA vs Quoted Comparison'!D64</f>
        <v>32.99</v>
      </c>
      <c r="I64" s="11" t="n">
        <f aca="false">'RSEA vs Quoted Comparison'!E64</f>
        <v>29.9909090909091</v>
      </c>
      <c r="J64" s="42" t="s">
        <v>257</v>
      </c>
      <c r="K64" s="42" t="s">
        <v>257</v>
      </c>
      <c r="L64" s="42" t="s">
        <v>257</v>
      </c>
      <c r="M64" s="42" t="s">
        <v>257</v>
      </c>
      <c r="N64" s="42" t="s">
        <v>257</v>
      </c>
      <c r="O64" s="42" t="s">
        <v>257</v>
      </c>
      <c r="P64" s="42" t="s">
        <v>257</v>
      </c>
      <c r="Q64" s="42" t="s">
        <v>257</v>
      </c>
      <c r="R64" s="42" t="s">
        <v>257</v>
      </c>
      <c r="S64" s="42" t="s">
        <v>257</v>
      </c>
      <c r="T64" s="42" t="s">
        <v>257</v>
      </c>
      <c r="U64" s="42" t="s">
        <v>257</v>
      </c>
      <c r="V64" s="42" t="s">
        <v>257</v>
      </c>
      <c r="W64" s="42" t="s">
        <v>257</v>
      </c>
      <c r="X64" s="42" t="s">
        <v>257</v>
      </c>
      <c r="Y64" s="42" t="s">
        <v>257</v>
      </c>
      <c r="Z64" s="42"/>
      <c r="AA64" s="42"/>
      <c r="AB64" s="11" t="n">
        <f aca="false">IF(COUNT(I64,K64,M64,O64,Q64,S64,U64,W64,Y64,AA64)=0,"N/A",MIN(I64,K64,M64,O64,Q64,S64,U64,W64,Y64,AA64))</f>
        <v>29.9909090909091</v>
      </c>
      <c r="AC64" s="43" t="n">
        <f aca="false">IF(OR(D64="",AB64="",AB64="N/A"),"N/A",D64/AB64-1)</f>
        <v>-0.910973022127918</v>
      </c>
      <c r="AD64" s="43" t="str">
        <f aca="false">IF(OR(F64="",AB64="",AB64="N/A"),"N/A",F64/AB64-1)</f>
        <v>N/A</v>
      </c>
      <c r="AE64" s="41" t="s">
        <v>293</v>
      </c>
    </row>
    <row r="65" customFormat="false" ht="123.75" hidden="false" customHeight="true" outlineLevel="0" collapsed="false">
      <c r="A65" s="1" t="s">
        <v>225</v>
      </c>
      <c r="B65" s="1" t="s">
        <v>163</v>
      </c>
      <c r="C65" s="41" t="s">
        <v>164</v>
      </c>
      <c r="D65" s="11" t="n">
        <f aca="false">'RSEA vs Quoted Comparison'!F65</f>
        <v>10.69</v>
      </c>
      <c r="E65" s="11" t="n">
        <f aca="false">'RSEA vs Quoted Comparison'!G65</f>
        <v>11.759</v>
      </c>
      <c r="F65" s="11" t="str">
        <f aca="false">IF('RSEA vs Quoted Comparison'!H65="","",'RSEA vs Quoted Comparison'!H65)</f>
        <v/>
      </c>
      <c r="G65" s="11" t="str">
        <f aca="false">IF('RSEA vs Quoted Comparison'!I65="","",'RSEA vs Quoted Comparison'!I65)</f>
        <v/>
      </c>
      <c r="H65" s="11" t="n">
        <f aca="false">'RSEA vs Quoted Comparison'!D65</f>
        <v>32.99</v>
      </c>
      <c r="I65" s="11" t="n">
        <f aca="false">'RSEA vs Quoted Comparison'!E65</f>
        <v>29.9909090909091</v>
      </c>
      <c r="J65" s="42" t="s">
        <v>257</v>
      </c>
      <c r="K65" s="42" t="s">
        <v>257</v>
      </c>
      <c r="L65" s="42" t="s">
        <v>257</v>
      </c>
      <c r="M65" s="42" t="s">
        <v>257</v>
      </c>
      <c r="N65" s="11" t="n">
        <v>108.6</v>
      </c>
      <c r="O65" s="11" t="n">
        <f aca="false">N65/1.1</f>
        <v>98.7272727272727</v>
      </c>
      <c r="P65" s="42" t="s">
        <v>257</v>
      </c>
      <c r="Q65" s="42" t="s">
        <v>257</v>
      </c>
      <c r="R65" s="11" t="n">
        <v>30</v>
      </c>
      <c r="S65" s="11" t="n">
        <f aca="false">R65/1.1</f>
        <v>27.2727272727273</v>
      </c>
      <c r="T65" s="11" t="n">
        <v>33.19</v>
      </c>
      <c r="U65" s="11" t="n">
        <f aca="false">T65/1.1</f>
        <v>30.1727272727273</v>
      </c>
      <c r="V65" s="11" t="n">
        <f aca="false">W65*1.1</f>
        <v>40.15</v>
      </c>
      <c r="W65" s="11" t="n">
        <v>36.5</v>
      </c>
      <c r="X65" s="11" t="n">
        <v>40.59</v>
      </c>
      <c r="Y65" s="11" t="n">
        <f aca="false">X65/1.1</f>
        <v>36.9</v>
      </c>
      <c r="Z65" s="11" t="n">
        <v>35.06</v>
      </c>
      <c r="AA65" s="11" t="n">
        <f aca="false">Z65/1.1</f>
        <v>31.8727272727273</v>
      </c>
      <c r="AB65" s="11" t="n">
        <f aca="false">IF(COUNT(I65,K65,M65,O65,Q65,S65,U65,W65,Y65,AA65)=0,"N/A",MIN(I65,K65,M65,O65,Q65,S65,U65,W65,Y65,AA65))</f>
        <v>27.2727272727273</v>
      </c>
      <c r="AC65" s="43" t="n">
        <f aca="false">IF(OR(D65="",AB65="",AB65="N/A"),"N/A",D65/AB65-1)</f>
        <v>-0.608033333333333</v>
      </c>
      <c r="AD65" s="43" t="str">
        <f aca="false">IF(OR(F65="",AB65="",AB65="N/A"),"N/A",F65/AB65-1)</f>
        <v>N/A</v>
      </c>
      <c r="AE65" s="41" t="s">
        <v>299</v>
      </c>
    </row>
    <row r="67" customFormat="false" ht="15" hidden="false" customHeight="true" outlineLevel="0" collapsed="false">
      <c r="A67" s="44" t="s">
        <v>226</v>
      </c>
    </row>
    <row r="68" customFormat="false" ht="15" hidden="false" customHeight="true" outlineLevel="0" collapsed="false">
      <c r="A68" s="35" t="s">
        <v>300</v>
      </c>
      <c r="B68" s="35"/>
      <c r="C68" s="35"/>
      <c r="D68" s="45" t="n">
        <f aca="false">COUNTA(B6:B65)</f>
        <v>60</v>
      </c>
    </row>
    <row r="69" customFormat="false" ht="15" hidden="false" customHeight="true" outlineLevel="0" collapsed="false">
      <c r="A69" s="35" t="s">
        <v>301</v>
      </c>
      <c r="B69" s="35"/>
      <c r="C69" s="35"/>
      <c r="D69" s="45" t="n">
        <f aca="false">COUNTIF(K6:K65,"&gt;0")+COUNTIF(M6:M65,"&gt;0")+COUNTIF(O6:O65,"&gt;0")+COUNTIF(Q6:Q65,"&gt;0")+COUNTIF(S6:S65,"&gt;0")+COUNTIF(U6:U65,"&gt;0")+COUNTIF(W6:W65,"&gt;0")+COUNTIF(Y6:Y65,"&gt;0")+COUNTIF(AA6:AA65,"&gt;0")</f>
        <v>222</v>
      </c>
    </row>
    <row r="70" customFormat="false" ht="15" hidden="false" customHeight="true" outlineLevel="0" collapsed="false">
      <c r="A70" s="35" t="s">
        <v>302</v>
      </c>
      <c r="B70" s="35"/>
      <c r="C70" s="35"/>
      <c r="D70" s="45" t="n">
        <f aca="false">COUNTIF(AC6:AC65,"&lt;0")</f>
        <v>53</v>
      </c>
    </row>
    <row r="71" customFormat="false" ht="15" hidden="false" customHeight="true" outlineLevel="0" collapsed="false">
      <c r="A71" s="35" t="s">
        <v>303</v>
      </c>
      <c r="B71" s="35"/>
      <c r="C71" s="35"/>
      <c r="D71" s="45" t="n">
        <f aca="false">COUNTIF(AC6:AC65,"&gt;0")</f>
        <v>7</v>
      </c>
    </row>
    <row r="72" customFormat="false" ht="15" hidden="false" customHeight="true" outlineLevel="0" collapsed="false">
      <c r="A72" s="35" t="s">
        <v>304</v>
      </c>
      <c r="B72" s="35"/>
      <c r="C72" s="35"/>
      <c r="D72" s="46" t="n">
        <f aca="false">AVERAGE(AC6:AC65)</f>
        <v>-0.502241855727076</v>
      </c>
    </row>
    <row r="73" customFormat="false" ht="15" hidden="false" customHeight="true" outlineLevel="0" collapsed="false">
      <c r="A73" s="35" t="s">
        <v>305</v>
      </c>
      <c r="B73" s="35"/>
      <c r="C73" s="35"/>
      <c r="D73" s="46" t="n">
        <f aca="false">MEDIAN(AC6:AC65)</f>
        <v>-0.578387096774194</v>
      </c>
    </row>
    <row r="74" customFormat="false" ht="15" hidden="false" customHeight="true" outlineLevel="0" collapsed="false">
      <c r="A74" s="35" t="s">
        <v>306</v>
      </c>
      <c r="B74" s="35"/>
      <c r="C74" s="35"/>
      <c r="D74" s="45" t="n">
        <f aca="false">COUNTIF(AD6:AD65,"&lt;0")</f>
        <v>15</v>
      </c>
    </row>
    <row r="75" customFormat="false" ht="15" hidden="false" customHeight="true" outlineLevel="0" collapsed="false">
      <c r="A75" s="35" t="s">
        <v>307</v>
      </c>
      <c r="B75" s="35"/>
      <c r="C75" s="35"/>
      <c r="D75" s="45" t="n">
        <f aca="false">COUNTIF(AD6:AD65,"&gt;0")</f>
        <v>7</v>
      </c>
    </row>
    <row r="76" customFormat="false" ht="15" hidden="false" customHeight="true" outlineLevel="0" collapsed="false">
      <c r="A76" s="35" t="s">
        <v>308</v>
      </c>
      <c r="B76" s="35"/>
      <c r="C76" s="35"/>
      <c r="D76" s="46" t="n">
        <f aca="false">AVERAGE(AD6:AD65)</f>
        <v>-0.175684855421017</v>
      </c>
    </row>
    <row r="77" customFormat="false" ht="15" hidden="false" customHeight="true" outlineLevel="0" collapsed="false">
      <c r="A77" s="35" t="s">
        <v>309</v>
      </c>
      <c r="B77" s="35"/>
      <c r="C77" s="35"/>
      <c r="D77" s="46" t="n">
        <f aca="false">MEDIAN(AD6:AD65)</f>
        <v>-0.260605761397123</v>
      </c>
    </row>
  </sheetData>
  <mergeCells count="13">
    <mergeCell ref="A1:AE1"/>
    <mergeCell ref="A2:AE2"/>
    <mergeCell ref="A3:AE3"/>
    <mergeCell ref="A68:C68"/>
    <mergeCell ref="A69:C69"/>
    <mergeCell ref="A70:C70"/>
    <mergeCell ref="A71:C71"/>
    <mergeCell ref="A72:C72"/>
    <mergeCell ref="A73:C73"/>
    <mergeCell ref="A74:C74"/>
    <mergeCell ref="A75:C75"/>
    <mergeCell ref="A76:C76"/>
    <mergeCell ref="A77:C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2026-09-10T00:45:58Z</dcterms:created>
  <dc:creator/>
  <dc:description/>
  <dc:language>en-US</dc:language>
  <cp:lastModifiedBy>Jonathan Sum</cp:lastModifiedBy>
  <dcterms:modified xsi:type="dcterms:W3CDTF">2026-10-14T22:49:26Z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0x0101003FE630DE6F497643B2E4444171902CC8</vt:lpwstr>
  </property>
  <property fmtid="{D5CDD505-2E9C-101B-9397-08002B2CF9AE}" pid="3" name="MediaServiceImageTags">
    <vt:lpwstr/>
  </property>
</Properties>
</file>