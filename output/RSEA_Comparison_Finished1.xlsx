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<sst xmlns="http://schemas.openxmlformats.org/spreadsheetml/2006/main" count="1511" uniqueCount="356">
  <si>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</si>
  <si>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</si>
  <si>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</si>
  <si>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</si>
  <si>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</si>
  <si>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</si>
  <si>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</si>
  <si>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</si>
  <si>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</si>
  <si>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</si>
  <si>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</si>
  <si>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</si>
  <si>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</si>
  <si>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</si>
  <si>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</si>
  <si>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</si>
  <si>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</si>
  <si>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</si>
  <si>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</si>
  <si>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</si>
  <si>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</si>
  <si>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</si>
  <si>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</si>
  <si>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</si>
  <si>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</si>
  <si>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</si>
  <si>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</si>
  <si>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</si>
  <si>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</si>
  <si>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</si>
  <si>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</si>
  <si>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</si>
  <si>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</si>
  <si>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</si>
  <si>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</si>
  <si>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</si>
  <si>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</si>
  <si>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</si>
  <si>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</si>
  <si>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</si>
  <si>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</si>
  <si>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</si>
  <si>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</si>
  <si>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</si>
  <si>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</si>
  <si>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</si>
  <si>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</si>
  <si>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</si>
  <si>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</si>
  <si>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</si>
  <si>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</si>
  <si>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</si>
  <si>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</si>
  <si>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</si>
  <si>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</si>
  <si>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</si>
  <si>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</si>
  <si>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</si>
  <si>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</si>
  <si>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</si>
  <si>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</si>
  <si>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</si>
  <si>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</si>
  <si>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</si>
  <si>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</si>
  <si>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</si>
  <si>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</si>
  <si>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</si>
  <si>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</si>
  <si>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</si>
  <si>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</si>
  <si>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</si>
  <si>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</si>
  <si>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</si>
  <si>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</si>
  <si>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</si>
  <si>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</si>
  <si>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</si>
  <si>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</si>
  <si>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</si>
  <si>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</si>
  <si>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</si>
  <si>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</si>
  <si>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</si>
  <si>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</si>
  <si>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</si>
  <si>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</si>
  <si>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</si>
  <si>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</si>
  <si>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</si>
  <si>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</si>
  <si>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</si>
  <si>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</si>
  <si>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</si>
  <si>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</si>
  <si>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</si>
  <si>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</si>
  <si>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</si>
  <si>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</si>
  <si>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</si>
  <si>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</si>
  <si>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</si>
  <si>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</si>
  <si>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</si>
  <si>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</si>
  <si>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</si>
  <si>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</si>
  <si>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</si>
  <si>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</si>
  <si>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</si>
  <si>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</si>
  <si>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</si>
  <si>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</si>
  <si>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</si>
  <si>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</si>
  <si>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</si>
  <si>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</si>
  <si>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</si>
  <si>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</si>
  <si>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</si>
  <si>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</si>
  <si>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</si>
  <si>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</si>
  <si>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</si>
  <si>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</si>
  <si>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</si>
  <si>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</si>
  <si>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</si>
  <si>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</si>
  <si>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</si>
  <si>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</si>
  <si>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</si>
  <si>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</si>
  <si>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</si>
  <si>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</si>
  <si>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</si>
  <si>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</si>
  <si>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</si>
  <si>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</si>
  <si>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</si>
  <si>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</si>
  <si>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</si>
  <si>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</si>
  <si>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</si>
  <si>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</si>
  <si>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</si>
  <si>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</si>
  <si>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</si>
  <si>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</si>
  <si>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</si>
  <si>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</si>
  <si>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</si>
  <si>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</si>
  <si>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</si>
  <si>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</si>
  <si>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</si>
  <si>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</si>
  <si>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</si>
  <si>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</si>
  <si>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</si>
  <si>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</si>
  <si>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</si>
  <si>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</si>
  <si>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</si>
  <si>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</si>
  <si>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</si>
  <si>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</si>
  <si>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</si>
  <si>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</si>
  <si>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</si>
  <si>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</si>
  <si>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</si>
  <si>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</si>
  <si>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</si>
  <si>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</si>
  <si>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</si>
  <si>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</si>
  <si>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</si>
  <si>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</si>
  <si>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</si>
  <si>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</si>
  <si>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</si>
  <si>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</si>
  <si>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</si>
  <si>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</si>
  <si>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</si>
  <si>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</si>
  <si>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</si>
  <si>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</si>
  <si>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</si>
  <si>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</si>
  <si>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</si>
  <si>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</si>
  <si>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</si>
  <si>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</si>
  <si>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</si>
  <si>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</si>
  <si>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</si>
  <si>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</si>
  <si>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</si>
  <si>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</si>
  <si>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</si>
  <si>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</si>
  <si>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</si>
  <si>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</si>
  <si>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</si>
  <si>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</si>
  <si>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</si>
  <si>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</si>
  <si>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</si>
  <si>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</si>
  <si>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</si>
  <si>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</si>
  <si>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</si>
  <si>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</si>
  <si>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</si>
  <si>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</si>
  <si>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</si>
  <si>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</si>
  <si>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</si>
  <si>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</si>
  <si>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</si>
  <si>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</si>
  <si>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</si>
  <si>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</si>
  <si>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</si>
  <si>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</si>
  <si>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</si>
  <si>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</si>
  <si>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</si>
  <si>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</si>
  <si>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</si>
  <si>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10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</si>
  <si>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 Advanced Group (advancedgroup.com.au) was added on 15 October 2026 as a 10th competitor: its per-item prices are individually labelled 'Inc GST' (a generic 'all prices are GST exclusive' banner also appears on some of its category pages but conflicts with every per-item label, so it is treated as boilerplate and the per-item Inc-GST label is used, same convention as the other as-shown-inc retailers above). Its catalogue runs to 200+ paginated categories, so research there was a representative sample, not exhaustive — rows with no Advanced Group price are genuinely unresearched (left blank), not confirmed-absent. A deeper re-check pass (16 October 2026) went beyond the retailers' obvious category pages and crawled each site's full product sitemap (or, where blocked, its native search) to re-test every cell that had been marked blank/N/A — this filled in 140 previously-missing price points across 8 of the 9 researched competitors (Seton excluded, bot-blocked). Where no exact size/material match exists, the closest equivalent is used and flagged in the Notes column, same convention as before. Cells still blank after this deeper pass are either genuinely confirmed absent by the retailer (e.g. a whole product line it doesn't stock, confirmed via full-catalogue search) or remain simply unresearched — Notes/the original research log should be checked before assuming either way.</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</si>
  <si>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 advancedgroup.com.au (Advanced Group, captured 15 October 2026, representative sample only — see methodology above). Captured 14 October 2026 unless noted.</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</si>
  <si>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</si>
  <si>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</si>
  <si>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</si>
  <si>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</si>
  <si>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</si>
  <si>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</si>
  <si>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</si>
  <si>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</si>
  <si>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</si>
  <si>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</si>
  <si>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</si>
  <si>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</si>
  <si>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</si>
  <si>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</si>
  <si>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</si>
  <si>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</si>
  <si>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t>
  </si>
  <si>
    <t xml:space="preserve">Seton
(ex GST)</t>
  </si>
  <si>
    <t xml:space="preserve">Advanced Group
(inc GST, as shown)</t>
  </si>
  <si>
    <t xml:space="preserve">Advanced Group
(ex GST, calc.)</t>
  </si>
  <si>
    <t xml:space="preserve">Cheapest of RSEA +
10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</si>
  <si>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</si>
  <si>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</si>
  <si>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</si>
  <si>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</si>
  <si>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 | Advanced Group: Security Notice: This Building Under 24hr Surveillance, Metal 300x450(=450x300) (closest-equiv (wording)) https://www.advancedgroup.com.au/SURV-SIGN-THIS-BUILDING-IS-UNDER-24-MTL-p/843695.htm</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</si>
  <si>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</si>
  <si>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 | Advanced Group: generic 'Stop Sign - Class 1 Reflective on Aluminium' (R1-1 family); specific 600mm size/variant price not independently confirmed on listing page</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</si>
  <si>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 | Advanced Group: generic 'Give Way Sign' (R1-2 family, triangle); 750mm size/variant not independently 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</si>
  <si>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 | Advanced Group: Keep Left Sign A Size Aluminium 450x600mm (R2-3AL) (EXACT) https://www.advancedgroup.com.au/product-p/r2-3al.htm</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</si>
  <si>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 | Advanced Group: 'Pedestrian Crossing Sign - Fluoro Reflective' (R3-1); colour/size variant not independently confirmed (listed as 'multiple sizes to choose from')</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</si>
  <si>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 | Advanced Group: generic 'Speed Limit (Speed Restriction) Sign' (R4-1), exact 450x600 size match; specific km value chosen at checkout, not SKU-confirmed</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</si>
  <si>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 | Advanced Group: 'R2-4 No Entry Sign Reflective on Aluminium'; code matches (R2-4), exact size variant not stated on listing page</t>
  </si>
  <si>
    <t xml:space="preserve">Generic site/warehouse danger sign - no comparable product found at any of the 9 researched retailers (out of scope: these retailers focus on road/traffic signage). | Advanced Group: Danger Forklift Operating Area 300x225 Metal (EXACT) https://www.advancedgroup.com.au/DANGER-FORKLIFT-OPERATING-300X225-MTL-p/841659.htm | All Trades Group: Danger Forklift Operating Area Site Sign, 300x225 Metal (EXACT) https://alltradesgroup.net.au/products/danger-forklift-operating-area-site-sign | eSafety Supplies: Danger Forklift Operating Area, 300x450 Poly (closest-equiv, material Poly/ACP not Metal) https://esafetysupplies.com.au/products/danger-sign-forklift-operating-area | Safety Signs Australia: Danger Sign Forklift Operating Area, 225x300 Metal (EXACT) https://www.safetysigns.com.au/products/danger-forklift | National Safety Signs: Forklift Area D1076, 300x225 Aluminium (EXACT) https://nationalsafetysigns.com.au/safety-signs/forklift-area-d1076/</t>
  </si>
  <si>
    <t xml:space="preserve">Advanced Group: 'Confined Space Entry By Permit Only - Danger Signs - Metal (colorbond steel) - 450 x 300' (832249), $38.45 Inc GST; exact size and material match. | Jaybro: Confined Space Entry By Permit Only Danger Sign Metal (closest-equiv, size 225x300 (need 450x300)) https://www.jaybro.com.au/safety-signs/confined-space-entry-by-permit-only-danger-sign-metal-225x300mm/ | All Trades Group: Danger Confined Space Sign, 450x300 Metal (closest-equiv, wording (no "Entry By Permit")) https://alltradesgroup.net.au/products/danger-confined-space-sign | eSafety Supplies: Danger Confined Space Entry By Permit Only, 300x450(=450x300) Poly (closest-equiv, material Poly/ACP not Metal) https://esafetysupplies.com.au/products/danger-sign-confined-space-entry-by-permit-only-600-x-450mm | Safety Signs Australia: Danger Sign Confined Space Hazardous Atmosphere Entry By Permit, 300x450 Metal (closest-equiv, wording adds "Hazardous Atmosphere") https://www.safetysigns.com.au/products/danger-confined-space-permit | Traffic Control Products: Danger Confined Space Entry By Permit Only, Metal (closest-equiv, size 225x300 (need 450x300)) https://trafficcontrolproducts.com.au/products/danger-confined-space-300x225-metal | National Safety Signs: Confined Space Permit Only Sign D1037, 450x300 Aluminium (EXACT) https://nationalsafetysigns.com.au/safety-signs/danger-confined-space-d1037/</t>
  </si>
  <si>
    <t xml:space="preserve">Generic site/warehouse safety sign - no comparable product found at any of the 9 researched retailers. | Advanced Group: Emergency Eye Wash 300x225 Metal (size/material match) https://www.advancedgroup.com.au/EMERGENCY-EYE-WASH-300X225-MTL-p/841538.htm | Jaybro: Emergency Eye Wash Emergency Sign Metal 300x225mm (EXACT) https://www.jaybro.com.au/safety-signs/emergency-eye-wash-emergency-sign-metal-300x225mm/ | All Trades Group: Emergency Eyewash Sign, 300x225 Metal (closest-equiv, wording (no "First Aid" prefix)) https://alltradesgroup.net.au/products/emergency-eyewash-sign | eSafety Supplies: Emergency Eye Wash Sign, Poly (closest-equiv, material Poly not Metal, size 300x450) https://esafetysupplies.com.au/products/emergency-eye-wash-sign-300-x-450-mm | Safety Signs Australia: Emergency Sign Emergency Eye Wash, 225x300 Metal (EXACT) https://www.safetysigns.com.au/products/emergency-eye-wash | National Safety Signs: Emergency Eyewash E1212, 300x225 Metal (EXACT) https://nationalsafetysigns.com.au/safety-signs/emergency-eyewash-e1212/</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</si>
  <si>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 | Advanced Group: Speed Limit Sign Speed 5, Metal (closest-equiv, size differs (450x600 not 600x400)) https://www.advancedgroup.com.au/SPEED-LIMIT-SIGN-SPEED-5-450X600-MTL-p/832056.htm | All Trades Group: 5km/h Speed Limit Road Sign, Metal (closest-equiv, size 600x450 (need 600x400)) https://alltradesgroup.net.au/products/5-km-h-speed-limit-road-sign</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</si>
  <si>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 | Advanced Group: Speed Limit Sign Speed 10, Metal (closest-equiv, size differs (450x600 not 600x400)) https://www.advancedgroup.com.au/SPEED-LIMIT-SIGN-SPEED-10-450X600-MTL-p/832057.htm | Jaybro: 10km/h Class 1 Aluminium (closest-equiv, size 450x600 (need 600x400)) https://www.jaybro.com.au/regulatory-signs/10km-h-class-1-aluminium-450x600mm/</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</si>
  <si>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 | Advanced Group: Access Sign Disabled Parking 300x450 Metal (EXACT (size-order)) https://www.advancedgroup.com.au/ACCESS-SIGN-DISABLED-PARKING-300X450-MTL-p/842283.htm</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</si>
  <si>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 | Advanced Group: Restricted Area No Parking 600x450 Metal (closest-equiv, wording differs) https://www.advancedgroup.com.au/RESTRICTED-AREA-NO-PARKING-600X450-MTL-p/854975.htm | Safety Signs Australia: No Parking Sign (SKU R47A), Aluminium (closest-equiv, size 450x225 (need 600x450)) https://www.safetysigns.com.au/products/road-parking-no-parking</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</si>
  <si>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 | Advanced Group: No Standing Dbl Arr 300x450 Metal (EXACT) https://www.advancedgroup.com.au/NO-STANDING-DBL-ARR-300X450-MTL-p/843289.htm</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</si>
  <si>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 | Advanced Group: T&amp;P Sign No Parking 300x450 Metal (EXACT (SKU 840307 match)) https://www.advancedgroup.com.au/T-P-SIGN-NO-PARKING-300X450-MTL-p/840307.htm</t>
  </si>
  <si>
    <t xml:space="preserve">Generic site/warehouse safety sign - no comparable product found at any of the 9 researched retailers. | Advanced Group: No Smoking In This Area 300x225 Metal (EXACT (SKU 841090 match)) https://www.advancedgroup.com.au/NO-SMOKING-IN-THIS-AREA-300X225-MTL-p/841090.htm | Jaybro: No Smoking Prohibition Sign Metal 300x225mm (closest-equiv, wording) https://www.jaybro.com.au/safety-signs/no-smoking-prohibition-sign-metal-300x225mm/ | All Trades Group: No Smoking Sign, 300x225 Metal (closest-equiv, wording (generic, no "In This Area")) https://alltradesgroup.net.au/products/no-smoking-sign | eSafety Supplies: Prohibition Sign This Is A No Smoking Area, Poly (closest-equiv, material Poly/ACP not Metal) https://esafetysupplies.com.au/products/prohibition-sign-this-is-a-no-smoking-area | Safety Signs Australia: Prohibition Sign No Smoking In This Area, 225x300 Metal (EXACT) https://www.safetysigns.com.au/products/no-smoking-in-area-portrait | SafetyXpress: No Smoking In This Area Sign, 225x300 Metal (EXACT) https://www.safetyxpress.com.au/signs-posts-fixings/safety-signs/no-smoking-in-this-area-sign-225mm-x-300mm-metal/ | National Safety Signs: No Smoking In This Area P2223, Aluminium (closest-equiv, size 420x180 (need 300x225, no exact size exists)) https://nationalsafetysigns.com.au/safety-signs/no-smoking-in-this-area-p2223/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</si>
  <si>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 | Advanced Group: Restricted Area Authorised Persons - Admittance Sign (EXACT (SKU 832221 match)) https://www.advancedgroup.com.au/RESTR-AREA-AUTHORISED-450X300-MTL-p/832221.htm | Jaybro: No Entry Authorised Prohibition Sign Metal 450x300mm (closest-equiv, wording (currently OUT OF STOCK)) https://www.jaybro.com.au/safety-signs/no-entry-authorised-prohibition-sign-metal-450x300mm/</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</si>
  <si>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 | Advanced Group: Security Notice: These Premises Are Protected By.. Metal 300x450(=450x300) (closest-equiv (wording)) https://www.advancedgroup.com.au/SURV-SIGN-THESE-PREMISES-ARE-PROT-MTL-p/844010.htm</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</si>
  <si>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</si>
  <si>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 | Advanced Group: Reverse Parking Only Sign 300x450mm Metal (EXACT (size-order)) https://www.advancedgroup.com.au/Reverse-Parking-Only-Sign-300x450mm-MTL-p/856850.htm | Jaybro: Reverse Parking Only Notice Sign Poly 600x450mm (closest-equiv, material Poly not Metal, size 600x450 (need 450x300)) https://www.jaybro.com.au/safety-signs/reverse-parking-only-notice-sign-poly-600x450mm/</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</si>
  <si>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 | Advanced Group: same generic 'Speed Limit (Speed Restriction) Sign' (R4-1) as other speed items, 600x450 = 450x600 rotated</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</si>
  <si>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 | Advanced Group: same generic 'Speed Limit (Speed Restriction) Sign' (R4-1) as other speed items, 600x450 = 450x600 rotated</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</si>
  <si>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 | Advanced Group: 'On Side Road - Corflute Sign 1200x300mm' (M123-T1-19); exact size/type match</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</si>
  <si>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 | Traffic Control Products: Multi Message Corflute Blank 1200x300 Yellow (closest-equiv, plausible match for UNISAF blank) https://trafficcontrolproducts.com.au/products/multi-message-blank-1200x300mm-corflute-yellow-3m</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</si>
  <si>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 | Advanced Group: 'Workers Ahead (Symbolic Worker) 600x600mm Corflute Sign' (M66-T1-5); exact size match, wording 'Workers Ahead' vs our 'Symbolic Worker'</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</si>
  <si>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 | Advanced Group: Speed Limit (Speed Restriction) 60Kmh 600x600mm, Corflute (closest-equiv naming) https://www.advancedgroup.com.au/product-p/m66-t4-1-60.htm | All Trades Group: Multi Message Speed Limit Sign, 600x600 Corflute (closest-equiv naming ("60km/h Ahead")) https://alltradesgroup.net.au/products/multi-message-speed-limit-sign-reflective | Traffic Control Products: 60 (Speed) 600x600x5mm Corflute MMS Reflective (EXACT) https://trafficcontrolproducts.com.au/products/60-speed-600-x-600-sign-corflute</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</si>
  <si>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 | Advanced Group: Speed Limit (Speed Restriction) 40Kmh 600x600mm, Corflute (closest-equiv naming) https://www.advancedgroup.com.au/Speed-Limit-Speed-Restriction-40Kmh-p/m66-t4-1-40.htm</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</si>
  <si>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 | Advanced Group: 'Prepare To Stop - Corflute Sign 1200x300mm' (M123-T1-18); exact match</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</si>
  <si>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 | Advanced Group: 'Roadwork Ahead Sign 1200x300mm' (M123-T1-1); exact match</t>
  </si>
  <si>
    <t xml:space="preserve">Safety Signs Australia: 300x1200, 6mm Corflute - exact match | SafetyXpress: 1200x300 corflute - exact match | Traffic Control Products: 1200x300, 'White on Blue' corflute MMS - exact match | National Safety Signs: Not found | Advanced Group: Drive Safely Sign Corflute 1200x300mm (EXACT ("Safely" vs "Safety")) https://www.advancedgroup.com.au/Drive-Safely-Sign-Corflute-1200x300mm-p/m123-t2-101.htm</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</si>
  <si>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 | Advanced Group: Road Closed 1200x300mm Corflute Sign (EXACT) https://www.advancedgroup.com.au/Road-Closed-Corflute-Sign-p/m123-t2-4.htm</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</si>
  <si>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 | Advanced Group: Detour W Left Arrow 1200x300mm, Corflute (EXACT) https://www.advancedgroup.com.au/DETOUR-with-Left-Arrow-Sign-p/m123-t5-1(l).htm</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</si>
  <si>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 | Advanced Group: Detour W Right Arrow 1200x300mm, Corflute (EXACT) https://www.advancedgroup.com.au/DETOUR-with-Right-Arrow-Sign-p/m123-t5-1(r).htm</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</si>
  <si>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 | Advanced Group: Pedestrians with Right Arrow Corflute 1200x300mm (EXACT (not the aluminium variant)) https://www.advancedgroup.com.au/product-p/m123-t8-2r.htm</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</si>
  <si>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 | Advanced Group: Pedestrians with Left Arrow Corflute 1200x300mm (EXACT (not the aluminium variant)) https://www.advancedgroup.com.au/product-p/m123-t8-2l.htm</t>
  </si>
  <si>
    <t xml:space="preserve">No comparable product found at any of the 9 researched retailers - likely generic site-safety signage outside their core road/traffic-sign range. | Advanced Group: 'Security Sign This Area Is..450x300 Poly' (841756); exact size/material match, full wording truncated on listing (not independently confirmed as '24 hour surveillance') | eSafety Supplies: Security Notice This Area Is Under 24 Hour Surveillance, Poly (closest-equiv, size 300x450(=450x300)) https://esafetysupplies.com.au/products/security-notice-this-area-is-under-24-hour-surveillance | Safety Signs Australia: Security Sign This Area Is Under 24 Hour Surveillance, 300x450 Metal (closest-equiv, material Metal not Poly) https://www.safetysigns.com.au/products/security-24-hour-surveillance | National Safety Signs: Security CCTV Camera 24hr Surveillance S2883, 450x300 Poly (closest-equiv, wording) https://nationalsafetysigns.com.au/safety-signs/security-cctv-camera-24hr-surveillance-sign-s2883/</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</si>
  <si>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 | Advanced Group: Eye Protection Must Be Worn, 300x225 Poly (EXACT) https://www.advancedgroup.com.au/EYE-PROTECTION-MUST-BE-300X225-POLY-p/840599.htm | Safety Signs Australia: Mandatory Sign Eye Protection Must Be Worn In This Area, 225x300 Poly (closest-equiv, wording adds "In This Area") https://www.safetysigns.com.au/products/eye-protection-worn-area</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</si>
  <si>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 | Advanced Group: All Visitors Must Report To Site Office, 600x450 Poly (EXACT) https://www.advancedgroup.com.au/ALL-VISITORS-MUST-REPORT-600X450-POLY-p/844553.htm | National Safety Signs: All Visitors Report to Office N2005, 600x450 Poly (EXACT) https://nationalsafetysigns.com.au/safety-signs/all-visitors-report-to-office-n2005/</t>
  </si>
  <si>
    <t xml:space="preserve">No comparable product found at any of the 9 researched retailers - likely generic site-safety signage outside their core road/traffic-sign range. | Advanced Group: No Smoking No Naked Flame, 300x225 Poly (SKU 840750) (EXACT now) https://www.advancedgroup.com.au/NO-SMOKING-NO-NAKED-FLAM-300X225-POLY-p/840750.htm | Jaybro: Danger No Smoking No Naked Flames Poly 600x450mm (closest-equiv, size 600x450 (need 300x225)) https://www.jaybro.com.au/safety-signs/danger-no-smoking-no-naked-flames-danger-sign-poly-600x450mm/ | All Trades Group: Danger No Smoking No Naked Flames No Matches, 300x225 Poly (EXACT) https://alltradesgroup.net.au/products/danger-no-smoking-no-naked-flames-no-matches-sign | Safety Signs Australia: Danger Sign No Smoking No Naked Flames No Matches, 225x300 Poly (EXACT) https://www.safetysigns.com.au/products/danger-no-smoking | National Safety Signs: No Smoking No Naked Flame D10376, 300x225 Poly (EXACT) https://nationalsafetysigns.com.au/safety-signs/no-smoking-no-naked-flame-d10376/</t>
  </si>
  <si>
    <t xml:space="preserve">No comparable product found at any of the 9 researched retailers - likely generic site-safety signage outside their core road/traffic-sign range. | Advanced Group: 'Danger Construction..600x450 Polyp' (844510); size differs (600x450 vs our 600x400) | Jaybro: Construction Site Danger Sign Poly 600x450mm (closest-equiv, size 600x450 (need 600x400)) https://www.jaybro.com.au/safety-signs/construction-site-danger-sign-poly-600x450mm/ | All Trades Group: Danger Construction Site Sign, 600x450 Poly (closest-equiv, size+wording (no "Do Not Enter")) https://alltradesgroup.net.au/products/danger-construction-site-sign | eSafety Supplies: Danger Construction Site Do Not Enter, 600x450 Poly (closest-equiv, size 600x450 (need 600x400)) https://esafetysupplies.com.au/products/danger-sign-construction-site-do-not-enter | Safety Signs Australia: Danger Sign Construction Site Do Not Enter, 450x600 Poly (closest-equiv, size 450x600 (need 600x400)) https://www.safetysigns.com.au/products/danger-construction-site | SafetyXpress: Danger Sign Construction Site Do Not Enter, Poly (closest-equiv, size 450x600 (need 600x400)) https://www.safetyxpress.com.au/site-signage-posts-fixings/danger-sign-construction-site-do-not-enter-450mm-x-600mm-poly/ | Traffic Control Products: Danger Construction Site Do Not Enter, 600x450 Poly (closest-equiv, size 600x450 (need 600x400) - currently SOLD OUT) https://trafficcontrolproducts.com.au/products/danger-construct-site-do-not-enter-600x450-poly | National Safety Signs: Construction Site No Entry D10261, 600x450 Poly (closest-equiv, size 600x450 (need 600x400), wording "No Entry" vs "Do Not Enter") https://nationalsafetysigns.com.au/safety-signs/construction-site-no-entry-d10261/</t>
  </si>
  <si>
    <t xml:space="preserve">No comparable product found at any of the 9 researched retailers - likely generic site-safety signage outside their core road/traffic-sign range. | Advanced Group: Danger Demolition Work In Progress, 600x450 Poly (EXACT (SKU US-223LP match)) https://www.advancedgroup.com.au/Danger-Demolition-Work-in-Progress-600X450-POLY-p/us-223lp.htm | Jaybro: Danger Demolition Work In Progress 600x450mm Poly (EXACT) https://www.jaybro.com.au/safety-signs/danger-demolition-work-in-progress-600x450mm/ | All Trades Group: Danger Demolition Work In Progress, 600x450 Poly (EXACT) https://alltradesgroup.net.au/products/danger-demolition-work-in-progress-sign | eSafety Supplies: Danger Demolition Work In Progress, 600x450 Poly (EXACT) https://esafetysupplies.com.au/products/danger-sign-demolition-work-in-progress | Safety Signs Australia: Danger Sign Demolition Work In Progress, 450x600 Metal (closest-equiv, material Metal not Poly) https://www.safetysigns.com.au/products/danger-demolition | SafetyXpress: Danger Sign Demolition Work In Progress, 450x600 Poly (EXACT) https://www.safetyxpress.com.au/signs-posts-fixings/safety-signs/danger-sign-demolition-work-in-progress-450mm-x-600mm-poly/ | Traffic Control Products: Danger Demolition Work In Progress, 600x450mm Poly (EXACT) https://trafficcontrolproducts.com.au/products/danger-demolition-work-in-progress-600x450mm-poly</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</si>
  <si>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 | Advanced Group: 'Confined Space Entry By..450x300 Poly' (835604); exact size/material match | All Trades Group: Danger Confined Space Sign, 450x300 Poly (closest-equiv, wording (generic)) https://alltradesgroup.net.au/products/danger-confined-space-sign | eSafety Supplies: Danger Confined Space Entry By Permit Only, 300x450(=450x300) Poly (EXACT (size equiv via rotation)) https://esafetysupplies.com.au/products/danger-sign-confined-space-entry-by-permit-only-600-x-450mm | National Safety Signs: Confined Space Permit Only Sign D1037, 450x300 Poly (EXACT) https://nationalsafetysigns.com.au/safety-signs/danger-confined-space-d1037/</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</si>
  <si>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 | Advanced Group: First Aid 450x300 Poly (EXACT (SKU 835331 match)) https://www.advancedgroup.com.au/FIRST-AID-450X300-POLY-p/835331.htm</t>
  </si>
  <si>
    <t xml:space="preserve">No comparable product found at any of the 9 researched retailers - likely generic site-safety signage outside their core road/traffic-sign range. | Advanced Group: First Aid Station 300x225 Poly (EXACT) https://www.advancedgroup.com.au/FIRST-AID-STATION-300X225-POLY-p/840003.htm | Jaybro: First Aid Emergency Sign Poly 225x300mm (closest-equiv, wording "Emergency" not "Station") https://www.jaybro.com.au/safety-signs/first-aid-emergency-sign-poly-225x300mm/ | All Trades Group: First Aid Site Sign, 300x225 Poly (closest-equiv, wording "Site" vs "Station") https://alltradesgroup.net.au/products/first-aid-site-sign | eSafety Supplies: First Aid Sign, 300x450 Poly (closest-equiv, size 300x450 (need 300x225)) https://esafetysupplies.com.au/products/first-aid-sign-300-x-450-mm | Safety Signs Australia: Emergency Sign First Aid Station, 225x300 Poly (EXACT) https://www.safetysigns.com.au/products/first-aid-station | SafetyXpress: First Aid Sign Polypropylene, 225x300 (EXACT (confirmed default variant)) https://www.safetyxpress.com.au/signs-posts-fixings/safety-signs/first-aid-sign-polypropylene/ | Traffic Control Products: First Aid Sign, 300x225 Poly (closest-equiv, wording "Sign" vs "Station") https://trafficcontrolproducts.com.au/products/first-aid-sign-300-x-225-poly</t>
  </si>
  <si>
    <t xml:space="preserve">No comparable product found at any of the 9 researched retailers - likely generic site-safety signage outside their core road/traffic-sign range. | Jaybro: Emergency Assembly Point Emergency Sign Poly 600x450mm (closest-equiv, size 600x450 (need 600x400), wording "Point" not "Area") https://www.jaybro.com.au/safety-signs/emergency-assembly-point-emergency-sign-poly-600x450mm/ | All Trades Group: Emergency Assembly Point Sign, 600x450 Poly (closest-equiv, size+wording ("Point" not "Area")) https://alltradesgroup.net.au/products/emergency-assembly-point-sign | eSafety Supplies: Information Sign Emergency Assembly Point, 450x600 Aluminium (closest-equiv, material Aluminium not Poly) https://esafetysupplies.com.au/products/information-sign-emergency-assembly-point-450-x-600mm | Safety Signs Australia: Emergency Sign Emergency Assembly Area, Metal (closest-equiv, material Metal not Poly, size 450x600 (need 600x400)) https://www.safetysigns.com.au/products/emergency-assembly-area | Traffic Control Products: Emergency Assembly Point, 600x450mm Poly (closest-equiv, wording "Point" vs "Area", size needs 600x400) https://trafficcontrolproducts.com.au/products/emergency-assembly-point-600mm-x-450mm-poly | National Safety Signs: Emergency Assembly Area E1266, 600x450 Poly (closest-equiv, size 600x450 (need 600x400)) https://nationalsafetysigns.com.au/safety-signs/emergency-assembly-area-e1266/</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</si>
  <si>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</si>
  <si>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No comparable product found at any of the 9 researched retailers - likely generic site-safety signage outside their core road/traffic-sign range. | Advanced Group: Fire Sign Fire Hose Reel Poly, 300x225 (closest-equiv ("&amp;Picto" unconfirmed)) https://www.advancedgroup.com.au/FIRE-SIGN-FIRE-HOSE-REEL-POLY-p/840698.htm | Jaybro: Fire Hose Reel Sign Poly 225x300mm (EXACT (225x300=300x225)) https://www.jaybro.com.au/safety-signs/fire-hose-reel-sign-poly-225x300mm/ | All Trades Group: Fire Hose Reel Sign, 300x225 Poly (EXACT) https://alltradesgroup.net.au/products/fire-hose-reel-sign | Safety Signs Australia: Fire Hose Reel Sign, 225x300 Poly (EXACT) https://www.safetysigns.com.au/products/fire-hose-reel-portrait | National Safety Signs: Fire Hose Reel Sign F1433, 300x225 Poly (EXACT) https://nationalsafetysigns.com.au/safety-signs/fire-hose-reel-sign-f1433/</t>
  </si>
  <si>
    <t xml:space="preserve">n/a</t>
  </si>
  <si>
    <t xml:space="preserve">No comparable product found at any of the 9 researched retailers - likely generic site-safety signage outside their core road/traffic-sign range. | Safety Signs Australia: Arrow Sign, 200x450 Poly (EXACT) https://www.safetysigns.com.au/products/arrow</t>
  </si>
  <si>
    <t xml:space="preserve">No comparable product found at any of the 9 researched retailers - likely generic site-safety signage outside their core road/traffic-sign range. | eSafety Supplies: Car Park Sign Forklift Speed Limit 5km/h, 600x450 Poly (size/material match, wording differs slightly) https://esafetysupplies.com.au/products/carpark-sign-forklift-speed-limit-5 | Safety Signs Australia: Speed Limit Sign 5km, 450x600 Metal (closest-equiv, material Metal not Poly) https://www.safetysigns.com.au/products/speed-limit-5 | National Safety Signs: Speed Limit 5 KPH Sign R2402, 600x450 Poly (EXACT) https://nationalsafetysigns.com.au/safety-signs/speed-limit-5-kph-sign-r2402/</t>
  </si>
  <si>
    <t xml:space="preserve">No comparable product found at any of the 9 researched retailers - likely generic site-safety signage outside their core road/traffic-sign range. | Advanced Group: Watch Out For Pedestrians 600x450 Poly (closest-equiv wording differs) https://www.advancedgroup.com.au/WATCH-OUT-FOR-PEDESTRIANS-600X450-POLY-p/844439.htm | Jaybro: Beware Of Pedestrians Warning Sign Poly 600x450mm (EXACT) https://www.jaybro.com.au/safety-signs/beware-of-pedestrians-warning-sign-poly-600x450mm/ | Safety Signs Australia: Warning Sign Watch Out For Pedestrians, 450x600 Poly (closest-equiv, wording) https://www.safetysigns.com.au/products/watch-for-pedestrians | National Safety Signs: Watch Out For Pedestrians RD126, 600x450 Poly (closest-equiv, wording) https://nationalsafetysigns.com.au/safety-signs/watch-out-for-pedestrians-rd126/</t>
  </si>
  <si>
    <t xml:space="preserve">No comparable product found at any of the 9 researched retailers - likely generic site-safety signage outside their core road/traffic-sign range. | Advanced Group: Authorised Personnel, 600x450 Poly (SKU 835253) (better wording match) https://www.advancedgroup.com.au/AUTHORISED-PERSONNEL-600X450-POLY-p/835253.htm | All Trades Group: Authorised Personnel Only Prohibition Sign, 600x450 Poly (closest-equiv, category label) https://alltradesgroup.net.au/products/authorised-personnel-only-prohibition-sign | eSafety Supplies: Danger No Entry Authorised Personnel Only, 600x450 Poly (size/material match, "Danger" vs "Warning") https://esafetysupplies.com.au/products/danger-sign-no-entry-authorised-personnel-only-600-x-450mm | Safety Signs Australia: Prohibition Sign Authorised Personnel Only, 450x600 Poly (closest-equiv, category "Prohibition" vs "Warning") https://www.safetysigns.com.au/products/authorised-personnel-only | National Safety Signs: Restricted Area Authorised Personnel Only W30286, 600x450 Poly (closest-equiv, wording adds "Restricted Area") https://nationalsafetysigns.com.au/safety-signs/restricted-area-authorised-personnel-only-sign-w30286/</t>
  </si>
  <si>
    <t xml:space="preserve">No comparable product found at any of the 9 researched retailers - likely generic site-safety signage outside their core road/traffic-sign range. | Advanced Group: Corrosive 8 Labels 270mm Poly (EXACT (SKU 835630 match)) https://www.advancedgroup.com.au/CORROSIVE-8-LABELS-270MM-POLY-p/835630.htm | All Trades Group: Corrosive Dangerous Goods Sign, 270x270 Poly (closest-equiv (AS1216 Class 8, not labelled "Hazchem")) https://alltradesgroup.net.au/products/corrosive-dangerous-goods-sign | Safety Signs Australia: Hazchem Sign 8 Corrosive, 270x270 Poly (EXACT) https://www.safetysigns.com.au/products/dg-corrosive</t>
  </si>
  <si>
    <t xml:space="preserve">No comparable product found at any of the 9 researched retailers - likely generic site-safety signage outside their core road/traffic-sign range. | Advanced Group: Exit &amp; Evac Sign Arr/DL Exit Lum Poly (closest-equiv, size differs (350x180 not 350x140)) https://www.advancedgroup.com.au/EXIT-EVAC-SIGN-ARR-DL-EXIT-LUM-POLY-p/843034.htm | National Safety Signs: Luminous Emergency Exit Sign With Symbol E12137, Poly (closest-equiv, size 270x135 (need 350x140, reasonably close)) https://nationalsafetysigns.com.au/safety-signs/luminous-emergency-exit-sign-with-symbol-e12137/</t>
  </si>
  <si>
    <t xml:space="preserve">No comparable product found at any of the 9 researched retailers - likely generic site-safety signage outside their core road/traffic-sign range. | Advanced Group: Danger Workers Above, 600x450 Poly (EXACT) https://www.advancedgroup.com.au/DANGER-WORKERS-ABOVE-600X450-POLY-p/835818.htm | Jaybro: Danger Workers Overhead Danger Sign 600x450mm Poly (closest-equiv, wording "Overhead" vs "Above") https://www.jaybro.com.au/safety-signs/danger-workers-overhead-danger-sign-600x450mm/ | All Trades Group: Danger Workers Above, 600x450 Poly (EXACT) https://alltradesgroup.net.au/products/danger-workers-above-sign | Safety Signs Australia: Danger Sign Workers Above, 450x600 Poly (EXACT) https://www.safetysigns.com.au/products/danger-workers-above | National Safety Signs: Workers Above D10181, 600x450 Poly (EXACT) https://nationalsafetysigns.com.au/safety-signs/workers-above-d10181/</t>
  </si>
  <si>
    <t xml:space="preserve">No comparable product found at any of the 9 researched retailers - likely generic site-safety signage outside their core road/traffic-sign range. | Advanced Group: No Pedestrian Access, 300x225 Poly (EXACT (SKU 840223 match)) https://www.advancedgroup.com.au/NO-PEDESTRIAN-ACCESS-300X225-POLY-p/840223.htm | Jaybro: No Pedestrian Access Prohibition Sign Poly 600x450mm (closest-equiv, size 600x450 (need 300x225)) https://www.jaybro.com.au/safety-signs/no-pedestrian-access-prohibition-sign-poly-600x450mm/ | All Trades Group: No Pedestrian Access Prohibition Sign, 300x225 Poly (EXACT) https://alltradesgroup.net.au/products/no-pedestrian-access-prohibition-sign | eSafety Supplies: Prohibition Sign No Pedestrian Access, Poly (closest-equiv, size 300x450/600x450 (need 300x225)) https://esafetysupplies.com.au/products/prohibition-sign-no-pedestrian-access | Safety Signs Australia: Prohibition Sign No Pedestrian Access, 225x300 Poly (EXACT) https://www.safetysigns.com.au/products/no-pedestrian-access | National Safety Signs: No Pedestrian Access P22102, 300x225 Poly (EXACT) https://nationalsafetysigns.com.au/safety-signs/no-pedestrian-access-sign-p22102/</t>
  </si>
  <si>
    <t xml:space="preserve">No comparable product found at any of the 9 researched retailers - likely generic site-safety signage outside their core road/traffic-sign range. | Advanced Group: Lunch Room, 450x180 Poly (closest-equiv, size differs (450x180 not 450x300)) https://www.advancedgroup.com.au/LUNCH-ROOM-450X180-POLY-p/840023.htm | Jaybro: Lunch Room Information Sign Poly 600x450mm (closest-equiv, size 600x450 (need 450x300)) https://www.jaybro.com.au/safety-signs/lunch-room-information-sign-poly-600x450mm/ | eSafety Supplies: General Sign Lunch Room, 300x450(=450x300) Poly (EXACT (size equiv via rotation)) https://esafetysupplies.com.au/products/lunch-room-sign | Safety Signs Australia: Construction Sign Lunch Room, 200x450 Poly (closest-equiv, size 200x450 (need 450x300)) https://www.safetysigns.com.au/products/lunch-room | National Safety Signs: Lunch Room S2802, 450x300 Poly (EXACT) https://nationalsafetysigns.com.au/safety-signs/lunch-room-s2802/</t>
  </si>
  <si>
    <t xml:space="preserve">No comparable product found at any of the 9 researched retailers - likely generic site-safety signage outside their core road/traffic-sign range. | Advanced Group: Flammable Material Storage, 300x225 Poly (SKU 840747) (EXACT now) https://www.advancedgroup.com.au/FLAMMABLE-MATERIAL-STORAGE-300X225-POLY-p/840747.htm | Jaybro: Danger Flammable Materials Danger Sign Poly 600x450mm (closest-equiv, size 600x450 (need 300x225)) https://www.jaybro.com.au/safety-signs/danger-flammable-materials-danger-sign-poly-600x450mm/ | All Trades Group: Danger Flammable Materials Sign, 300x225 Poly (closest-equiv, wording (no "Storage Area")) https://alltradesgroup.net.au/products/danger-flammable-materials-sign | eSafety Supplies: Danger Sign Flammable Materials, Poly (closest-equiv, size+wording (no "Storage Area")) https://esafetysupplies.com.au/products/danger-sign-flammable-materials | Safety Signs Australia: Danger Sign Flammable Material Storage Keep Heat Away, 225x300 Poly (closest-equiv, wording adds "Keep Heat Away") https://www.safetysigns.com.au/products/danger-flammable-storage | National Safety Signs: Flammable Material D10324, 300x225 Poly (closest-equiv, wording (no "Storage Area")) https://nationalsafetysigns.com.au/safety-signs/flammable-material-sign-d10324/</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</si>
  <si>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 | Advanced Group: 'Danger Overhead Power Lines 450x600mm' (850599); size matches (rotated), material not stated on listing | Jaybro: Overhead Powerlines Danger Sign Poly 450x600mm (closest-equiv, material Poly not Corflute) https://www.jaybro.com.au/safety-signs/overhead-powerlines-danger-sign-poly-450x600mm/</t>
  </si>
  <si>
    <t xml:space="preserve">Items compared (60 total line items)</t>
  </si>
  <si>
    <t xml:space="preserve">Total numeric price points captured across these 10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</si>
  <si>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</si>
  <si>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</si>
  <si>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</si>
  <si>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</si>
  <si>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</si>
  <si>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</si>
  <si>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</si>
  <si>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</si>
  <si>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Summary — Closest-Priced Competitor &amp; Where We're More Expensive</t>
  </si>
  <si>
    <t xml:space="preserve">For each of our 60 line items: "Our Quoted Price" below is whichever is HIGHER of our 1200-stock or 1220-stock quoted price (shown in blue bold when the 1220-stock price was the higher/used figure, plain black when the 1200-stock price was used — e.g. for items with no 1220-stock price at all, such as the swing-stand products). Against that price, this sheet shows the competitor (or RSEA) whose ex-GST price is CLOSEST to ours — above or below — with the $ and % gap. Rows shaded amber are ones where that closest competitor (or, in some cases, a different cheaper one — see the call-out list below) is actually cheaper than us. "$ Difference" is expressed as Us − Them: a positive (red) figure means we are MORE expensive than that competitor; a negative (green) figure means we are cheaper. "% Difference" is that $ gap as a percentage of THEIR price (not ours). Figures pulled from the 'Market Comparison' tab, now including Advanced Group (advancedgroup.com.au) as a 10th competitor (added 15 October 2026) — re-run this summary if competitor prices there change. All $ / % figures compare ex-GST prices.</t>
  </si>
  <si>
    <t xml:space="preserve">Closest-Priced
Competitor (or RSEA)</t>
  </si>
  <si>
    <t xml:space="preserve">Their Price
(ex GST)</t>
  </si>
  <si>
    <t xml:space="preserve">Our Price
(ex GST, higher of 1200/1220)</t>
  </si>
  <si>
    <t xml:space="preserve">$ Difference
(Us − Them)</t>
  </si>
  <si>
    <t xml:space="preserve">% Difference
(vs Their Price)</t>
  </si>
  <si>
    <t xml:space="preserve">Are We More
Expensive?</t>
  </si>
  <si>
    <t xml:space="preserve">eSafety Supplies</t>
  </si>
  <si>
    <t xml:space="preserve">No</t>
  </si>
  <si>
    <t xml:space="preserve">RSEA</t>
  </si>
  <si>
    <t xml:space="preserve">Seton</t>
  </si>
  <si>
    <t xml:space="preserve">Traffic Control Products</t>
  </si>
  <si>
    <t xml:space="preserve">HiVis</t>
  </si>
  <si>
    <t xml:space="preserve">All Trades Group</t>
  </si>
  <si>
    <t xml:space="preserve">Yes</t>
  </si>
  <si>
    <t xml:space="preserve">SafetyXpress</t>
  </si>
  <si>
    <t xml:space="preserve">Safety Signs Australia</t>
  </si>
  <si>
    <t xml:space="preserve">National Safety Signs</t>
  </si>
  <si>
    <t xml:space="preserve">Items We're MORE EXPENSIVE On (our higher-of-1200/1220 quote vs the single cheapest alternative — 7 of 60 items)</t>
  </si>
  <si>
    <t xml:space="preserve">Cheapest Alternative</t>
  </si>
  <si>
    <t xml:space="preserve">Their Price (ex GST)</t>
  </si>
  <si>
    <t xml:space="preserve">Our Price (ex GST)</t>
  </si>
  <si>
    <t xml:space="preserve">$ We're More Expensive By</t>
  </si>
  <si>
    <t xml:space="preserve">% We're More Expensive By</t>
  </si>
</sst>
</file>

<file path=xl/styles.xml><?xml version="1.0" encoding="utf-8"?>
<styleSheet xmlns="http://schemas.openxmlformats.org/spreadsheetml/2006/main">
  <numFmts count="6">
    <numFmt numFmtId="164" formatCode="General"/>
    <numFmt numFmtId="165" formatCode="\$#,##0.00"/>
    <numFmt numFmtId="166" formatCode="\$#,##0.00_);[RED]&quot;($&quot;#,##0.00\)"/>
    <numFmt numFmtId="167" formatCode="0.0000"/>
    <numFmt numFmtId="168" formatCode="0.0%"/>
    <numFmt numFmtId="169" formatCode="0"/>
  </numFmts>
  <fonts count="26">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C00000"/>
      <name val="Calibri"/>
      <family val="0"/>
      <charset val="1"/>
    </font>
    <font>
      <sz val="11"/>
      <name val="Calibri"/>
      <family val="2"/>
      <charset val="1"/>
    </font>
    <font>
      <i val="true"/>
      <sz val="11"/>
      <color rgb="FF000000"/>
      <name val="Calibri"/>
      <family val="0"/>
      <charset val="1"/>
    </font>
    <font>
      <i val="true"/>
      <sz val="11"/>
      <color rgb="FF9B9B9B"/>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1"/>
      <color rgb="FF1F6FEB"/>
      <name val="Calibri"/>
      <family val="0"/>
      <charset val="1"/>
    </font>
    <font>
      <sz val="11"/>
      <color rgb="FF1B7A4D"/>
      <name val="Calibri"/>
      <family val="0"/>
      <charset val="1"/>
    </font>
    <font>
      <sz val="11"/>
      <color rgb="FF000000"/>
      <name val="Calibri"/>
      <family val="0"/>
      <charset val="1"/>
    </font>
    <font>
      <b val="true"/>
      <sz val="11"/>
      <color rgb="FFC00000"/>
      <name val="Calibri"/>
      <family val="0"/>
      <charset val="1"/>
    </font>
    <font>
      <b val="true"/>
      <sz val="13"/>
      <color rgb="FF17365D"/>
      <name val="Calibri"/>
      <family val="0"/>
      <charset val="1"/>
    </font>
  </fonts>
  <fills count="8">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2CC"/>
      </patternFill>
    </fill>
    <fill>
      <patternFill patternType="solid">
        <fgColor rgb="FFE2EFDA"/>
        <bgColor rgb="FFFFF2CC"/>
      </patternFill>
    </fill>
    <fill>
      <patternFill patternType="solid">
        <fgColor rgb="FFFFF2CC"/>
        <bgColor rgb="FFE2EFDA"/>
      </patternFill>
    </fill>
  </fills>
  <borders count="4">
    <border diagonalUp="false" diagonalDown="false">
      <left/>
      <right/>
      <top/>
      <bottom/>
      <diagonal/>
    </border>
    <border diagonalUp="false" diagonalDown="false">
      <left style="thin">
        <color theme="4" tint="0.3996"/>
      </left>
      <right/>
      <top style="thin">
        <color theme="4" tint="0.3996"/>
      </top>
      <bottom style="thin">
        <color theme="4" tint="0.3996"/>
      </bottom>
      <diagonal/>
    </border>
    <border diagonalUp="false" diagonalDown="false">
      <left/>
      <right/>
      <top style="thin">
        <color theme="4" tint="0.3996"/>
      </top>
      <bottom style="thin">
        <color theme="4" tint="0.3996"/>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6" fontId="16"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0" fillId="2" borderId="0" xfId="0" applyFont="true" applyBorder="false" applyAlignment="true" applyProtection="false">
      <alignment horizontal="center" vertical="center" textRotation="0" wrapText="tru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5" fontId="22" fillId="0" borderId="0" xfId="0" applyFont="true" applyBorder="false" applyAlignment="true" applyProtection="false">
      <alignment horizontal="general"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5" fontId="23"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5" fontId="0" fillId="7" borderId="0" xfId="0" applyFont="false" applyBorder="false" applyAlignment="true" applyProtection="false">
      <alignment horizontal="general" vertical="bottom" textRotation="0" wrapText="false" indent="0" shrinkToFit="false"/>
      <protection locked="true" hidden="false"/>
    </xf>
    <xf numFmtId="165" fontId="21" fillId="7" borderId="0" xfId="0" applyFont="true" applyBorder="false" applyAlignment="true" applyProtection="false">
      <alignment horizontal="general" vertical="bottom" textRotation="0" wrapText="false" indent="0" shrinkToFit="false"/>
      <protection locked="true" hidden="false"/>
    </xf>
    <xf numFmtId="165" fontId="24" fillId="7" borderId="0" xfId="0" applyFont="true" applyBorder="false" applyAlignment="true" applyProtection="false">
      <alignment horizontal="general" vertical="bottom" textRotation="0" wrapText="false" indent="0" shrinkToFit="false"/>
      <protection locked="true" hidden="false"/>
    </xf>
    <xf numFmtId="168" fontId="24" fillId="7" borderId="0" xfId="0" applyFont="true" applyBorder="false" applyAlignment="true" applyProtection="false">
      <alignment horizontal="general" vertical="bottom" textRotation="0" wrapText="false" indent="0" shrinkToFit="false"/>
      <protection locked="true" hidden="false"/>
    </xf>
    <xf numFmtId="164" fontId="24" fillId="7"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7A4D"/>
      <rgbColor rgb="FFBFBFBF"/>
      <rgbColor rgb="FF808080"/>
      <rgbColor rgb="FF9999FF"/>
      <rgbColor rgb="FF993366"/>
      <rgbColor rgb="FFFFF2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1F6FEB"/>
      <rgbColor rgb="FF45B0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400680</xdr:colOff>
      <xdr:row>57</xdr:row>
      <xdr:rowOff>257040</xdr:rowOff>
    </xdr:to>
    <xdr:pic>
      <xdr:nvPicPr>
        <xdr:cNvPr id="0" name="Picture 1" descr=""/>
        <xdr:cNvPicPr/>
      </xdr:nvPicPr>
      <xdr:blipFill>
        <a:blip r:embed="rId1"/>
        <a:stretch/>
      </xdr:blipFill>
      <xdr:spPr>
        <a:xfrm>
          <a:off x="17428680" y="22115880"/>
          <a:ext cx="2188440" cy="233460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7"/>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0" ySplit="5" topLeftCell="A8" activePane="bottomLeft" state="frozen"/>
      <selection pane="topLeft" activeCell="A1" activeCellId="0" sqref="A1"/>
      <selection pane="bottomLeft" activeCell="Z6" activeCellId="0" sqref="Z6"/>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27" min="4" style="1" width="13"/>
    <col collapsed="false" customWidth="true" hidden="false" outlineLevel="0" max="30" min="28" style="1" width="14"/>
    <col collapsed="false" customWidth="true" hidden="false" outlineLevel="0" max="31" min="31" style="1"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102.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c r="AF5" s="25" t="s">
        <v>257</v>
      </c>
      <c r="AG5" s="25" t="s">
        <v>258</v>
      </c>
    </row>
    <row r="6" customFormat="false" ht="108.75" hidden="false" customHeight="true" outlineLevel="0" collapsed="false">
      <c r="A6" s="1" t="s">
        <v>222</v>
      </c>
      <c r="B6" s="1" t="s">
        <v>7</v>
      </c>
      <c r="C6" s="41" t="s">
        <v>8</v>
      </c>
      <c r="D6" s="11" t="n">
        <f aca="false">'RSEA vs Quoted Comparison'!F6</f>
        <v>16.71</v>
      </c>
      <c r="E6" s="11" t="n">
        <f aca="false">'RSEA vs Quoted Comparison'!G6</f>
        <v>18.381</v>
      </c>
      <c r="F6" s="11" t="n">
        <f aca="false">IF('RSEA vs Quoted Comparison'!H6="","",'RSEA vs Quoted Comparison'!H6)</f>
        <v>16.93275</v>
      </c>
      <c r="G6" s="11" t="n">
        <f aca="false">IF('RSEA vs Quoted Comparison'!I6="","",'RSEA vs Quoted Comparison'!I6)</f>
        <v>18.626025</v>
      </c>
      <c r="H6" s="11" t="n">
        <f aca="false">'RSEA vs Quoted Comparison'!D6</f>
        <v>42.99</v>
      </c>
      <c r="I6" s="11" t="n">
        <f aca="false">'RSEA vs Quoted Comparison'!E6</f>
        <v>39.0818181818182</v>
      </c>
      <c r="J6" s="42" t="s">
        <v>259</v>
      </c>
      <c r="K6" s="42" t="s">
        <v>259</v>
      </c>
      <c r="L6" s="42" t="s">
        <v>259</v>
      </c>
      <c r="M6" s="42" t="s">
        <v>259</v>
      </c>
      <c r="N6" s="11" t="n">
        <v>42.5</v>
      </c>
      <c r="O6" s="11" t="n">
        <f aca="false">N6/1.1</f>
        <v>38.6363636363636</v>
      </c>
      <c r="P6" s="11" t="n">
        <v>22.05</v>
      </c>
      <c r="Q6" s="11" t="n">
        <v>20.05</v>
      </c>
      <c r="R6" s="11" t="n">
        <v>30</v>
      </c>
      <c r="S6" s="11" t="n">
        <f aca="false">R6/1.1</f>
        <v>27.2727272727273</v>
      </c>
      <c r="T6" s="11" t="n">
        <v>31.19</v>
      </c>
      <c r="U6" s="11" t="n">
        <f aca="false">T6/1.1</f>
        <v>28.3545454545455</v>
      </c>
      <c r="V6" s="42" t="s">
        <v>259</v>
      </c>
      <c r="W6" s="42" t="s">
        <v>259</v>
      </c>
      <c r="X6" s="11" t="n">
        <v>10.29</v>
      </c>
      <c r="Y6" s="11" t="n">
        <f aca="false">X6/1.1</f>
        <v>9.35454545454545</v>
      </c>
      <c r="Z6" s="11" t="n">
        <v>65.63</v>
      </c>
      <c r="AA6" s="11" t="n">
        <f aca="false">Z6/1.1</f>
        <v>59.6636363636364</v>
      </c>
      <c r="AB6" s="11" t="n">
        <v>38.45</v>
      </c>
      <c r="AC6" s="11" t="n">
        <f aca="false">AB6/1.1</f>
        <v>34.9545454545455</v>
      </c>
      <c r="AD6" s="11" t="n">
        <f aca="false">IF(COUNT(I6,J6,M6,O6,Q6,S6,U6,V6,Y6,AA6,AC6)=0,"N/A",MIN(I6,J6,M6,O6,Q6,S6,U6,V6,Y6,AA6,AC6))</f>
        <v>9.35454545454545</v>
      </c>
      <c r="AE6" s="43" t="n">
        <f aca="false">IF(OR(D6="",AD6="",AD6="N/A"),"N/A",D6/AD6-1)</f>
        <v>0.786297376093295</v>
      </c>
      <c r="AF6" s="43" t="n">
        <f aca="false">IF(OR(F6="",AD6="",AD6="N/A"),"N/A",F6/AD6-1)</f>
        <v>0.810109329446064</v>
      </c>
      <c r="AG6" s="41" t="s">
        <v>260</v>
      </c>
    </row>
    <row r="7" customFormat="false" ht="63.75" hidden="false" customHeight="true" outlineLevel="0" collapsed="false">
      <c r="A7" s="1" t="s">
        <v>222</v>
      </c>
      <c r="B7" s="1" t="s">
        <v>9</v>
      </c>
      <c r="C7" s="41" t="s">
        <v>10</v>
      </c>
      <c r="D7" s="11" t="n">
        <f aca="false">'RSEA vs Quoted Comparison'!F7</f>
        <v>66.83</v>
      </c>
      <c r="E7" s="11" t="n">
        <f aca="false">'RSEA vs Quoted Comparison'!G7</f>
        <v>73.513</v>
      </c>
      <c r="F7" s="44"/>
      <c r="G7" s="44"/>
      <c r="H7" s="11" t="n">
        <f aca="false">'RSEA vs Quoted Comparison'!D7</f>
        <v>134.99</v>
      </c>
      <c r="I7" s="11" t="n">
        <f aca="false">'RSEA vs Quoted Comparison'!E7</f>
        <v>122.718181818182</v>
      </c>
      <c r="J7" s="42" t="s">
        <v>259</v>
      </c>
      <c r="K7" s="42" t="s">
        <v>259</v>
      </c>
      <c r="L7" s="42" t="s">
        <v>259</v>
      </c>
      <c r="M7" s="42" t="s">
        <v>259</v>
      </c>
      <c r="N7" s="42" t="s">
        <v>259</v>
      </c>
      <c r="O7" s="42" t="s">
        <v>259</v>
      </c>
      <c r="P7" s="42" t="s">
        <v>259</v>
      </c>
      <c r="Q7" s="42" t="s">
        <v>259</v>
      </c>
      <c r="R7" s="42" t="s">
        <v>259</v>
      </c>
      <c r="S7" s="42" t="s">
        <v>259</v>
      </c>
      <c r="T7" s="42" t="s">
        <v>259</v>
      </c>
      <c r="U7" s="42" t="s">
        <v>259</v>
      </c>
      <c r="V7" s="42" t="s">
        <v>259</v>
      </c>
      <c r="W7" s="42" t="s">
        <v>259</v>
      </c>
      <c r="X7" s="42" t="s">
        <v>259</v>
      </c>
      <c r="Y7" s="42" t="s">
        <v>259</v>
      </c>
      <c r="Z7" s="45" t="n">
        <f aca="false">AA7*1.1</f>
        <v>141.625</v>
      </c>
      <c r="AA7" s="45" t="n">
        <v>128.75</v>
      </c>
      <c r="AB7" s="46"/>
      <c r="AC7" s="46"/>
      <c r="AD7" s="11" t="n">
        <f aca="false">IF(COUNT(I7,J7,M7,O7,Q7,S7,U7,V7,Y7,AA7,AC7)=0,"N/A",MIN(I7,J7,M7,O7,Q7,S7,U7,V7,Y7,AA7,AC7))</f>
        <v>122.718181818182</v>
      </c>
      <c r="AE7" s="43" t="n">
        <f aca="false">IF(OR(D7="",AD7="",AD7="N/A"),"N/A",D7/AD7-1)</f>
        <v>-0.455418919919994</v>
      </c>
      <c r="AF7" s="43" t="str">
        <f aca="false">IF(OR(F7="",AD7="",AD7="N/A"),"N/A",F7/AD7-1)</f>
        <v>N/A</v>
      </c>
      <c r="AG7" s="41" t="s">
        <v>261</v>
      </c>
    </row>
    <row r="8" customFormat="false" ht="97.5" hidden="false" customHeight="true" outlineLevel="0" collapsed="false">
      <c r="A8" s="1" t="s">
        <v>222</v>
      </c>
      <c r="B8" s="1" t="s">
        <v>11</v>
      </c>
      <c r="C8" s="41" t="s">
        <v>12</v>
      </c>
      <c r="D8" s="11" t="n">
        <f aca="false">'RSEA vs Quoted Comparison'!F8</f>
        <v>44.55</v>
      </c>
      <c r="E8" s="11" t="n">
        <f aca="false">'RSEA vs Quoted Comparison'!G8</f>
        <v>49.005</v>
      </c>
      <c r="F8" s="11" t="str">
        <f aca="false">IF('RSEA vs Quoted Comparison'!H8="","",'RSEA vs Quoted Comparison'!H8)</f>
        <v/>
      </c>
      <c r="G8" s="11" t="str">
        <f aca="false">IF('RSEA vs Quoted Comparison'!I8="","",'RSEA vs Quoted Comparison'!I8)</f>
        <v/>
      </c>
      <c r="H8" s="11" t="n">
        <f aca="false">'RSEA vs Quoted Comparison'!D8</f>
        <v>167.99</v>
      </c>
      <c r="I8" s="11" t="n">
        <f aca="false">'RSEA vs Quoted Comparison'!E8</f>
        <v>152.718181818182</v>
      </c>
      <c r="J8" s="42" t="s">
        <v>259</v>
      </c>
      <c r="K8" s="42" t="s">
        <v>259</v>
      </c>
      <c r="L8" s="42" t="s">
        <v>259</v>
      </c>
      <c r="M8" s="42" t="s">
        <v>259</v>
      </c>
      <c r="N8" s="42" t="s">
        <v>259</v>
      </c>
      <c r="O8" s="42" t="s">
        <v>259</v>
      </c>
      <c r="P8" s="42" t="s">
        <v>259</v>
      </c>
      <c r="Q8" s="42" t="s">
        <v>259</v>
      </c>
      <c r="R8" s="42" t="s">
        <v>259</v>
      </c>
      <c r="S8" s="42" t="s">
        <v>259</v>
      </c>
      <c r="T8" s="42" t="s">
        <v>259</v>
      </c>
      <c r="U8" s="42" t="s">
        <v>259</v>
      </c>
      <c r="V8" s="42" t="s">
        <v>259</v>
      </c>
      <c r="W8" s="42" t="s">
        <v>259</v>
      </c>
      <c r="X8" s="42" t="s">
        <v>259</v>
      </c>
      <c r="Y8" s="42" t="s">
        <v>259</v>
      </c>
      <c r="Z8" s="45" t="n">
        <f aca="false">AA8*1.1</f>
        <v>141.625</v>
      </c>
      <c r="AA8" s="45" t="n">
        <v>128.75</v>
      </c>
      <c r="AB8" s="46"/>
      <c r="AC8" s="46"/>
      <c r="AD8" s="11" t="n">
        <f aca="false">IF(COUNT(I8,J8,M8,O8,Q8,S8,U8,V8,Y8,AA8,AC8)=0,"N/A",MIN(I8,J8,M8,O8,Q8,S8,U8,V8,Y8,AA8,AC8))</f>
        <v>128.75</v>
      </c>
      <c r="AE8" s="43" t="n">
        <f aca="false">IF(OR(D8="",AD8="",AD8="N/A"),"N/A",D8/AD8-1)</f>
        <v>-0.653980582524272</v>
      </c>
      <c r="AF8" s="43" t="str">
        <f aca="false">IF(OR(F8="",AD8="",AD8="N/A"),"N/A",F8/AD8-1)</f>
        <v>N/A</v>
      </c>
      <c r="AG8" s="41" t="s">
        <v>261</v>
      </c>
    </row>
    <row r="9" customFormat="false" ht="153.75" hidden="false" customHeight="true" outlineLevel="0" collapsed="false">
      <c r="A9" s="1" t="s">
        <v>222</v>
      </c>
      <c r="B9" s="1" t="s">
        <v>13</v>
      </c>
      <c r="C9" s="41" t="s">
        <v>14</v>
      </c>
      <c r="D9" s="11" t="n">
        <f aca="false">'RSEA vs Quoted Comparison'!F9</f>
        <v>44.55</v>
      </c>
      <c r="E9" s="11" t="n">
        <f aca="false">'RSEA vs Quoted Comparison'!G9</f>
        <v>49.005</v>
      </c>
      <c r="F9" s="11" t="n">
        <f aca="false">IF('RSEA vs Quoted Comparison'!H9="","",'RSEA vs Quoted Comparison'!H9)</f>
        <v>45.144</v>
      </c>
      <c r="G9" s="11" t="n">
        <f aca="false">IF('RSEA vs Quoted Comparison'!I9="","",'RSEA vs Quoted Comparison'!I9)</f>
        <v>49.6584</v>
      </c>
      <c r="H9" s="11" t="n">
        <f aca="false">'RSEA vs Quoted Comparison'!D9</f>
        <v>147.99</v>
      </c>
      <c r="I9" s="11" t="n">
        <f aca="false">'RSEA vs Quoted Comparison'!E9</f>
        <v>134.536363636364</v>
      </c>
      <c r="J9" s="11" t="n">
        <f aca="false">K9*1.1</f>
        <v>71.038</v>
      </c>
      <c r="K9" s="11" t="n">
        <v>64.58</v>
      </c>
      <c r="L9" s="11" t="n">
        <v>93.25</v>
      </c>
      <c r="M9" s="11" t="n">
        <v>84.77</v>
      </c>
      <c r="N9" s="11" t="n">
        <v>99</v>
      </c>
      <c r="O9" s="11" t="n">
        <f aca="false">N9/1.1</f>
        <v>90</v>
      </c>
      <c r="P9" s="11" t="n">
        <v>77.4</v>
      </c>
      <c r="Q9" s="11" t="n">
        <v>70.36</v>
      </c>
      <c r="R9" s="11" t="n">
        <v>92.4</v>
      </c>
      <c r="S9" s="11" t="n">
        <f aca="false">R9/1.1</f>
        <v>84</v>
      </c>
      <c r="T9" s="11" t="n">
        <v>106.09</v>
      </c>
      <c r="U9" s="11" t="n">
        <f aca="false">T9/1.1</f>
        <v>96.4454545454545</v>
      </c>
      <c r="V9" s="11" t="n">
        <f aca="false">W9*1.1</f>
        <v>69.245</v>
      </c>
      <c r="W9" s="11" t="n">
        <v>62.95</v>
      </c>
      <c r="X9" s="11" t="n">
        <v>117.4</v>
      </c>
      <c r="Y9" s="11" t="n">
        <f aca="false">X9/1.1</f>
        <v>106.727272727273</v>
      </c>
      <c r="Z9" s="11" t="n">
        <v>128.81</v>
      </c>
      <c r="AA9" s="11" t="n">
        <f aca="false">Z9/1.1</f>
        <v>117.1</v>
      </c>
      <c r="AB9" s="11" t="n">
        <v>121</v>
      </c>
      <c r="AC9" s="11" t="n">
        <f aca="false">AB9/1.1</f>
        <v>110</v>
      </c>
      <c r="AD9" s="11" t="n">
        <f aca="false">IF(COUNT(I9,J9,M9,O9,Q9,S9,U9,V9,Y9,AA9,AC9)=0,"N/A",MIN(I9,J9,M9,O9,Q9,S9,U9,V9,Y9,AA9,AC9))</f>
        <v>69.245</v>
      </c>
      <c r="AE9" s="43" t="n">
        <f aca="false">IF(OR(D9="",AD9="",AD9="N/A"),"N/A",D9/AD9-1)</f>
        <v>-0.356632247815727</v>
      </c>
      <c r="AF9" s="43" t="n">
        <f aca="false">IF(OR(F9="",AD9="",AD9="N/A"),"N/A",F9/AD9-1)</f>
        <v>-0.348054011119937</v>
      </c>
      <c r="AG9" s="41" t="s">
        <v>262</v>
      </c>
    </row>
    <row r="10" customFormat="false" ht="123.75" hidden="false" customHeight="true" outlineLevel="0" collapsed="false">
      <c r="A10" s="1" t="s">
        <v>222</v>
      </c>
      <c r="B10" s="1" t="s">
        <v>15</v>
      </c>
      <c r="C10" s="41" t="s">
        <v>16</v>
      </c>
      <c r="D10" s="11" t="n">
        <f aca="false">'RSEA vs Quoted Comparison'!F10</f>
        <v>69.61</v>
      </c>
      <c r="E10" s="11" t="n">
        <f aca="false">'RSEA vs Quoted Comparison'!G10</f>
        <v>76.571</v>
      </c>
      <c r="F10" s="11" t="n">
        <f aca="false">IF('RSEA vs Quoted Comparison'!H10="","",'RSEA vs Quoted Comparison'!H10)</f>
        <v>70.538125</v>
      </c>
      <c r="G10" s="11" t="n">
        <f aca="false">IF('RSEA vs Quoted Comparison'!I10="","",'RSEA vs Quoted Comparison'!I10)</f>
        <v>77.5919375</v>
      </c>
      <c r="H10" s="11" t="n">
        <f aca="false">'RSEA vs Quoted Comparison'!D10</f>
        <v>167.99</v>
      </c>
      <c r="I10" s="11" t="n">
        <f aca="false">'RSEA vs Quoted Comparison'!E10</f>
        <v>152.718181818182</v>
      </c>
      <c r="J10" s="11" t="n">
        <f aca="false">K10*1.1</f>
        <v>84.15</v>
      </c>
      <c r="K10" s="11" t="n">
        <v>76.5</v>
      </c>
      <c r="L10" s="11" t="n">
        <v>117.3</v>
      </c>
      <c r="M10" s="11" t="n">
        <v>106.64</v>
      </c>
      <c r="N10" s="11" t="n">
        <v>124.95</v>
      </c>
      <c r="O10" s="11" t="n">
        <f aca="false">N10/1.1</f>
        <v>113.590909090909</v>
      </c>
      <c r="P10" s="11" t="n">
        <v>95.4</v>
      </c>
      <c r="Q10" s="11" t="n">
        <v>86.73</v>
      </c>
      <c r="R10" s="11" t="n">
        <v>118.8</v>
      </c>
      <c r="S10" s="11" t="n">
        <f aca="false">R10/1.1</f>
        <v>108</v>
      </c>
      <c r="T10" s="11" t="n">
        <v>98.18</v>
      </c>
      <c r="U10" s="11" t="n">
        <f aca="false">T10/1.1</f>
        <v>89.2545454545455</v>
      </c>
      <c r="V10" s="11" t="n">
        <f aca="false">W10*1.1</f>
        <v>81.4</v>
      </c>
      <c r="W10" s="11" t="n">
        <v>74</v>
      </c>
      <c r="X10" s="11" t="n">
        <v>128.32</v>
      </c>
      <c r="Y10" s="11" t="n">
        <f aca="false">X10/1.1</f>
        <v>116.654545454545</v>
      </c>
      <c r="Z10" s="11" t="n">
        <v>220.92</v>
      </c>
      <c r="AA10" s="11" t="n">
        <f aca="false">Z10/1.1</f>
        <v>200.836363636364</v>
      </c>
      <c r="AB10" s="11" t="n">
        <v>137.5</v>
      </c>
      <c r="AC10" s="11" t="n">
        <f aca="false">AB10/1.1</f>
        <v>125</v>
      </c>
      <c r="AD10" s="11" t="n">
        <f aca="false">IF(COUNT(I10,J10,M10,O10,Q10,S10,U10,V10,Y10,AA10,AC10)=0,"N/A",MIN(I10,J10,M10,O10,Q10,S10,U10,V10,Y10,AA10,AC10))</f>
        <v>81.4</v>
      </c>
      <c r="AE10" s="43" t="n">
        <f aca="false">IF(OR(D10="",AD10="",AD10="N/A"),"N/A",D10/AD10-1)</f>
        <v>-0.144840294840295</v>
      </c>
      <c r="AF10" s="43" t="n">
        <f aca="false">IF(OR(F10="",AD10="",AD10="N/A"),"N/A",F10/AD10-1)</f>
        <v>-0.133438267813268</v>
      </c>
      <c r="AG10" s="41" t="s">
        <v>263</v>
      </c>
    </row>
    <row r="11" customFormat="false" ht="123.75" hidden="false" customHeight="true" outlineLevel="0" collapsed="false">
      <c r="A11" s="1" t="s">
        <v>222</v>
      </c>
      <c r="B11" s="1" t="s">
        <v>17</v>
      </c>
      <c r="C11" s="41" t="s">
        <v>18</v>
      </c>
      <c r="D11" s="11" t="n">
        <f aca="false">'RSEA vs Quoted Comparison'!F11</f>
        <v>33.41</v>
      </c>
      <c r="E11" s="11" t="n">
        <f aca="false">'RSEA vs Quoted Comparison'!G11</f>
        <v>36.751</v>
      </c>
      <c r="F11" s="11" t="n">
        <f aca="false">IF('RSEA vs Quoted Comparison'!H11="","",'RSEA vs Quoted Comparison'!H11)</f>
        <v>33.8555</v>
      </c>
      <c r="G11" s="11" t="n">
        <f aca="false">IF('RSEA vs Quoted Comparison'!I11="","",'RSEA vs Quoted Comparison'!I11)</f>
        <v>37.24105</v>
      </c>
      <c r="H11" s="11" t="n">
        <f aca="false">'RSEA vs Quoted Comparison'!D11</f>
        <v>142.99</v>
      </c>
      <c r="I11" s="11" t="n">
        <f aca="false">'RSEA vs Quoted Comparison'!E11</f>
        <v>129.990909090909</v>
      </c>
      <c r="J11" s="11" t="n">
        <f aca="false">K11*1.1</f>
        <v>44.209</v>
      </c>
      <c r="K11" s="11" t="n">
        <v>40.19</v>
      </c>
      <c r="L11" s="11" t="n">
        <v>63.11</v>
      </c>
      <c r="M11" s="11" t="n">
        <v>57.37</v>
      </c>
      <c r="N11" s="11" t="n">
        <v>90.3</v>
      </c>
      <c r="O11" s="11" t="n">
        <f aca="false">N11/1.1</f>
        <v>82.0909090909091</v>
      </c>
      <c r="P11" s="11" t="n">
        <v>57</v>
      </c>
      <c r="Q11" s="11" t="n">
        <v>51.82</v>
      </c>
      <c r="R11" s="11" t="n">
        <v>74.8</v>
      </c>
      <c r="S11" s="11" t="n">
        <f aca="false">R11/1.1</f>
        <v>68</v>
      </c>
      <c r="T11" s="11" t="n">
        <v>78.64</v>
      </c>
      <c r="U11" s="11" t="n">
        <f aca="false">T11/1.1</f>
        <v>71.4909090909091</v>
      </c>
      <c r="V11" s="11" t="n">
        <f aca="false">W11*1.1</f>
        <v>63.8</v>
      </c>
      <c r="W11" s="11" t="n">
        <v>58</v>
      </c>
      <c r="X11" s="11" t="n">
        <v>80.22</v>
      </c>
      <c r="Y11" s="11" t="n">
        <f aca="false">X11/1.1</f>
        <v>72.9272727272727</v>
      </c>
      <c r="Z11" s="11" t="n">
        <v>173.98</v>
      </c>
      <c r="AA11" s="11" t="n">
        <f aca="false">Z11/1.1</f>
        <v>158.163636363636</v>
      </c>
      <c r="AB11" s="11" t="n">
        <v>85.7</v>
      </c>
      <c r="AC11" s="11" t="n">
        <f aca="false">AB11/1.1</f>
        <v>77.9090909090909</v>
      </c>
      <c r="AD11" s="11" t="n">
        <f aca="false">IF(COUNT(I11,J11,M11,O11,Q11,S11,U11,V11,Y11,AA11,AC11)=0,"N/A",MIN(I11,J11,M11,O11,Q11,S11,U11,V11,Y11,AA11,AC11))</f>
        <v>44.209</v>
      </c>
      <c r="AE11" s="43" t="n">
        <f aca="false">IF(OR(D11="",AD11="",AD11="N/A"),"N/A",D11/AD11-1)</f>
        <v>-0.244271528421815</v>
      </c>
      <c r="AF11" s="43" t="n">
        <f aca="false">IF(OR(F11="",AD11="",AD11="N/A"),"N/A",F11/AD11-1)</f>
        <v>-0.234194394806487</v>
      </c>
      <c r="AG11" s="41" t="s">
        <v>264</v>
      </c>
    </row>
    <row r="12" customFormat="false" ht="123.75" hidden="false" customHeight="true" outlineLevel="0" collapsed="false">
      <c r="A12" s="1" t="s">
        <v>222</v>
      </c>
      <c r="B12" s="1" t="s">
        <v>19</v>
      </c>
      <c r="C12" s="41" t="s">
        <v>20</v>
      </c>
      <c r="D12" s="11" t="n">
        <f aca="false">'RSEA vs Quoted Comparison'!F12</f>
        <v>44.55</v>
      </c>
      <c r="E12" s="11" t="n">
        <f aca="false">'RSEA vs Quoted Comparison'!G12</f>
        <v>49.005</v>
      </c>
      <c r="F12" s="11" t="n">
        <f aca="false">IF('RSEA vs Quoted Comparison'!H12="","",'RSEA vs Quoted Comparison'!H12)</f>
        <v>45.144</v>
      </c>
      <c r="G12" s="11" t="n">
        <f aca="false">IF('RSEA vs Quoted Comparison'!I12="","",'RSEA vs Quoted Comparison'!I12)</f>
        <v>49.6584</v>
      </c>
      <c r="H12" s="11" t="n">
        <f aca="false">'RSEA vs Quoted Comparison'!D12</f>
        <v>157.99</v>
      </c>
      <c r="I12" s="11" t="n">
        <f aca="false">'RSEA vs Quoted Comparison'!E12</f>
        <v>143.627272727273</v>
      </c>
      <c r="J12" s="11" t="n">
        <f aca="false">K12*1.1</f>
        <v>88.781</v>
      </c>
      <c r="K12" s="11" t="n">
        <v>80.71</v>
      </c>
      <c r="L12" s="11" t="n">
        <v>95.35</v>
      </c>
      <c r="M12" s="11" t="n">
        <v>86.68</v>
      </c>
      <c r="N12" s="11" t="n">
        <v>105.6</v>
      </c>
      <c r="O12" s="11" t="n">
        <f aca="false">N12/1.1</f>
        <v>96</v>
      </c>
      <c r="P12" s="11" t="n">
        <v>77.4</v>
      </c>
      <c r="Q12" s="11" t="n">
        <v>70.36</v>
      </c>
      <c r="R12" s="11" t="n">
        <v>107.8</v>
      </c>
      <c r="S12" s="11" t="n">
        <f aca="false">R12/1.1</f>
        <v>98</v>
      </c>
      <c r="T12" s="11" t="n">
        <v>94.5</v>
      </c>
      <c r="U12" s="11" t="n">
        <f aca="false">T12/1.1</f>
        <v>85.9090909090909</v>
      </c>
      <c r="V12" s="11" t="n">
        <f aca="false">W12*1.1</f>
        <v>97.35</v>
      </c>
      <c r="W12" s="11" t="n">
        <v>88.5</v>
      </c>
      <c r="X12" s="11" t="n">
        <v>127.75</v>
      </c>
      <c r="Y12" s="11" t="n">
        <f aca="false">X12/1.1</f>
        <v>116.136363636364</v>
      </c>
      <c r="Z12" s="11" t="n">
        <v>179.74</v>
      </c>
      <c r="AA12" s="11" t="n">
        <f aca="false">Z12/1.1</f>
        <v>163.4</v>
      </c>
      <c r="AB12" s="11" t="n">
        <v>130.79</v>
      </c>
      <c r="AC12" s="11" t="n">
        <f aca="false">AB12/1.1</f>
        <v>118.9</v>
      </c>
      <c r="AD12" s="11" t="n">
        <f aca="false">IF(COUNT(I12,J12,M12,O12,Q12,S12,U12,V12,Y12,AA12,AC12)=0,"N/A",MIN(I12,J12,M12,O12,Q12,S12,U12,V12,Y12,AA12,AC12))</f>
        <v>70.36</v>
      </c>
      <c r="AE12" s="43" t="n">
        <f aca="false">IF(OR(D12="",AD12="",AD12="N/A"),"N/A",D12/AD12-1)</f>
        <v>-0.366827743035816</v>
      </c>
      <c r="AF12" s="43" t="n">
        <f aca="false">IF(OR(F12="",AD12="",AD12="N/A"),"N/A",F12/AD12-1)</f>
        <v>-0.358385446276293</v>
      </c>
      <c r="AG12" s="41" t="s">
        <v>265</v>
      </c>
    </row>
    <row r="13" customFormat="false" ht="168.75" hidden="false" customHeight="true" outlineLevel="0" collapsed="false">
      <c r="A13" s="1" t="s">
        <v>222</v>
      </c>
      <c r="B13" s="1" t="s">
        <v>79</v>
      </c>
      <c r="C13" s="41" t="s">
        <v>80</v>
      </c>
      <c r="D13" s="11" t="n">
        <f aca="false">'RSEA vs Quoted Comparison'!F13</f>
        <v>33.41</v>
      </c>
      <c r="E13" s="11" t="n">
        <f aca="false">'RSEA vs Quoted Comparison'!G13</f>
        <v>36.751</v>
      </c>
      <c r="F13" s="11" t="n">
        <f aca="false">IF('RSEA vs Quoted Comparison'!H13="","",'RSEA vs Quoted Comparison'!H13)</f>
        <v>33.8555</v>
      </c>
      <c r="G13" s="11" t="n">
        <f aca="false">IF('RSEA vs Quoted Comparison'!I13="","",'RSEA vs Quoted Comparison'!I13)</f>
        <v>37.24105</v>
      </c>
      <c r="H13" s="11" t="n">
        <f aca="false">'RSEA vs Quoted Comparison'!D13</f>
        <v>142.99</v>
      </c>
      <c r="I13" s="11" t="n">
        <f aca="false">'RSEA vs Quoted Comparison'!E13</f>
        <v>129.990909090909</v>
      </c>
      <c r="J13" s="11" t="n">
        <f aca="false">K13*1.1</f>
        <v>109.153</v>
      </c>
      <c r="K13" s="11" t="n">
        <v>99.23</v>
      </c>
      <c r="L13" s="11" t="n">
        <v>61.59</v>
      </c>
      <c r="M13" s="11" t="n">
        <v>55.99</v>
      </c>
      <c r="N13" s="11" t="n">
        <v>36.5</v>
      </c>
      <c r="O13" s="11" t="n">
        <f aca="false">N13/1.1</f>
        <v>33.1818181818182</v>
      </c>
      <c r="P13" s="11" t="n">
        <v>57</v>
      </c>
      <c r="Q13" s="11" t="n">
        <v>51.82</v>
      </c>
      <c r="R13" s="11" t="n">
        <v>74.8</v>
      </c>
      <c r="S13" s="11" t="n">
        <f aca="false">R13/1.1</f>
        <v>68</v>
      </c>
      <c r="T13" s="11" t="n">
        <v>31.19</v>
      </c>
      <c r="U13" s="11" t="n">
        <f aca="false">T13/1.1</f>
        <v>28.3545454545455</v>
      </c>
      <c r="V13" s="42" t="s">
        <v>259</v>
      </c>
      <c r="W13" s="42" t="s">
        <v>259</v>
      </c>
      <c r="X13" s="11" t="n">
        <v>110.1</v>
      </c>
      <c r="Y13" s="11" t="n">
        <f aca="false">X13/1.1</f>
        <v>100.090909090909</v>
      </c>
      <c r="Z13" s="11" t="n">
        <v>44</v>
      </c>
      <c r="AA13" s="11" t="n">
        <f aca="false">Z13/1.1</f>
        <v>40</v>
      </c>
      <c r="AB13" s="11" t="n">
        <v>90.08</v>
      </c>
      <c r="AC13" s="11" t="n">
        <f aca="false">AB13/1.1</f>
        <v>81.8909090909091</v>
      </c>
      <c r="AD13" s="11" t="n">
        <f aca="false">IF(COUNT(I13,J13,M13,O13,Q13,S13,U13,V13,Y13,AA13,AC13)=0,"N/A",MIN(I13,J13,M13,O13,Q13,S13,U13,V13,Y13,AA13,AC13))</f>
        <v>28.3545454545455</v>
      </c>
      <c r="AE13" s="43" t="n">
        <f aca="false">IF(OR(D13="",AD13="",AD13="N/A"),"N/A",D13/AD13-1)</f>
        <v>0.1782943251042</v>
      </c>
      <c r="AF13" s="43" t="n">
        <f aca="false">IF(OR(F13="",AD13="",AD13="N/A"),"N/A",F13/AD13-1)</f>
        <v>0.194006091696056</v>
      </c>
      <c r="AG13" s="41" t="s">
        <v>266</v>
      </c>
    </row>
    <row r="14" customFormat="false" ht="138.75" hidden="false" customHeight="true" outlineLevel="0" collapsed="false">
      <c r="A14" s="1" t="s">
        <v>222</v>
      </c>
      <c r="B14" s="1" t="s">
        <v>81</v>
      </c>
      <c r="C14" s="41" t="s">
        <v>82</v>
      </c>
      <c r="D14" s="11" t="n">
        <f aca="false">'RSEA vs Quoted Comparison'!F14</f>
        <v>25.06</v>
      </c>
      <c r="E14" s="11" t="n">
        <f aca="false">'RSEA vs Quoted Comparison'!G14</f>
        <v>27.566</v>
      </c>
      <c r="F14" s="11" t="n">
        <f aca="false">IF('RSEA vs Quoted Comparison'!H14="","",'RSEA vs Quoted Comparison'!H14)</f>
        <v>25.394125</v>
      </c>
      <c r="G14" s="11" t="n">
        <f aca="false">IF('RSEA vs Quoted Comparison'!I14="","",'RSEA vs Quoted Comparison'!I14)</f>
        <v>27.9335375</v>
      </c>
      <c r="H14" s="11" t="n">
        <f aca="false">'RSEA vs Quoted Comparison'!D14</f>
        <v>112.99</v>
      </c>
      <c r="I14" s="11" t="n">
        <f aca="false">'RSEA vs Quoted Comparison'!E14</f>
        <v>102.718181818182</v>
      </c>
      <c r="J14" s="11" t="n">
        <f aca="false">K14*1.1</f>
        <v>77.968</v>
      </c>
      <c r="K14" s="11" t="n">
        <v>70.88</v>
      </c>
      <c r="L14" s="11" t="n">
        <v>61.29</v>
      </c>
      <c r="M14" s="11" t="n">
        <v>55.72</v>
      </c>
      <c r="N14" s="11" t="n">
        <v>49.5</v>
      </c>
      <c r="O14" s="11" t="n">
        <f aca="false">N14/1.1</f>
        <v>45</v>
      </c>
      <c r="P14" s="11" t="n">
        <v>47.4</v>
      </c>
      <c r="Q14" s="11" t="n">
        <v>43.09</v>
      </c>
      <c r="R14" s="11" t="n">
        <v>61.6</v>
      </c>
      <c r="S14" s="11" t="n">
        <f aca="false">R14/1.1</f>
        <v>56</v>
      </c>
      <c r="T14" s="11" t="n">
        <v>76.56</v>
      </c>
      <c r="U14" s="11" t="n">
        <f aca="false">T14/1.1</f>
        <v>69.6</v>
      </c>
      <c r="V14" s="11" t="n">
        <f aca="false">W14*1.1</f>
        <v>69.245</v>
      </c>
      <c r="W14" s="11" t="n">
        <v>62.95</v>
      </c>
      <c r="X14" s="11" t="n">
        <v>100.71</v>
      </c>
      <c r="Y14" s="11" t="n">
        <f aca="false">X14/1.1</f>
        <v>91.5545454545455</v>
      </c>
      <c r="Z14" s="11" t="n">
        <v>159.24</v>
      </c>
      <c r="AA14" s="11" t="n">
        <f aca="false">Z14/1.1</f>
        <v>144.763636363636</v>
      </c>
      <c r="AB14" s="11" t="n">
        <v>82.5</v>
      </c>
      <c r="AC14" s="11" t="n">
        <f aca="false">AB14/1.1</f>
        <v>75</v>
      </c>
      <c r="AD14" s="11" t="n">
        <f aca="false">IF(COUNT(I14,J14,M14,O14,Q14,S14,U14,V14,Y14,AA14,AC14)=0,"N/A",MIN(I14,J14,M14,O14,Q14,S14,U14,V14,Y14,AA14,AC14))</f>
        <v>43.09</v>
      </c>
      <c r="AE14" s="43" t="n">
        <f aca="false">IF(OR(D14="",AD14="",AD14="N/A"),"N/A",D14/AD14-1)</f>
        <v>-0.418426549083314</v>
      </c>
      <c r="AF14" s="43" t="n">
        <f aca="false">IF(OR(F14="",AD14="",AD14="N/A"),"N/A",F14/AD14-1)</f>
        <v>-0.410672429798097</v>
      </c>
      <c r="AG14" s="41" t="s">
        <v>267</v>
      </c>
    </row>
    <row r="15" customFormat="false" ht="78.75" hidden="false" customHeight="true" outlineLevel="0" collapsed="false">
      <c r="A15" s="1" t="s">
        <v>222</v>
      </c>
      <c r="B15" s="1" t="s">
        <v>101</v>
      </c>
      <c r="C15" s="41" t="s">
        <v>102</v>
      </c>
      <c r="D15" s="11" t="n">
        <f aca="false">'RSEA vs Quoted Comparison'!F15</f>
        <v>8.35</v>
      </c>
      <c r="E15" s="11" t="n">
        <f aca="false">'RSEA vs Quoted Comparison'!G15</f>
        <v>9.185</v>
      </c>
      <c r="F15" s="11" t="n">
        <f aca="false">IF('RSEA vs Quoted Comparison'!H15="","",'RSEA vs Quoted Comparison'!H15)</f>
        <v>8.461375</v>
      </c>
      <c r="G15" s="11" t="n">
        <f aca="false">IF('RSEA vs Quoted Comparison'!I15="","",'RSEA vs Quoted Comparison'!I15)</f>
        <v>9.3075125</v>
      </c>
      <c r="H15" s="11" t="n">
        <f aca="false">'RSEA vs Quoted Comparison'!D15</f>
        <v>32.99</v>
      </c>
      <c r="I15" s="11" t="n">
        <f aca="false">'RSEA vs Quoted Comparison'!E15</f>
        <v>29.9909090909091</v>
      </c>
      <c r="J15" s="42" t="s">
        <v>259</v>
      </c>
      <c r="K15" s="42" t="s">
        <v>259</v>
      </c>
      <c r="L15" s="42" t="s">
        <v>259</v>
      </c>
      <c r="M15" s="42" t="s">
        <v>259</v>
      </c>
      <c r="N15" s="47" t="n">
        <v>35.7</v>
      </c>
      <c r="O15" s="47" t="n">
        <f aca="false">N15/1.1</f>
        <v>32.4545454545455</v>
      </c>
      <c r="P15" s="47" t="n">
        <v>24.2</v>
      </c>
      <c r="Q15" s="47" t="n">
        <v>22</v>
      </c>
      <c r="R15" s="47" t="n">
        <v>25</v>
      </c>
      <c r="S15" s="47" t="n">
        <f aca="false">R15/1.1</f>
        <v>22.7272727272727</v>
      </c>
      <c r="T15" s="42" t="s">
        <v>259</v>
      </c>
      <c r="U15" s="42" t="s">
        <v>259</v>
      </c>
      <c r="V15" s="42" t="s">
        <v>259</v>
      </c>
      <c r="W15" s="42" t="s">
        <v>259</v>
      </c>
      <c r="X15" s="47" t="n">
        <v>35.07</v>
      </c>
      <c r="Y15" s="47" t="n">
        <f aca="false">X15/1.1</f>
        <v>31.8818181818182</v>
      </c>
      <c r="Z15" s="45" t="n">
        <f aca="false">AA15*1.1</f>
        <v>46.134</v>
      </c>
      <c r="AA15" s="45" t="n">
        <v>41.94</v>
      </c>
      <c r="AB15" s="45" t="n">
        <v>35.06</v>
      </c>
      <c r="AC15" s="45" t="n">
        <f aca="false">AB15/1.1</f>
        <v>31.8727272727273</v>
      </c>
      <c r="AD15" s="11" t="n">
        <f aca="false">IF(COUNT(I15,J15,M15,O15,Q15,S15,U15,V15,Y15,AA15,AC15)=0,"N/A",MIN(I15,J15,M15,O15,Q15,S15,U15,V15,Y15,AA15,AC15))</f>
        <v>22</v>
      </c>
      <c r="AE15" s="43" t="n">
        <f aca="false">IF(OR(D15="",AD15="",AD15="N/A"),"N/A",D15/AD15-1)</f>
        <v>-0.620454545454546</v>
      </c>
      <c r="AF15" s="43" t="n">
        <f aca="false">IF(OR(F15="",AD15="",AD15="N/A"),"N/A",F15/AD15-1)</f>
        <v>-0.615392045454545</v>
      </c>
      <c r="AG15" s="41" t="s">
        <v>268</v>
      </c>
    </row>
    <row r="16" customFormat="false" ht="78.75" hidden="false" customHeight="true" outlineLevel="0" collapsed="false">
      <c r="A16" s="1" t="s">
        <v>222</v>
      </c>
      <c r="B16" s="1" t="s">
        <v>107</v>
      </c>
      <c r="C16" s="41" t="s">
        <v>108</v>
      </c>
      <c r="D16" s="11" t="n">
        <f aca="false">'RSEA vs Quoted Comparison'!F16</f>
        <v>15.59</v>
      </c>
      <c r="E16" s="11" t="n">
        <f aca="false">'RSEA vs Quoted Comparison'!G16</f>
        <v>17.149</v>
      </c>
      <c r="F16" s="11" t="n">
        <f aca="false">IF('RSEA vs Quoted Comparison'!H16="","",'RSEA vs Quoted Comparison'!H16)</f>
        <v>15.81275</v>
      </c>
      <c r="G16" s="11" t="n">
        <f aca="false">IF('RSEA vs Quoted Comparison'!I16="","",'RSEA vs Quoted Comparison'!I16)</f>
        <v>17.394025</v>
      </c>
      <c r="H16" s="11" t="n">
        <f aca="false">'RSEA vs Quoted Comparison'!D16</f>
        <v>44.99</v>
      </c>
      <c r="I16" s="11" t="n">
        <f aca="false">'RSEA vs Quoted Comparison'!E16</f>
        <v>40.9</v>
      </c>
      <c r="J16" s="42" t="s">
        <v>259</v>
      </c>
      <c r="K16" s="42" t="s">
        <v>259</v>
      </c>
      <c r="L16" s="47" t="n">
        <v>48.29</v>
      </c>
      <c r="M16" s="47" t="n">
        <v>43.9</v>
      </c>
      <c r="N16" s="47" t="n">
        <v>39.95</v>
      </c>
      <c r="O16" s="47" t="n">
        <f aca="false">N16/1.1</f>
        <v>36.3181818181818</v>
      </c>
      <c r="P16" s="47" t="n">
        <v>24.2</v>
      </c>
      <c r="Q16" s="47" t="n">
        <v>22</v>
      </c>
      <c r="R16" s="47" t="n">
        <v>27.5</v>
      </c>
      <c r="S16" s="47" t="n">
        <f aca="false">R16/1.1</f>
        <v>25</v>
      </c>
      <c r="T16" s="42" t="s">
        <v>259</v>
      </c>
      <c r="U16" s="42" t="s">
        <v>259</v>
      </c>
      <c r="V16" s="47" t="n">
        <v>21.9</v>
      </c>
      <c r="W16" s="47" t="n">
        <f aca="false">V16*1.1</f>
        <v>24.09</v>
      </c>
      <c r="X16" s="47" t="n">
        <v>42.75</v>
      </c>
      <c r="Y16" s="47" t="n">
        <f aca="false">X16/1.1</f>
        <v>38.8636363636364</v>
      </c>
      <c r="Z16" s="45" t="n">
        <f aca="false">AA16*1.1</f>
        <v>48.851</v>
      </c>
      <c r="AA16" s="45" t="n">
        <v>44.41</v>
      </c>
      <c r="AB16" s="45" t="n">
        <v>38.45</v>
      </c>
      <c r="AC16" s="45" t="n">
        <f aca="false">AB16/1.1</f>
        <v>34.9545454545455</v>
      </c>
      <c r="AD16" s="11" t="n">
        <f aca="false">IF(COUNT(I16,J16,M16,O16,Q16,S16,U16,V16,Y16,AA16,AC16)=0,"N/A",MIN(I16,J16,M16,O16,Q16,S16,U16,V16,Y16,AA16,AC16))</f>
        <v>21.9</v>
      </c>
      <c r="AE16" s="43" t="n">
        <f aca="false">IF(OR(D16="",AD16="",AD16="N/A"),"N/A",D16/AD16-1)</f>
        <v>-0.288127853881279</v>
      </c>
      <c r="AF16" s="43" t="n">
        <f aca="false">IF(OR(F16="",AD16="",AD16="N/A"),"N/A",F16/AD16-1)</f>
        <v>-0.277956621004566</v>
      </c>
      <c r="AG16" s="41" t="s">
        <v>269</v>
      </c>
    </row>
    <row r="17" customFormat="false" ht="48.75" hidden="false" customHeight="true" outlineLevel="0" collapsed="false">
      <c r="A17" s="1" t="s">
        <v>222</v>
      </c>
      <c r="B17" s="1" t="s">
        <v>117</v>
      </c>
      <c r="C17" s="41" t="s">
        <v>118</v>
      </c>
      <c r="D17" s="11" t="n">
        <f aca="false">'RSEA vs Quoted Comparison'!F17</f>
        <v>8.35</v>
      </c>
      <c r="E17" s="11" t="n">
        <f aca="false">'RSEA vs Quoted Comparison'!G17</f>
        <v>9.185</v>
      </c>
      <c r="F17" s="11" t="n">
        <f aca="false">IF('RSEA vs Quoted Comparison'!H17="","",'RSEA vs Quoted Comparison'!H17)</f>
        <v>8.461375</v>
      </c>
      <c r="G17" s="11" t="n">
        <f aca="false">IF('RSEA vs Quoted Comparison'!I17="","",'RSEA vs Quoted Comparison'!I17)</f>
        <v>9.3075125</v>
      </c>
      <c r="H17" s="11" t="n">
        <f aca="false">'RSEA vs Quoted Comparison'!D17</f>
        <v>32.99</v>
      </c>
      <c r="I17" s="11" t="n">
        <f aca="false">'RSEA vs Quoted Comparison'!E17</f>
        <v>29.9909090909091</v>
      </c>
      <c r="J17" s="42" t="s">
        <v>259</v>
      </c>
      <c r="K17" s="42" t="s">
        <v>259</v>
      </c>
      <c r="L17" s="47" t="n">
        <v>53.63</v>
      </c>
      <c r="M17" s="47" t="n">
        <v>48.75</v>
      </c>
      <c r="N17" s="47" t="n">
        <v>35.7</v>
      </c>
      <c r="O17" s="47" t="n">
        <f aca="false">N17/1.1</f>
        <v>32.4545454545455</v>
      </c>
      <c r="P17" s="47" t="n">
        <v>11.55</v>
      </c>
      <c r="Q17" s="47" t="n">
        <v>10.5</v>
      </c>
      <c r="R17" s="47" t="n">
        <v>25</v>
      </c>
      <c r="S17" s="47" t="n">
        <f aca="false">R17/1.1</f>
        <v>22.7272727272727</v>
      </c>
      <c r="T17" s="42" t="s">
        <v>259</v>
      </c>
      <c r="U17" s="42" t="s">
        <v>259</v>
      </c>
      <c r="V17" s="42" t="s">
        <v>259</v>
      </c>
      <c r="W17" s="42" t="s">
        <v>259</v>
      </c>
      <c r="X17" s="47" t="n">
        <v>35.07</v>
      </c>
      <c r="Y17" s="47" t="n">
        <f aca="false">X17/1.1</f>
        <v>31.8818181818182</v>
      </c>
      <c r="Z17" s="45" t="n">
        <f aca="false">AA17*1.1</f>
        <v>46.134</v>
      </c>
      <c r="AA17" s="45" t="n">
        <v>41.94</v>
      </c>
      <c r="AB17" s="45" t="n">
        <v>35.06</v>
      </c>
      <c r="AC17" s="45" t="n">
        <f aca="false">AB17/1.1</f>
        <v>31.8727272727273</v>
      </c>
      <c r="AD17" s="11" t="n">
        <f aca="false">IF(COUNT(I17,J17,M17,O17,Q17,S17,U17,V17,Y17,AA17,AC17)=0,"N/A",MIN(I17,J17,M17,O17,Q17,S17,U17,V17,Y17,AA17,AC17))</f>
        <v>10.5</v>
      </c>
      <c r="AE17" s="43" t="n">
        <f aca="false">IF(OR(D17="",AD17="",AD17="N/A"),"N/A",D17/AD17-1)</f>
        <v>-0.204761904761905</v>
      </c>
      <c r="AF17" s="43" t="n">
        <f aca="false">IF(OR(F17="",AD17="",AD17="N/A"),"N/A",F17/AD17-1)</f>
        <v>-0.194154761904762</v>
      </c>
      <c r="AG17" s="41" t="s">
        <v>270</v>
      </c>
    </row>
    <row r="18" customFormat="false" ht="108.75" hidden="false" customHeight="true" outlineLevel="0" collapsed="false">
      <c r="A18" s="1" t="s">
        <v>222</v>
      </c>
      <c r="B18" s="1" t="s">
        <v>127</v>
      </c>
      <c r="C18" s="41" t="s">
        <v>128</v>
      </c>
      <c r="D18" s="11" t="n">
        <f aca="false">'RSEA vs Quoted Comparison'!F18</f>
        <v>29.7</v>
      </c>
      <c r="E18" s="11" t="n">
        <f aca="false">'RSEA vs Quoted Comparison'!G18</f>
        <v>32.67</v>
      </c>
      <c r="F18" s="11" t="n">
        <f aca="false">IF('RSEA vs Quoted Comparison'!H18="","",'RSEA vs Quoted Comparison'!H18)</f>
        <v>30.1455</v>
      </c>
      <c r="G18" s="11" t="n">
        <f aca="false">IF('RSEA vs Quoted Comparison'!I18="","",'RSEA vs Quoted Comparison'!I18)</f>
        <v>33.16005</v>
      </c>
      <c r="H18" s="11" t="n">
        <f aca="false">'RSEA vs Quoted Comparison'!D18</f>
        <v>69.99</v>
      </c>
      <c r="I18" s="11" t="n">
        <f aca="false">'RSEA vs Quoted Comparison'!E18</f>
        <v>63.6272727272727</v>
      </c>
      <c r="J18" s="42" t="s">
        <v>259</v>
      </c>
      <c r="K18" s="42" t="s">
        <v>259</v>
      </c>
      <c r="L18" s="42" t="s">
        <v>259</v>
      </c>
      <c r="M18" s="42" t="s">
        <v>259</v>
      </c>
      <c r="N18" s="47" t="n">
        <v>49.5</v>
      </c>
      <c r="O18" s="47" t="n">
        <f aca="false">N18/1.1</f>
        <v>45</v>
      </c>
      <c r="P18" s="11" t="n">
        <v>57</v>
      </c>
      <c r="Q18" s="11" t="n">
        <v>51.82</v>
      </c>
      <c r="R18" s="11" t="n">
        <v>74.8</v>
      </c>
      <c r="S18" s="11" t="n">
        <f aca="false">R18/1.1</f>
        <v>68</v>
      </c>
      <c r="T18" s="11" t="n">
        <v>41.13</v>
      </c>
      <c r="U18" s="11" t="n">
        <f aca="false">T18/1.1</f>
        <v>37.3909090909091</v>
      </c>
      <c r="V18" s="42" t="s">
        <v>259</v>
      </c>
      <c r="W18" s="42" t="s">
        <v>259</v>
      </c>
      <c r="X18" s="11" t="n">
        <v>110.1</v>
      </c>
      <c r="Y18" s="11" t="n">
        <f aca="false">X18/1.1</f>
        <v>100.090909090909</v>
      </c>
      <c r="Z18" s="45" t="n">
        <f aca="false">AA18*1.1</f>
        <v>56.65</v>
      </c>
      <c r="AA18" s="45" t="n">
        <v>51.5</v>
      </c>
      <c r="AB18" s="45" t="n">
        <v>46.99</v>
      </c>
      <c r="AC18" s="45" t="n">
        <f aca="false">AB18/1.1</f>
        <v>42.7181818181818</v>
      </c>
      <c r="AD18" s="11" t="n">
        <f aca="false">IF(COUNT(I18,J18,M18,O18,Q18,S18,U18,V18,Y18,AA18,AC18)=0,"N/A",MIN(I18,J18,M18,O18,Q18,S18,U18,V18,Y18,AA18,AC18))</f>
        <v>37.3909090909091</v>
      </c>
      <c r="AE18" s="43" t="n">
        <f aca="false">IF(OR(D18="",AD18="",AD18="N/A"),"N/A",D18/AD18-1)</f>
        <v>-0.205689277899344</v>
      </c>
      <c r="AF18" s="43" t="n">
        <f aca="false">IF(OR(F18="",AD18="",AD18="N/A"),"N/A",F18/AD18-1)</f>
        <v>-0.193774617067834</v>
      </c>
      <c r="AG18" s="41" t="s">
        <v>271</v>
      </c>
    </row>
    <row r="19" customFormat="false" ht="138.75" hidden="false" customHeight="true" outlineLevel="0" collapsed="false">
      <c r="A19" s="1" t="s">
        <v>222</v>
      </c>
      <c r="B19" s="1" t="s">
        <v>131</v>
      </c>
      <c r="C19" s="41" t="s">
        <v>132</v>
      </c>
      <c r="D19" s="11" t="n">
        <f aca="false">'RSEA vs Quoted Comparison'!F19</f>
        <v>29.7</v>
      </c>
      <c r="E19" s="11" t="n">
        <f aca="false">'RSEA vs Quoted Comparison'!G19</f>
        <v>32.67</v>
      </c>
      <c r="F19" s="11" t="n">
        <f aca="false">IF('RSEA vs Quoted Comparison'!H19="","",'RSEA vs Quoted Comparison'!H19)</f>
        <v>30.1455</v>
      </c>
      <c r="G19" s="11" t="n">
        <f aca="false">IF('RSEA vs Quoted Comparison'!I19="","",'RSEA vs Quoted Comparison'!I19)</f>
        <v>33.16005</v>
      </c>
      <c r="H19" s="11" t="n">
        <f aca="false">'RSEA vs Quoted Comparison'!D19</f>
        <v>84.99</v>
      </c>
      <c r="I19" s="11" t="n">
        <f aca="false">'RSEA vs Quoted Comparison'!E19</f>
        <v>77.2636363636364</v>
      </c>
      <c r="J19" s="11" t="n">
        <f aca="false">K19*1.1</f>
        <v>109.153</v>
      </c>
      <c r="K19" s="11" t="n">
        <v>99.23</v>
      </c>
      <c r="L19" s="47" t="n">
        <v>61.59</v>
      </c>
      <c r="M19" s="47" t="n">
        <v>55.99</v>
      </c>
      <c r="N19" s="11" t="n">
        <v>36.5</v>
      </c>
      <c r="O19" s="11" t="n">
        <f aca="false">N19/1.1</f>
        <v>33.1818181818182</v>
      </c>
      <c r="P19" s="11" t="n">
        <v>57</v>
      </c>
      <c r="Q19" s="11" t="n">
        <v>51.82</v>
      </c>
      <c r="R19" s="11" t="n">
        <v>74.8</v>
      </c>
      <c r="S19" s="11" t="n">
        <f aca="false">R19/1.1</f>
        <v>68</v>
      </c>
      <c r="T19" s="11" t="n">
        <v>31.19</v>
      </c>
      <c r="U19" s="11" t="n">
        <f aca="false">T19/1.1</f>
        <v>28.3545454545455</v>
      </c>
      <c r="V19" s="42" t="s">
        <v>259</v>
      </c>
      <c r="W19" s="42" t="s">
        <v>259</v>
      </c>
      <c r="X19" s="11" t="n">
        <v>110.1</v>
      </c>
      <c r="Y19" s="11" t="n">
        <f aca="false">X19/1.1</f>
        <v>100.090909090909</v>
      </c>
      <c r="Z19" s="45" t="n">
        <f aca="false">AA19*1.1</f>
        <v>56.65</v>
      </c>
      <c r="AA19" s="45" t="n">
        <v>51.5</v>
      </c>
      <c r="AB19" s="45" t="n">
        <v>46.99</v>
      </c>
      <c r="AC19" s="45" t="n">
        <f aca="false">AB19/1.1</f>
        <v>42.7181818181818</v>
      </c>
      <c r="AD19" s="11" t="n">
        <f aca="false">IF(COUNT(I19,J19,M19,O19,Q19,S19,U19,V19,Y19,AA19,AC19)=0,"N/A",MIN(I19,J19,M19,O19,Q19,S19,U19,V19,Y19,AA19,AC19))</f>
        <v>28.3545454545455</v>
      </c>
      <c r="AE19" s="43" t="n">
        <f aca="false">IF(OR(D19="",AD19="",AD19="N/A"),"N/A",D19/AD19-1)</f>
        <v>0.0474511061237577</v>
      </c>
      <c r="AF19" s="43" t="n">
        <f aca="false">IF(OR(F19="",AD19="",AD19="N/A"),"N/A",F19/AD19-1)</f>
        <v>0.0631628727156139</v>
      </c>
      <c r="AG19" s="41" t="s">
        <v>272</v>
      </c>
    </row>
    <row r="20" customFormat="false" ht="123.75" hidden="false" customHeight="true" outlineLevel="0" collapsed="false">
      <c r="A20" s="1" t="s">
        <v>222</v>
      </c>
      <c r="B20" s="1" t="s">
        <v>137</v>
      </c>
      <c r="C20" s="41" t="s">
        <v>138</v>
      </c>
      <c r="D20" s="11" t="n">
        <f aca="false">'RSEA vs Quoted Comparison'!F20</f>
        <v>16.71</v>
      </c>
      <c r="E20" s="11" t="n">
        <f aca="false">'RSEA vs Quoted Comparison'!G20</f>
        <v>18.381</v>
      </c>
      <c r="F20" s="11" t="n">
        <f aca="false">IF('RSEA vs Quoted Comparison'!H20="","",'RSEA vs Quoted Comparison'!H20)</f>
        <v>16.93275</v>
      </c>
      <c r="G20" s="11" t="n">
        <f aca="false">IF('RSEA vs Quoted Comparison'!I20="","",'RSEA vs Quoted Comparison'!I20)</f>
        <v>18.626025</v>
      </c>
      <c r="H20" s="11" t="n">
        <f aca="false">'RSEA vs Quoted Comparison'!D20</f>
        <v>44.99</v>
      </c>
      <c r="I20" s="11" t="n">
        <f aca="false">'RSEA vs Quoted Comparison'!E20</f>
        <v>40.9</v>
      </c>
      <c r="J20" s="11" t="n">
        <f aca="false">K20*1.1</f>
        <v>26.653</v>
      </c>
      <c r="K20" s="11" t="n">
        <v>24.23</v>
      </c>
      <c r="L20" s="11" t="n">
        <v>29.61</v>
      </c>
      <c r="M20" s="11" t="n">
        <v>26.92</v>
      </c>
      <c r="N20" s="11" t="n">
        <v>35.7</v>
      </c>
      <c r="O20" s="11" t="n">
        <f aca="false">N20/1.1</f>
        <v>32.4545454545455</v>
      </c>
      <c r="P20" s="11" t="n">
        <v>33</v>
      </c>
      <c r="Q20" s="11" t="n">
        <v>30</v>
      </c>
      <c r="R20" s="11" t="n">
        <v>27.5</v>
      </c>
      <c r="S20" s="11" t="n">
        <f aca="false">R20/1.1</f>
        <v>25</v>
      </c>
      <c r="T20" s="11" t="n">
        <v>25.64</v>
      </c>
      <c r="U20" s="11" t="n">
        <f aca="false">T20/1.1</f>
        <v>23.3090909090909</v>
      </c>
      <c r="V20" s="42" t="s">
        <v>259</v>
      </c>
      <c r="W20" s="42" t="s">
        <v>259</v>
      </c>
      <c r="X20" s="11" t="n">
        <v>26.77</v>
      </c>
      <c r="Y20" s="11" t="n">
        <f aca="false">X20/1.1</f>
        <v>24.3363636363636</v>
      </c>
      <c r="Z20" s="11" t="n">
        <v>49.78</v>
      </c>
      <c r="AA20" s="11" t="n">
        <f aca="false">Z20/1.1</f>
        <v>45.2545454545455</v>
      </c>
      <c r="AB20" s="11" t="n">
        <v>38.45</v>
      </c>
      <c r="AC20" s="11" t="n">
        <f aca="false">AB20/1.1</f>
        <v>34.9545454545455</v>
      </c>
      <c r="AD20" s="11" t="n">
        <f aca="false">IF(COUNT(I20,J20,M20,O20,Q20,S20,U20,V20,Y20,AA20,AC20)=0,"N/A",MIN(I20,J20,M20,O20,Q20,S20,U20,V20,Y20,AA20,AC20))</f>
        <v>23.3090909090909</v>
      </c>
      <c r="AE20" s="43" t="n">
        <f aca="false">IF(OR(D20="",AD20="",AD20="N/A"),"N/A",D20/AD20-1)</f>
        <v>-0.28311232449298</v>
      </c>
      <c r="AF20" s="43" t="n">
        <f aca="false">IF(OR(F20="",AD20="",AD20="N/A"),"N/A",F20/AD20-1)</f>
        <v>-0.27355596723869</v>
      </c>
      <c r="AG20" s="41" t="s">
        <v>273</v>
      </c>
    </row>
    <row r="21" customFormat="false" ht="138.75" hidden="false" customHeight="true" outlineLevel="0" collapsed="false">
      <c r="A21" s="1" t="s">
        <v>222</v>
      </c>
      <c r="B21" s="1" t="s">
        <v>141</v>
      </c>
      <c r="C21" s="41" t="s">
        <v>142</v>
      </c>
      <c r="D21" s="11" t="n">
        <f aca="false">'RSEA vs Quoted Comparison'!F21</f>
        <v>33.41</v>
      </c>
      <c r="E21" s="11" t="n">
        <f aca="false">'RSEA vs Quoted Comparison'!G21</f>
        <v>36.751</v>
      </c>
      <c r="F21" s="11" t="n">
        <f aca="false">IF('RSEA vs Quoted Comparison'!H21="","",'RSEA vs Quoted Comparison'!H21)</f>
        <v>33.8555</v>
      </c>
      <c r="G21" s="11" t="n">
        <f aca="false">IF('RSEA vs Quoted Comparison'!I21="","",'RSEA vs Quoted Comparison'!I21)</f>
        <v>37.24105</v>
      </c>
      <c r="H21" s="11" t="n">
        <f aca="false">'RSEA vs Quoted Comparison'!D21</f>
        <v>64.99</v>
      </c>
      <c r="I21" s="11" t="n">
        <f aca="false">'RSEA vs Quoted Comparison'!E21</f>
        <v>59.0818181818182</v>
      </c>
      <c r="J21" s="11" t="n">
        <f aca="false">K21*1.1</f>
        <v>26.653</v>
      </c>
      <c r="K21" s="11" t="n">
        <v>24.23</v>
      </c>
      <c r="L21" s="11" t="n">
        <v>31.89</v>
      </c>
      <c r="M21" s="11" t="n">
        <v>28.99</v>
      </c>
      <c r="N21" s="11" t="n">
        <v>53.4</v>
      </c>
      <c r="O21" s="11" t="n">
        <f aca="false">N21/1.1</f>
        <v>48.5454545454545</v>
      </c>
      <c r="P21" s="11" t="n">
        <v>45</v>
      </c>
      <c r="Q21" s="11" t="n">
        <v>40.91</v>
      </c>
      <c r="R21" s="47" t="n">
        <v>37.07</v>
      </c>
      <c r="S21" s="47" t="n">
        <f aca="false">R21/1.1</f>
        <v>33.7</v>
      </c>
      <c r="T21" s="11" t="n">
        <v>82.82</v>
      </c>
      <c r="U21" s="11" t="n">
        <f aca="false">T21/1.1</f>
        <v>75.2909090909091</v>
      </c>
      <c r="V21" s="42" t="s">
        <v>259</v>
      </c>
      <c r="W21" s="42" t="s">
        <v>259</v>
      </c>
      <c r="X21" s="11" t="n">
        <v>23.32</v>
      </c>
      <c r="Y21" s="11" t="n">
        <f aca="false">X21/1.1</f>
        <v>21.2</v>
      </c>
      <c r="Z21" s="45" t="n">
        <f aca="false">AA21*1.1</f>
        <v>48.851</v>
      </c>
      <c r="AA21" s="45" t="n">
        <v>44.41</v>
      </c>
      <c r="AB21" s="45" t="n">
        <v>46.99</v>
      </c>
      <c r="AC21" s="45" t="n">
        <f aca="false">AB21/1.1</f>
        <v>42.7181818181818</v>
      </c>
      <c r="AD21" s="11" t="n">
        <f aca="false">IF(COUNT(I21,J21,M21,O21,Q21,S21,U21,V21,Y21,AA21,AC21)=0,"N/A",MIN(I21,J21,M21,O21,Q21,S21,U21,V21,Y21,AA21,AC21))</f>
        <v>21.2</v>
      </c>
      <c r="AE21" s="43" t="n">
        <f aca="false">IF(OR(D21="",AD21="",AD21="N/A"),"N/A",D21/AD21-1)</f>
        <v>0.575943396226415</v>
      </c>
      <c r="AF21" s="43" t="n">
        <f aca="false">IF(OR(F21="",AD21="",AD21="N/A"),"N/A",F21/AD21-1)</f>
        <v>0.596957547169811</v>
      </c>
      <c r="AG21" s="41" t="s">
        <v>274</v>
      </c>
    </row>
    <row r="22" customFormat="false" ht="138.75" hidden="false" customHeight="true" outlineLevel="0" collapsed="false">
      <c r="A22" s="1" t="s">
        <v>222</v>
      </c>
      <c r="B22" s="1" t="s">
        <v>147</v>
      </c>
      <c r="C22" s="41" t="s">
        <v>148</v>
      </c>
      <c r="D22" s="11" t="n">
        <f aca="false">'RSEA vs Quoted Comparison'!F22</f>
        <v>11.81</v>
      </c>
      <c r="E22" s="11" t="n">
        <f aca="false">'RSEA vs Quoted Comparison'!G22</f>
        <v>12.991</v>
      </c>
      <c r="F22" s="11" t="n">
        <f aca="false">IF('RSEA vs Quoted Comparison'!H22="","",'RSEA vs Quoted Comparison'!H22)</f>
        <v>12.03275</v>
      </c>
      <c r="G22" s="11" t="n">
        <f aca="false">IF('RSEA vs Quoted Comparison'!I22="","",'RSEA vs Quoted Comparison'!I22)</f>
        <v>13.236025</v>
      </c>
      <c r="H22" s="11" t="n">
        <f aca="false">'RSEA vs Quoted Comparison'!D22</f>
        <v>44.99</v>
      </c>
      <c r="I22" s="11" t="n">
        <f aca="false">'RSEA vs Quoted Comparison'!E22</f>
        <v>40.9</v>
      </c>
      <c r="J22" s="42" t="s">
        <v>259</v>
      </c>
      <c r="K22" s="42" t="s">
        <v>259</v>
      </c>
      <c r="L22" s="11" t="n">
        <v>29.61</v>
      </c>
      <c r="M22" s="11" t="n">
        <v>26.92</v>
      </c>
      <c r="N22" s="11" t="n">
        <v>42.5</v>
      </c>
      <c r="O22" s="11" t="n">
        <f aca="false">N22/1.1</f>
        <v>38.6363636363636</v>
      </c>
      <c r="P22" s="11" t="n">
        <v>24.2</v>
      </c>
      <c r="Q22" s="11" t="n">
        <v>22</v>
      </c>
      <c r="R22" s="11" t="n">
        <v>27.5</v>
      </c>
      <c r="S22" s="11" t="n">
        <f aca="false">R22/1.1</f>
        <v>25</v>
      </c>
      <c r="T22" s="11" t="n">
        <v>33.12</v>
      </c>
      <c r="U22" s="11" t="n">
        <f aca="false">T22/1.1</f>
        <v>30.1090909090909</v>
      </c>
      <c r="V22" s="42" t="s">
        <v>259</v>
      </c>
      <c r="W22" s="42" t="s">
        <v>259</v>
      </c>
      <c r="X22" s="11" t="n">
        <v>23.32</v>
      </c>
      <c r="Y22" s="11" t="n">
        <f aca="false">X22/1.1</f>
        <v>21.2</v>
      </c>
      <c r="Z22" s="11" t="n">
        <v>48.85</v>
      </c>
      <c r="AA22" s="11" t="n">
        <f aca="false">Z22/1.1</f>
        <v>44.4090909090909</v>
      </c>
      <c r="AB22" s="11" t="n">
        <v>38.45</v>
      </c>
      <c r="AC22" s="11" t="n">
        <f aca="false">AB22/1.1</f>
        <v>34.9545454545455</v>
      </c>
      <c r="AD22" s="11" t="n">
        <f aca="false">IF(COUNT(I22,J22,M22,O22,Q22,S22,U22,V22,Y22,AA22,AC22)=0,"N/A",MIN(I22,J22,M22,O22,Q22,S22,U22,V22,Y22,AA22,AC22))</f>
        <v>21.2</v>
      </c>
      <c r="AE22" s="43" t="n">
        <f aca="false">IF(OR(D22="",AD22="",AD22="N/A"),"N/A",D22/AD22-1)</f>
        <v>-0.442924528301887</v>
      </c>
      <c r="AF22" s="43" t="n">
        <f aca="false">IF(OR(F22="",AD22="",AD22="N/A"),"N/A",F22/AD22-1)</f>
        <v>-0.432417452830189</v>
      </c>
      <c r="AG22" s="41" t="s">
        <v>275</v>
      </c>
    </row>
    <row r="23" customFormat="false" ht="108.75" hidden="false" customHeight="true" outlineLevel="0" collapsed="false">
      <c r="A23" s="1" t="s">
        <v>222</v>
      </c>
      <c r="B23" s="1" t="s">
        <v>151</v>
      </c>
      <c r="C23" s="41" t="s">
        <v>152</v>
      </c>
      <c r="D23" s="11" t="n">
        <f aca="false">'RSEA vs Quoted Comparison'!F23</f>
        <v>11.81</v>
      </c>
      <c r="E23" s="11" t="n">
        <f aca="false">'RSEA vs Quoted Comparison'!G23</f>
        <v>12.991</v>
      </c>
      <c r="F23" s="11" t="n">
        <f aca="false">IF('RSEA vs Quoted Comparison'!H23="","",'RSEA vs Quoted Comparison'!H23)</f>
        <v>12.03275</v>
      </c>
      <c r="G23" s="11" t="n">
        <f aca="false">IF('RSEA vs Quoted Comparison'!I23="","",'RSEA vs Quoted Comparison'!I23)</f>
        <v>13.236025</v>
      </c>
      <c r="H23" s="11" t="n">
        <f aca="false">'RSEA vs Quoted Comparison'!D23</f>
        <v>49.99</v>
      </c>
      <c r="I23" s="11" t="n">
        <f aca="false">'RSEA vs Quoted Comparison'!E23</f>
        <v>45.4454545454545</v>
      </c>
      <c r="J23" s="11" t="n">
        <f aca="false">K23*1.1</f>
        <v>26.653</v>
      </c>
      <c r="K23" s="11" t="n">
        <v>24.23</v>
      </c>
      <c r="L23" s="11" t="n">
        <v>31.21</v>
      </c>
      <c r="M23" s="11" t="n">
        <v>28.37</v>
      </c>
      <c r="N23" s="11" t="n">
        <v>53.4</v>
      </c>
      <c r="O23" s="11" t="n">
        <f aca="false">N23/1.1</f>
        <v>48.5454545454545</v>
      </c>
      <c r="P23" s="11" t="n">
        <v>24.2</v>
      </c>
      <c r="Q23" s="11" t="n">
        <v>22</v>
      </c>
      <c r="R23" s="11" t="n">
        <v>27.5</v>
      </c>
      <c r="S23" s="11" t="n">
        <f aca="false">R23/1.1</f>
        <v>25</v>
      </c>
      <c r="T23" s="11" t="n">
        <v>33.33</v>
      </c>
      <c r="U23" s="11" t="n">
        <f aca="false">T23/1.1</f>
        <v>30.3</v>
      </c>
      <c r="V23" s="42" t="s">
        <v>259</v>
      </c>
      <c r="W23" s="42" t="s">
        <v>259</v>
      </c>
      <c r="X23" s="11" t="n">
        <v>23.32</v>
      </c>
      <c r="Y23" s="11" t="n">
        <f aca="false">X23/1.1</f>
        <v>21.2</v>
      </c>
      <c r="Z23" s="45" t="n">
        <v>48.85</v>
      </c>
      <c r="AA23" s="45" t="n">
        <v>44.41</v>
      </c>
      <c r="AB23" s="45" t="n">
        <v>38.45</v>
      </c>
      <c r="AC23" s="45" t="n">
        <f aca="false">AB23/1.1</f>
        <v>34.9545454545455</v>
      </c>
      <c r="AD23" s="11" t="n">
        <f aca="false">IF(COUNT(I23,J23,M23,O23,Q23,S23,U23,V23,Y23,AA23,AC23)=0,"N/A",MIN(I23,J23,M23,O23,Q23,S23,U23,V23,Y23,AA23,AC23))</f>
        <v>21.2</v>
      </c>
      <c r="AE23" s="43" t="n">
        <f aca="false">IF(OR(D23="",AD23="",AD23="N/A"),"N/A",D23/AD23-1)</f>
        <v>-0.442924528301887</v>
      </c>
      <c r="AF23" s="43" t="n">
        <f aca="false">IF(OR(F23="",AD23="",AD23="N/A"),"N/A",F23/AD23-1)</f>
        <v>-0.432417452830189</v>
      </c>
      <c r="AG23" s="41" t="s">
        <v>276</v>
      </c>
    </row>
    <row r="24" customFormat="false" ht="48.75" hidden="false" customHeight="true" outlineLevel="0" collapsed="false">
      <c r="A24" s="1" t="s">
        <v>222</v>
      </c>
      <c r="B24" s="1" t="s">
        <v>153</v>
      </c>
      <c r="C24" s="41" t="s">
        <v>154</v>
      </c>
      <c r="D24" s="11" t="n">
        <f aca="false">'RSEA vs Quoted Comparison'!F24</f>
        <v>5.9</v>
      </c>
      <c r="E24" s="11" t="n">
        <f aca="false">'RSEA vs Quoted Comparison'!G24</f>
        <v>6.49</v>
      </c>
      <c r="F24" s="11" t="n">
        <f aca="false">IF('RSEA vs Quoted Comparison'!H24="","",'RSEA vs Quoted Comparison'!H24)</f>
        <v>6.011375</v>
      </c>
      <c r="G24" s="11" t="n">
        <f aca="false">IF('RSEA vs Quoted Comparison'!I24="","",'RSEA vs Quoted Comparison'!I24)</f>
        <v>6.6125125</v>
      </c>
      <c r="H24" s="11" t="n">
        <f aca="false">'RSEA vs Quoted Comparison'!D24</f>
        <v>37.99</v>
      </c>
      <c r="I24" s="11" t="n">
        <f aca="false">'RSEA vs Quoted Comparison'!E24</f>
        <v>34.5363636363636</v>
      </c>
      <c r="J24" s="42" t="s">
        <v>259</v>
      </c>
      <c r="K24" s="42" t="s">
        <v>259</v>
      </c>
      <c r="L24" s="47" t="n">
        <v>43.15</v>
      </c>
      <c r="M24" s="47" t="n">
        <v>39.23</v>
      </c>
      <c r="N24" s="47" t="n">
        <v>35.75</v>
      </c>
      <c r="O24" s="47" t="n">
        <f aca="false">N24/1.1</f>
        <v>32.5</v>
      </c>
      <c r="P24" s="47" t="n">
        <v>24.2</v>
      </c>
      <c r="Q24" s="47" t="n">
        <v>22</v>
      </c>
      <c r="R24" s="47" t="n">
        <v>25</v>
      </c>
      <c r="S24" s="47" t="n">
        <f aca="false">R24/1.1</f>
        <v>22.7272727272727</v>
      </c>
      <c r="T24" s="47" t="n">
        <v>33.19</v>
      </c>
      <c r="U24" s="47" t="n">
        <f aca="false">T24/1.1</f>
        <v>30.1727272727273</v>
      </c>
      <c r="V24" s="42" t="s">
        <v>259</v>
      </c>
      <c r="W24" s="42" t="s">
        <v>259</v>
      </c>
      <c r="X24" s="47" t="n">
        <v>35.9</v>
      </c>
      <c r="Y24" s="47" t="n">
        <f aca="false">X24/1.1</f>
        <v>32.6363636363636</v>
      </c>
      <c r="Z24" s="45" t="n">
        <v>46.13</v>
      </c>
      <c r="AA24" s="45" t="n">
        <v>41.94</v>
      </c>
      <c r="AB24" s="45" t="n">
        <v>35.06</v>
      </c>
      <c r="AC24" s="45" t="n">
        <f aca="false">AB24/1.1</f>
        <v>31.8727272727273</v>
      </c>
      <c r="AD24" s="11" t="n">
        <f aca="false">IF(COUNT(I24,J24,M24,O24,Q24,S24,U24,V24,Y24,AA24,AC24)=0,"N/A",MIN(I24,J24,M24,O24,Q24,S24,U24,V24,Y24,AA24,AC24))</f>
        <v>22</v>
      </c>
      <c r="AE24" s="43" t="n">
        <f aca="false">IF(OR(D24="",AD24="",AD24="N/A"),"N/A",D24/AD24-1)</f>
        <v>-0.731818181818182</v>
      </c>
      <c r="AF24" s="43" t="n">
        <f aca="false">IF(OR(F24="",AD24="",AD24="N/A"),"N/A",F24/AD24-1)</f>
        <v>-0.726755681818182</v>
      </c>
      <c r="AG24" s="41" t="s">
        <v>277</v>
      </c>
    </row>
    <row r="25" customFormat="false" ht="153.75" hidden="false" customHeight="true" outlineLevel="0" collapsed="false">
      <c r="A25" s="1" t="s">
        <v>222</v>
      </c>
      <c r="B25" s="1" t="s">
        <v>159</v>
      </c>
      <c r="C25" s="41" t="s">
        <v>160</v>
      </c>
      <c r="D25" s="11" t="n">
        <f aca="false">'RSEA vs Quoted Comparison'!F25</f>
        <v>11.81</v>
      </c>
      <c r="E25" s="11" t="n">
        <f aca="false">'RSEA vs Quoted Comparison'!G25</f>
        <v>12.991</v>
      </c>
      <c r="F25" s="11" t="n">
        <f aca="false">IF('RSEA vs Quoted Comparison'!H25="","",'RSEA vs Quoted Comparison'!H25)</f>
        <v>12.03275</v>
      </c>
      <c r="G25" s="11" t="n">
        <f aca="false">IF('RSEA vs Quoted Comparison'!I25="","",'RSEA vs Quoted Comparison'!I25)</f>
        <v>13.236025</v>
      </c>
      <c r="H25" s="11" t="n">
        <f aca="false">'RSEA vs Quoted Comparison'!D25</f>
        <v>49.99</v>
      </c>
      <c r="I25" s="11" t="n">
        <f aca="false">'RSEA vs Quoted Comparison'!E25</f>
        <v>45.4454545454545</v>
      </c>
      <c r="J25" s="42" t="s">
        <v>259</v>
      </c>
      <c r="K25" s="42" t="s">
        <v>259</v>
      </c>
      <c r="L25" s="47" t="n">
        <v>46.29</v>
      </c>
      <c r="M25" s="47" t="n">
        <v>42.08</v>
      </c>
      <c r="N25" s="11" t="n">
        <v>42.5</v>
      </c>
      <c r="O25" s="11" t="n">
        <f aca="false">N25/1.1</f>
        <v>38.6363636363636</v>
      </c>
      <c r="P25" s="11" t="n">
        <v>24.2</v>
      </c>
      <c r="Q25" s="11" t="n">
        <v>22</v>
      </c>
      <c r="R25" s="11" t="n">
        <v>33.5</v>
      </c>
      <c r="S25" s="11" t="n">
        <f aca="false">R25/1.1</f>
        <v>30.4545454545455</v>
      </c>
      <c r="T25" s="11" t="n">
        <v>34.46</v>
      </c>
      <c r="U25" s="11" t="n">
        <f aca="false">T25/1.1</f>
        <v>31.3272727272727</v>
      </c>
      <c r="V25" s="11" t="n">
        <f aca="false">W25*1.1</f>
        <v>24.75</v>
      </c>
      <c r="W25" s="11" t="n">
        <v>22.5</v>
      </c>
      <c r="X25" s="11" t="n">
        <v>10.29</v>
      </c>
      <c r="Y25" s="11" t="n">
        <f aca="false">X25/1.1</f>
        <v>9.35454545454545</v>
      </c>
      <c r="Z25" s="45" t="n">
        <v>48.85</v>
      </c>
      <c r="AA25" s="45" t="n">
        <v>44.41</v>
      </c>
      <c r="AB25" s="45" t="n">
        <v>38.45</v>
      </c>
      <c r="AC25" s="45" t="n">
        <f aca="false">AB25/1.1</f>
        <v>34.9545454545455</v>
      </c>
      <c r="AD25" s="11" t="n">
        <f aca="false">IF(COUNT(I25,J25,M25,O25,Q25,S25,U25,V25,Y25,AA25,AC25)=0,"N/A",MIN(I25,J25,M25,O25,Q25,S25,U25,V25,Y25,AA25,AC25))</f>
        <v>9.35454545454545</v>
      </c>
      <c r="AE25" s="43" t="n">
        <f aca="false">IF(OR(D25="",AD25="",AD25="N/A"),"N/A",D25/AD25-1)</f>
        <v>0.262487852283771</v>
      </c>
      <c r="AF25" s="43" t="n">
        <f aca="false">IF(OR(F25="",AD25="",AD25="N/A"),"N/A",F25/AD25-1)</f>
        <v>0.28629980563654</v>
      </c>
      <c r="AG25" s="41" t="s">
        <v>278</v>
      </c>
    </row>
    <row r="26" customFormat="false" ht="108.75" hidden="false" customHeight="true" outlineLevel="0" collapsed="false">
      <c r="A26" s="1" t="s">
        <v>222</v>
      </c>
      <c r="B26" s="1" t="s">
        <v>171</v>
      </c>
      <c r="C26" s="41" t="s">
        <v>172</v>
      </c>
      <c r="D26" s="11" t="n">
        <f aca="false">'RSEA vs Quoted Comparison'!F26</f>
        <v>11.81</v>
      </c>
      <c r="E26" s="11" t="n">
        <f aca="false">'RSEA vs Quoted Comparison'!G26</f>
        <v>12.991</v>
      </c>
      <c r="F26" s="11" t="n">
        <f aca="false">IF('RSEA vs Quoted Comparison'!H26="","",'RSEA vs Quoted Comparison'!H26)</f>
        <v>12.03275</v>
      </c>
      <c r="G26" s="11" t="n">
        <f aca="false">IF('RSEA vs Quoted Comparison'!I26="","",'RSEA vs Quoted Comparison'!I26)</f>
        <v>13.236025</v>
      </c>
      <c r="H26" s="11" t="n">
        <f aca="false">'RSEA vs Quoted Comparison'!D26</f>
        <v>44.99</v>
      </c>
      <c r="I26" s="11" t="n">
        <f aca="false">'RSEA vs Quoted Comparison'!E26</f>
        <v>40.9</v>
      </c>
      <c r="J26" s="42" t="s">
        <v>259</v>
      </c>
      <c r="K26" s="42" t="s">
        <v>259</v>
      </c>
      <c r="L26" s="42" t="s">
        <v>259</v>
      </c>
      <c r="M26" s="42" t="s">
        <v>259</v>
      </c>
      <c r="N26" s="11" t="n">
        <v>42.5</v>
      </c>
      <c r="O26" s="11" t="n">
        <f aca="false">N26/1.1</f>
        <v>38.6363636363636</v>
      </c>
      <c r="P26" s="11" t="n">
        <v>22.05</v>
      </c>
      <c r="Q26" s="11" t="n">
        <v>20.05</v>
      </c>
      <c r="R26" s="11" t="n">
        <v>30</v>
      </c>
      <c r="S26" s="11" t="n">
        <f aca="false">R26/1.1</f>
        <v>27.2727272727273</v>
      </c>
      <c r="T26" s="11" t="n">
        <v>31.19</v>
      </c>
      <c r="U26" s="11" t="n">
        <f aca="false">T26/1.1</f>
        <v>28.3545454545455</v>
      </c>
      <c r="V26" s="42" t="s">
        <v>259</v>
      </c>
      <c r="W26" s="42" t="s">
        <v>259</v>
      </c>
      <c r="X26" s="11" t="n">
        <v>10.29</v>
      </c>
      <c r="Y26" s="11" t="n">
        <f aca="false">X26/1.1</f>
        <v>9.35454545454545</v>
      </c>
      <c r="Z26" s="11" t="n">
        <v>65.63</v>
      </c>
      <c r="AA26" s="11" t="n">
        <f aca="false">Z26/1.1</f>
        <v>59.6636363636364</v>
      </c>
      <c r="AB26" s="11" t="n">
        <v>38.45</v>
      </c>
      <c r="AC26" s="11" t="n">
        <f aca="false">AB26/1.1</f>
        <v>34.9545454545455</v>
      </c>
      <c r="AD26" s="11" t="n">
        <f aca="false">IF(COUNT(I26,J26,M26,O26,Q26,S26,U26,V26,Y26,AA26,AC26)=0,"N/A",MIN(I26,J26,M26,O26,Q26,S26,U26,V26,Y26,AA26,AC26))</f>
        <v>9.35454545454545</v>
      </c>
      <c r="AE26" s="43" t="n">
        <f aca="false">IF(OR(D26="",AD26="",AD26="N/A"),"N/A",D26/AD26-1)</f>
        <v>0.262487852283771</v>
      </c>
      <c r="AF26" s="43" t="n">
        <f aca="false">IF(OR(F26="",AD26="",AD26="N/A"),"N/A",F26/AD26-1)</f>
        <v>0.28629980563654</v>
      </c>
      <c r="AG26" s="41" t="s">
        <v>279</v>
      </c>
    </row>
    <row r="27" customFormat="false" ht="108.75" hidden="false" customHeight="true" outlineLevel="0" collapsed="false">
      <c r="A27" s="1" t="s">
        <v>222</v>
      </c>
      <c r="B27" s="1" t="s">
        <v>280</v>
      </c>
      <c r="C27" s="41" t="s">
        <v>173</v>
      </c>
      <c r="D27" s="11" t="n">
        <f aca="false">'RSEA vs Quoted Comparison'!F27</f>
        <v>11.81</v>
      </c>
      <c r="E27" s="11" t="n">
        <f aca="false">'RSEA vs Quoted Comparison'!G27</f>
        <v>12.991</v>
      </c>
      <c r="F27" s="11" t="n">
        <f aca="false">IF('RSEA vs Quoted Comparison'!H27="","",'RSEA vs Quoted Comparison'!H27)</f>
        <v>12.03275</v>
      </c>
      <c r="G27" s="11" t="n">
        <f aca="false">IF('RSEA vs Quoted Comparison'!I27="","",'RSEA vs Quoted Comparison'!I27)</f>
        <v>13.236025</v>
      </c>
      <c r="H27" s="11" t="n">
        <f aca="false">'RSEA vs Quoted Comparison'!D27</f>
        <v>44.99</v>
      </c>
      <c r="I27" s="11" t="n">
        <f aca="false">'RSEA vs Quoted Comparison'!E27</f>
        <v>40.9</v>
      </c>
      <c r="J27" s="42" t="s">
        <v>259</v>
      </c>
      <c r="K27" s="42" t="s">
        <v>259</v>
      </c>
      <c r="L27" s="47" t="n">
        <v>39.58</v>
      </c>
      <c r="M27" s="47" t="n">
        <v>35.98</v>
      </c>
      <c r="N27" s="11" t="n">
        <v>35.75</v>
      </c>
      <c r="O27" s="11" t="n">
        <f aca="false">N27/1.1</f>
        <v>32.5</v>
      </c>
      <c r="P27" s="11" t="n">
        <v>42.5</v>
      </c>
      <c r="Q27" s="11" t="n">
        <v>38.64</v>
      </c>
      <c r="R27" s="11" t="n">
        <v>27.5</v>
      </c>
      <c r="S27" s="11" t="n">
        <f aca="false">R27/1.1</f>
        <v>25</v>
      </c>
      <c r="T27" s="11" t="n">
        <v>30.11</v>
      </c>
      <c r="U27" s="11" t="n">
        <f aca="false">T27/1.1</f>
        <v>27.3727272727273</v>
      </c>
      <c r="V27" s="42" t="s">
        <v>259</v>
      </c>
      <c r="W27" s="42" t="s">
        <v>259</v>
      </c>
      <c r="X27" s="11" t="n">
        <v>23.32</v>
      </c>
      <c r="Y27" s="11" t="n">
        <f aca="false">X27/1.1</f>
        <v>21.2</v>
      </c>
      <c r="Z27" s="11" t="n">
        <v>49.78</v>
      </c>
      <c r="AA27" s="11" t="n">
        <f aca="false">Z27/1.1</f>
        <v>45.2545454545455</v>
      </c>
      <c r="AB27" s="11" t="n">
        <v>38.45</v>
      </c>
      <c r="AC27" s="11" t="n">
        <f aca="false">AB27/1.1</f>
        <v>34.9545454545455</v>
      </c>
      <c r="AD27" s="11" t="n">
        <f aca="false">IF(COUNT(I27,J27,M27,O27,Q27,S27,U27,V27,Y27,AA27,AC27)=0,"N/A",MIN(I27,J27,M27,O27,Q27,S27,U27,V27,Y27,AA27,AC27))</f>
        <v>21.2</v>
      </c>
      <c r="AE27" s="43" t="n">
        <f aca="false">IF(OR(D27="",AD27="",AD27="N/A"),"N/A",D27/AD27-1)</f>
        <v>-0.442924528301887</v>
      </c>
      <c r="AF27" s="43" t="n">
        <f aca="false">IF(OR(F27="",AD27="",AD27="N/A"),"N/A",F27/AD27-1)</f>
        <v>-0.432417452830189</v>
      </c>
      <c r="AG27" s="41" t="s">
        <v>281</v>
      </c>
    </row>
    <row r="28" customFormat="false" ht="153.75" hidden="false" customHeight="true" outlineLevel="0" collapsed="false">
      <c r="A28" s="1" t="s">
        <v>222</v>
      </c>
      <c r="B28" s="1" t="s">
        <v>167</v>
      </c>
      <c r="C28" s="41" t="s">
        <v>168</v>
      </c>
      <c r="D28" s="11" t="n">
        <f aca="false">'RSEA vs Quoted Comparison'!F28</f>
        <v>33.41</v>
      </c>
      <c r="E28" s="11" t="n">
        <f aca="false">'RSEA vs Quoted Comparison'!G28</f>
        <v>36.751</v>
      </c>
      <c r="F28" s="11" t="n">
        <f aca="false">IF('RSEA vs Quoted Comparison'!H28="","",'RSEA vs Quoted Comparison'!H28)</f>
        <v>33.8555</v>
      </c>
      <c r="G28" s="11" t="n">
        <f aca="false">IF('RSEA vs Quoted Comparison'!I28="","",'RSEA vs Quoted Comparison'!I28)</f>
        <v>37.24105</v>
      </c>
      <c r="H28" s="11" t="n">
        <f aca="false">'RSEA vs Quoted Comparison'!D28</f>
        <v>142.99</v>
      </c>
      <c r="I28" s="11" t="n">
        <f aca="false">'RSEA vs Quoted Comparison'!E28</f>
        <v>129.990909090909</v>
      </c>
      <c r="J28" s="42" t="s">
        <v>259</v>
      </c>
      <c r="K28" s="42" t="s">
        <v>259</v>
      </c>
      <c r="L28" s="42" t="s">
        <v>259</v>
      </c>
      <c r="M28" s="42" t="s">
        <v>259</v>
      </c>
      <c r="N28" s="11" t="n">
        <v>35.75</v>
      </c>
      <c r="O28" s="11" t="n">
        <f aca="false">N28/1.1</f>
        <v>32.5</v>
      </c>
      <c r="P28" s="11" t="n">
        <v>57</v>
      </c>
      <c r="Q28" s="11" t="n">
        <v>51.82</v>
      </c>
      <c r="R28" s="11" t="n">
        <v>74.8</v>
      </c>
      <c r="S28" s="11" t="n">
        <f aca="false">R28/1.1</f>
        <v>68</v>
      </c>
      <c r="T28" s="11" t="n">
        <v>98.07</v>
      </c>
      <c r="U28" s="11" t="n">
        <f aca="false">T28/1.1</f>
        <v>89.1545454545454</v>
      </c>
      <c r="V28" s="42" t="s">
        <v>259</v>
      </c>
      <c r="W28" s="42" t="s">
        <v>259</v>
      </c>
      <c r="X28" s="11" t="n">
        <v>110.1</v>
      </c>
      <c r="Y28" s="11" t="n">
        <f aca="false">X28/1.1</f>
        <v>100.090909090909</v>
      </c>
      <c r="Z28" s="42" t="s">
        <v>259</v>
      </c>
      <c r="AA28" s="42" t="s">
        <v>259</v>
      </c>
      <c r="AB28" s="47" t="n">
        <v>90.08</v>
      </c>
      <c r="AC28" s="47" t="n">
        <f aca="false">AB28/1.1</f>
        <v>81.8909090909091</v>
      </c>
      <c r="AD28" s="11" t="n">
        <f aca="false">IF(COUNT(I28,J28,M28,O28,Q28,S28,U28,V28,Y28,AA28,AC28)=0,"N/A",MIN(I28,J28,M28,O28,Q28,S28,U28,V28,Y28,AA28,AC28))</f>
        <v>32.5</v>
      </c>
      <c r="AE28" s="43" t="n">
        <f aca="false">IF(OR(D28="",AD28="",AD28="N/A"),"N/A",D28/AD28-1)</f>
        <v>0.0279999999999998</v>
      </c>
      <c r="AF28" s="43" t="n">
        <f aca="false">IF(OR(F28="",AD28="",AD28="N/A"),"N/A",F28/AD28-1)</f>
        <v>0.0417076923076922</v>
      </c>
      <c r="AG28" s="41" t="s">
        <v>282</v>
      </c>
    </row>
    <row r="29" customFormat="false" ht="138.75" hidden="false" customHeight="true" outlineLevel="0" collapsed="false">
      <c r="A29" s="1" t="s">
        <v>222</v>
      </c>
      <c r="B29" s="1" t="s">
        <v>174</v>
      </c>
      <c r="C29" s="41" t="s">
        <v>175</v>
      </c>
      <c r="D29" s="11" t="n">
        <f aca="false">'RSEA vs Quoted Comparison'!F29</f>
        <v>33.41</v>
      </c>
      <c r="E29" s="11" t="n">
        <f aca="false">'RSEA vs Quoted Comparison'!G29</f>
        <v>36.751</v>
      </c>
      <c r="F29" s="11" t="n">
        <f aca="false">IF('RSEA vs Quoted Comparison'!H29="","",'RSEA vs Quoted Comparison'!H29)</f>
        <v>33.8555</v>
      </c>
      <c r="G29" s="11" t="n">
        <f aca="false">IF('RSEA vs Quoted Comparison'!I29="","",'RSEA vs Quoted Comparison'!I29)</f>
        <v>37.24105</v>
      </c>
      <c r="H29" s="11" t="n">
        <f aca="false">'RSEA vs Quoted Comparison'!D29</f>
        <v>142.99</v>
      </c>
      <c r="I29" s="11" t="n">
        <f aca="false">'RSEA vs Quoted Comparison'!E29</f>
        <v>129.990909090909</v>
      </c>
      <c r="J29" s="11" t="n">
        <f aca="false">K29*1.1</f>
        <v>109.153</v>
      </c>
      <c r="K29" s="11" t="n">
        <v>99.23</v>
      </c>
      <c r="L29" s="11" t="n">
        <v>61.59</v>
      </c>
      <c r="M29" s="11" t="n">
        <v>55.99</v>
      </c>
      <c r="N29" s="11" t="n">
        <v>49.5</v>
      </c>
      <c r="O29" s="11" t="n">
        <f aca="false">N29/1.1</f>
        <v>45</v>
      </c>
      <c r="P29" s="11" t="n">
        <v>57</v>
      </c>
      <c r="Q29" s="11" t="n">
        <v>51.82</v>
      </c>
      <c r="R29" s="11" t="n">
        <v>74.8</v>
      </c>
      <c r="S29" s="11" t="n">
        <f aca="false">R29/1.1</f>
        <v>68</v>
      </c>
      <c r="T29" s="11" t="n">
        <v>114.08</v>
      </c>
      <c r="U29" s="11" t="n">
        <f aca="false">T29/1.1</f>
        <v>103.709090909091</v>
      </c>
      <c r="V29" s="42" t="s">
        <v>259</v>
      </c>
      <c r="W29" s="42" t="s">
        <v>259</v>
      </c>
      <c r="X29" s="11" t="n">
        <v>110.1</v>
      </c>
      <c r="Y29" s="11" t="n">
        <f aca="false">X29/1.1</f>
        <v>100.090909090909</v>
      </c>
      <c r="Z29" s="45" t="n">
        <f aca="false">AA29*1.1</f>
        <v>133.386</v>
      </c>
      <c r="AA29" s="45" t="n">
        <v>121.26</v>
      </c>
      <c r="AB29" s="45" t="n">
        <v>90.08</v>
      </c>
      <c r="AC29" s="45" t="n">
        <f aca="false">AB29/1.1</f>
        <v>81.8909090909091</v>
      </c>
      <c r="AD29" s="11" t="n">
        <f aca="false">IF(COUNT(I29,J29,M29,O29,Q29,S29,U29,V29,Y29,AA29,AC29)=0,"N/A",MIN(I29,J29,M29,O29,Q29,S29,U29,V29,Y29,AA29,AC29))</f>
        <v>45</v>
      </c>
      <c r="AE29" s="43" t="n">
        <f aca="false">IF(OR(D29="",AD29="",AD29="N/A"),"N/A",D29/AD29-1)</f>
        <v>-0.257555555555556</v>
      </c>
      <c r="AF29" s="43" t="n">
        <f aca="false">IF(OR(F29="",AD29="",AD29="N/A"),"N/A",F29/AD29-1)</f>
        <v>-0.247655555555555</v>
      </c>
      <c r="AG29" s="41" t="s">
        <v>283</v>
      </c>
    </row>
    <row r="30" customFormat="false" ht="153.75" hidden="false" customHeight="true" outlineLevel="0" collapsed="false">
      <c r="A30" s="1" t="s">
        <v>223</v>
      </c>
      <c r="B30" s="1" t="s">
        <v>49</v>
      </c>
      <c r="C30" s="41" t="s">
        <v>50</v>
      </c>
      <c r="D30" s="11" t="n">
        <f aca="false">'RSEA vs Quoted Comparison'!F30</f>
        <v>13.07</v>
      </c>
      <c r="E30" s="11" t="n">
        <f aca="false">'RSEA vs Quoted Comparison'!G30</f>
        <v>14.377</v>
      </c>
      <c r="F30" s="11" t="str">
        <f aca="false">IF('RSEA vs Quoted Comparison'!H30="","",'RSEA vs Quoted Comparison'!H30)</f>
        <v/>
      </c>
      <c r="G30" s="11" t="str">
        <f aca="false">IF('RSEA vs Quoted Comparison'!I30="","",'RSEA vs Quoted Comparison'!I30)</f>
        <v/>
      </c>
      <c r="H30" s="11" t="n">
        <f aca="false">'RSEA vs Quoted Comparison'!D30</f>
        <v>57.99</v>
      </c>
      <c r="I30" s="11" t="n">
        <f aca="false">'RSEA vs Quoted Comparison'!E30</f>
        <v>52.7181818181818</v>
      </c>
      <c r="J30" s="11" t="n">
        <f aca="false">K30*1.1</f>
        <v>164.098</v>
      </c>
      <c r="K30" s="11" t="n">
        <v>149.18</v>
      </c>
      <c r="L30" s="42" t="s">
        <v>259</v>
      </c>
      <c r="M30" s="42" t="s">
        <v>259</v>
      </c>
      <c r="N30" s="42" t="s">
        <v>259</v>
      </c>
      <c r="O30" s="42" t="s">
        <v>259</v>
      </c>
      <c r="P30" s="42" t="s">
        <v>259</v>
      </c>
      <c r="Q30" s="42" t="s">
        <v>259</v>
      </c>
      <c r="R30" s="11" t="n">
        <v>34.1</v>
      </c>
      <c r="S30" s="11" t="n">
        <f aca="false">R30/1.1</f>
        <v>31</v>
      </c>
      <c r="T30" s="11" t="n">
        <v>61.04</v>
      </c>
      <c r="U30" s="11" t="n">
        <f aca="false">T30/1.1</f>
        <v>55.4909090909091</v>
      </c>
      <c r="V30" s="11" t="n">
        <f aca="false">W30*1.1</f>
        <v>30.8</v>
      </c>
      <c r="W30" s="11" t="n">
        <v>28</v>
      </c>
      <c r="X30" s="42" t="s">
        <v>259</v>
      </c>
      <c r="Y30" s="42" t="s">
        <v>259</v>
      </c>
      <c r="Z30" s="42" t="s">
        <v>259</v>
      </c>
      <c r="AA30" s="42" t="s">
        <v>259</v>
      </c>
      <c r="AB30" s="47" t="n">
        <v>40.83</v>
      </c>
      <c r="AC30" s="47" t="n">
        <f aca="false">AB30/1.1</f>
        <v>37.1181818181818</v>
      </c>
      <c r="AD30" s="11" t="n">
        <f aca="false">IF(COUNT(I30,J30,M30,O30,Q30,S30,U30,V30,Y30,AA30,AC30)=0,"N/A",MIN(I30,J30,M30,O30,Q30,S30,U30,V30,Y30,AA30,AC30))</f>
        <v>30.8</v>
      </c>
      <c r="AE30" s="43" t="n">
        <f aca="false">IF(OR(D30="",AD30="",AD30="N/A"),"N/A",D30/AD30-1)</f>
        <v>-0.575649350649351</v>
      </c>
      <c r="AF30" s="43" t="str">
        <f aca="false">IF(OR(F30="",AD30="",AD30="N/A"),"N/A",F30/AD30-1)</f>
        <v>N/A</v>
      </c>
      <c r="AG30" s="41" t="s">
        <v>284</v>
      </c>
    </row>
    <row r="31" customFormat="false" ht="108.75" hidden="false" customHeight="true" outlineLevel="0" collapsed="false">
      <c r="A31" s="1" t="s">
        <v>223</v>
      </c>
      <c r="B31" s="1" t="s">
        <v>51</v>
      </c>
      <c r="C31" s="41" t="s">
        <v>52</v>
      </c>
      <c r="D31" s="11" t="n">
        <f aca="false">'RSEA vs Quoted Comparison'!F31</f>
        <v>13.07</v>
      </c>
      <c r="E31" s="11" t="n">
        <f aca="false">'RSEA vs Quoted Comparison'!G31</f>
        <v>14.377</v>
      </c>
      <c r="F31" s="11" t="str">
        <f aca="false">IF('RSEA vs Quoted Comparison'!H31="","",'RSEA vs Quoted Comparison'!H31)</f>
        <v/>
      </c>
      <c r="G31" s="11" t="str">
        <f aca="false">IF('RSEA vs Quoted Comparison'!I31="","",'RSEA vs Quoted Comparison'!I31)</f>
        <v/>
      </c>
      <c r="H31" s="11" t="n">
        <f aca="false">'RSEA vs Quoted Comparison'!D31</f>
        <v>44.99</v>
      </c>
      <c r="I31" s="11" t="n">
        <f aca="false">'RSEA vs Quoted Comparison'!E31</f>
        <v>40.9</v>
      </c>
      <c r="J31" s="42" t="s">
        <v>259</v>
      </c>
      <c r="K31" s="42" t="s">
        <v>259</v>
      </c>
      <c r="L31" s="42" t="s">
        <v>259</v>
      </c>
      <c r="M31" s="42" t="s">
        <v>259</v>
      </c>
      <c r="N31" s="42" t="s">
        <v>259</v>
      </c>
      <c r="O31" s="42" t="s">
        <v>259</v>
      </c>
      <c r="P31" s="42" t="s">
        <v>259</v>
      </c>
      <c r="Q31" s="42" t="s">
        <v>259</v>
      </c>
      <c r="R31" s="11" t="n">
        <v>34.1</v>
      </c>
      <c r="S31" s="11" t="n">
        <f aca="false">R31/1.1</f>
        <v>31</v>
      </c>
      <c r="T31" s="11" t="n">
        <v>47.14</v>
      </c>
      <c r="U31" s="11" t="n">
        <f aca="false">T31/1.1</f>
        <v>42.8545454545455</v>
      </c>
      <c r="V31" s="47" t="n">
        <v>28</v>
      </c>
      <c r="W31" s="47" t="n">
        <f aca="false">V31*1.1</f>
        <v>30.8</v>
      </c>
      <c r="X31" s="11" t="n">
        <v>53.22</v>
      </c>
      <c r="Y31" s="11" t="n">
        <f aca="false">X31/1.1</f>
        <v>48.3818181818182</v>
      </c>
      <c r="Z31" s="42" t="s">
        <v>259</v>
      </c>
      <c r="AA31" s="42" t="s">
        <v>259</v>
      </c>
      <c r="AB31" s="48"/>
      <c r="AC31" s="48"/>
      <c r="AD31" s="11" t="n">
        <f aca="false">IF(COUNT(I31,J31,M31,O31,Q31,S31,U31,V31,Y31,AA31,AC31)=0,"N/A",MIN(I31,J31,M31,O31,Q31,S31,U31,V31,Y31,AA31,AC31))</f>
        <v>28</v>
      </c>
      <c r="AE31" s="43" t="n">
        <f aca="false">IF(OR(D31="",AD31="",AD31="N/A"),"N/A",D31/AD31-1)</f>
        <v>-0.533214285714286</v>
      </c>
      <c r="AF31" s="43" t="str">
        <f aca="false">IF(OR(F31="",AD31="",AD31="N/A"),"N/A",F31/AD31-1)</f>
        <v>N/A</v>
      </c>
      <c r="AG31" s="41" t="s">
        <v>285</v>
      </c>
    </row>
    <row r="32" customFormat="false" ht="138.75" hidden="false" customHeight="true" outlineLevel="0" collapsed="false">
      <c r="A32" s="1" t="s">
        <v>223</v>
      </c>
      <c r="B32" s="1" t="s">
        <v>53</v>
      </c>
      <c r="C32" s="41" t="s">
        <v>54</v>
      </c>
      <c r="D32" s="11" t="n">
        <f aca="false">'RSEA vs Quoted Comparison'!F32</f>
        <v>16.04</v>
      </c>
      <c r="E32" s="11" t="n">
        <f aca="false">'RSEA vs Quoted Comparison'!G32</f>
        <v>17.644</v>
      </c>
      <c r="F32" s="11" t="str">
        <f aca="false">IF('RSEA vs Quoted Comparison'!H32="","",'RSEA vs Quoted Comparison'!H32)</f>
        <v/>
      </c>
      <c r="G32" s="11" t="str">
        <f aca="false">IF('RSEA vs Quoted Comparison'!I32="","",'RSEA vs Quoted Comparison'!I32)</f>
        <v/>
      </c>
      <c r="H32" s="11" t="n">
        <f aca="false">'RSEA vs Quoted Comparison'!D32</f>
        <v>52.99</v>
      </c>
      <c r="I32" s="11" t="n">
        <f aca="false">'RSEA vs Quoted Comparison'!E32</f>
        <v>48.1727272727273</v>
      </c>
      <c r="J32" s="11" t="n">
        <f aca="false">K32*1.1</f>
        <v>159.885</v>
      </c>
      <c r="K32" s="11" t="n">
        <v>145.35</v>
      </c>
      <c r="L32" s="42" t="s">
        <v>259</v>
      </c>
      <c r="M32" s="42" t="s">
        <v>259</v>
      </c>
      <c r="N32" s="42" t="s">
        <v>259</v>
      </c>
      <c r="O32" s="42" t="s">
        <v>259</v>
      </c>
      <c r="P32" s="42" t="s">
        <v>259</v>
      </c>
      <c r="Q32" s="42" t="s">
        <v>259</v>
      </c>
      <c r="R32" s="11" t="n">
        <v>34.1</v>
      </c>
      <c r="S32" s="11" t="n">
        <f aca="false">R32/1.1</f>
        <v>31</v>
      </c>
      <c r="T32" s="11" t="n">
        <v>86.85</v>
      </c>
      <c r="U32" s="11" t="n">
        <f aca="false">T32/1.1</f>
        <v>78.9545454545454</v>
      </c>
      <c r="V32" s="11" t="n">
        <f aca="false">W32*1.1</f>
        <v>56.65</v>
      </c>
      <c r="W32" s="11" t="n">
        <v>51.5</v>
      </c>
      <c r="X32" s="42" t="s">
        <v>259</v>
      </c>
      <c r="Y32" s="42" t="s">
        <v>259</v>
      </c>
      <c r="Z32" s="42" t="s">
        <v>259</v>
      </c>
      <c r="AA32" s="42" t="s">
        <v>259</v>
      </c>
      <c r="AB32" s="47" t="n">
        <v>40.83</v>
      </c>
      <c r="AC32" s="47" t="n">
        <f aca="false">AB32/1.1</f>
        <v>37.1181818181818</v>
      </c>
      <c r="AD32" s="11" t="n">
        <f aca="false">IF(COUNT(I32,J32,M32,O32,Q32,S32,U32,V32,Y32,AA32,AC32)=0,"N/A",MIN(I32,J32,M32,O32,Q32,S32,U32,V32,Y32,AA32,AC32))</f>
        <v>31</v>
      </c>
      <c r="AE32" s="43" t="n">
        <f aca="false">IF(OR(D32="",AD32="",AD32="N/A"),"N/A",D32/AD32-1)</f>
        <v>-0.48258064516129</v>
      </c>
      <c r="AF32" s="43" t="str">
        <f aca="false">IF(OR(F32="",AD32="",AD32="N/A"),"N/A",F32/AD32-1)</f>
        <v>N/A</v>
      </c>
      <c r="AG32" s="41" t="s">
        <v>286</v>
      </c>
    </row>
    <row r="33" customFormat="false" ht="123.75" hidden="false" customHeight="true" outlineLevel="0" collapsed="false">
      <c r="A33" s="1" t="s">
        <v>223</v>
      </c>
      <c r="B33" s="1" t="s">
        <v>55</v>
      </c>
      <c r="C33" s="41" t="s">
        <v>56</v>
      </c>
      <c r="D33" s="11" t="n">
        <f aca="false">'RSEA vs Quoted Comparison'!F33</f>
        <v>16.04</v>
      </c>
      <c r="E33" s="11" t="n">
        <f aca="false">'RSEA vs Quoted Comparison'!G33</f>
        <v>17.644</v>
      </c>
      <c r="F33" s="11" t="str">
        <f aca="false">IF('RSEA vs Quoted Comparison'!H33="","",'RSEA vs Quoted Comparison'!H33)</f>
        <v/>
      </c>
      <c r="G33" s="11" t="str">
        <f aca="false">IF('RSEA vs Quoted Comparison'!I33="","",'RSEA vs Quoted Comparison'!I33)</f>
        <v/>
      </c>
      <c r="H33" s="11" t="n">
        <f aca="false">'RSEA vs Quoted Comparison'!D33</f>
        <v>57.99</v>
      </c>
      <c r="I33" s="11" t="n">
        <f aca="false">'RSEA vs Quoted Comparison'!E33</f>
        <v>52.7181818181818</v>
      </c>
      <c r="J33" s="11" t="n">
        <f aca="false">K33*1.1</f>
        <v>200.354</v>
      </c>
      <c r="K33" s="11" t="n">
        <v>182.14</v>
      </c>
      <c r="L33" s="42" t="s">
        <v>259</v>
      </c>
      <c r="M33" s="42" t="s">
        <v>259</v>
      </c>
      <c r="N33" s="47" t="n">
        <v>51</v>
      </c>
      <c r="O33" s="47" t="n">
        <f aca="false">N33/1.1</f>
        <v>46.3636363636364</v>
      </c>
      <c r="P33" s="42" t="s">
        <v>259</v>
      </c>
      <c r="Q33" s="42" t="s">
        <v>259</v>
      </c>
      <c r="R33" s="11" t="n">
        <v>34.1</v>
      </c>
      <c r="S33" s="11" t="n">
        <f aca="false">R33/1.1</f>
        <v>31</v>
      </c>
      <c r="T33" s="11" t="n">
        <v>58.84</v>
      </c>
      <c r="U33" s="11" t="n">
        <f aca="false">T33/1.1</f>
        <v>53.4909090909091</v>
      </c>
      <c r="V33" s="47" t="n">
        <v>51.5</v>
      </c>
      <c r="W33" s="47" t="n">
        <f aca="false">V33*1.1</f>
        <v>56.65</v>
      </c>
      <c r="X33" s="11" t="n">
        <v>53.22</v>
      </c>
      <c r="Y33" s="11" t="n">
        <f aca="false">X33/1.1</f>
        <v>48.3818181818182</v>
      </c>
      <c r="Z33" s="42" t="s">
        <v>259</v>
      </c>
      <c r="AA33" s="42" t="s">
        <v>259</v>
      </c>
      <c r="AB33" s="47" t="n">
        <v>40.83</v>
      </c>
      <c r="AC33" s="47" t="n">
        <f aca="false">AB33/1.1</f>
        <v>37.1181818181818</v>
      </c>
      <c r="AD33" s="11" t="n">
        <f aca="false">IF(COUNT(I33,J33,M33,O33,Q33,S33,U33,V33,Y33,AA33,AC33)=0,"N/A",MIN(I33,J33,M33,O33,Q33,S33,U33,V33,Y33,AA33,AC33))</f>
        <v>31</v>
      </c>
      <c r="AE33" s="43" t="n">
        <f aca="false">IF(OR(D33="",AD33="",AD33="N/A"),"N/A",D33/AD33-1)</f>
        <v>-0.48258064516129</v>
      </c>
      <c r="AF33" s="43" t="str">
        <f aca="false">IF(OR(F33="",AD33="",AD33="N/A"),"N/A",F33/AD33-1)</f>
        <v>N/A</v>
      </c>
      <c r="AG33" s="41" t="s">
        <v>287</v>
      </c>
    </row>
    <row r="34" customFormat="false" ht="123.75" hidden="false" customHeight="true" outlineLevel="0" collapsed="false">
      <c r="A34" s="1" t="s">
        <v>223</v>
      </c>
      <c r="B34" s="1" t="s">
        <v>57</v>
      </c>
      <c r="C34" s="41" t="s">
        <v>58</v>
      </c>
      <c r="D34" s="11" t="n">
        <f aca="false">'RSEA vs Quoted Comparison'!F34</f>
        <v>16.04</v>
      </c>
      <c r="E34" s="11" t="n">
        <f aca="false">'RSEA vs Quoted Comparison'!G34</f>
        <v>17.644</v>
      </c>
      <c r="F34" s="11" t="str">
        <f aca="false">IF('RSEA vs Quoted Comparison'!H34="","",'RSEA vs Quoted Comparison'!H34)</f>
        <v/>
      </c>
      <c r="G34" s="11" t="str">
        <f aca="false">IF('RSEA vs Quoted Comparison'!I34="","",'RSEA vs Quoted Comparison'!I34)</f>
        <v/>
      </c>
      <c r="H34" s="11" t="n">
        <f aca="false">'RSEA vs Quoted Comparison'!D34</f>
        <v>57.99</v>
      </c>
      <c r="I34" s="11" t="n">
        <f aca="false">'RSEA vs Quoted Comparison'!E34</f>
        <v>52.7181818181818</v>
      </c>
      <c r="J34" s="11" t="n">
        <f aca="false">K34*1.1</f>
        <v>200.354</v>
      </c>
      <c r="K34" s="11" t="n">
        <v>182.14</v>
      </c>
      <c r="L34" s="42" t="s">
        <v>259</v>
      </c>
      <c r="M34" s="42" t="s">
        <v>259</v>
      </c>
      <c r="N34" s="42" t="s">
        <v>259</v>
      </c>
      <c r="O34" s="42" t="s">
        <v>259</v>
      </c>
      <c r="P34" s="42" t="s">
        <v>259</v>
      </c>
      <c r="Q34" s="42" t="s">
        <v>259</v>
      </c>
      <c r="R34" s="11" t="n">
        <v>34.1</v>
      </c>
      <c r="S34" s="11" t="n">
        <f aca="false">R34/1.1</f>
        <v>31</v>
      </c>
      <c r="T34" s="11" t="n">
        <v>60.6</v>
      </c>
      <c r="U34" s="11" t="n">
        <f aca="false">T34/1.1</f>
        <v>55.0909090909091</v>
      </c>
      <c r="V34" s="11" t="n">
        <f aca="false">W34*1.1</f>
        <v>56.65</v>
      </c>
      <c r="W34" s="11" t="n">
        <v>51.5</v>
      </c>
      <c r="X34" s="11" t="n">
        <v>53.22</v>
      </c>
      <c r="Y34" s="11" t="n">
        <f aca="false">X34/1.1</f>
        <v>48.3818181818182</v>
      </c>
      <c r="Z34" s="42" t="s">
        <v>259</v>
      </c>
      <c r="AA34" s="42" t="s">
        <v>259</v>
      </c>
      <c r="AB34" s="47" t="n">
        <v>40.83</v>
      </c>
      <c r="AC34" s="47" t="n">
        <f aca="false">AB34/1.1</f>
        <v>37.1181818181818</v>
      </c>
      <c r="AD34" s="11" t="n">
        <f aca="false">IF(COUNT(I34,J34,M34,O34,Q34,S34,U34,V34,Y34,AA34,AC34)=0,"N/A",MIN(I34,J34,M34,O34,Q34,S34,U34,V34,Y34,AA34,AC34))</f>
        <v>31</v>
      </c>
      <c r="AE34" s="43" t="n">
        <f aca="false">IF(OR(D34="",AD34="",AD34="N/A"),"N/A",D34/AD34-1)</f>
        <v>-0.48258064516129</v>
      </c>
      <c r="AF34" s="43" t="str">
        <f aca="false">IF(OR(F34="",AD34="",AD34="N/A"),"N/A",F34/AD34-1)</f>
        <v>N/A</v>
      </c>
      <c r="AG34" s="41" t="s">
        <v>288</v>
      </c>
    </row>
    <row r="35" customFormat="false" ht="123.75" hidden="false" customHeight="true" outlineLevel="0" collapsed="false">
      <c r="A35" s="1" t="s">
        <v>223</v>
      </c>
      <c r="B35" s="1" t="s">
        <v>59</v>
      </c>
      <c r="C35" s="41" t="s">
        <v>60</v>
      </c>
      <c r="D35" s="11" t="n">
        <f aca="false">'RSEA vs Quoted Comparison'!F35</f>
        <v>16.04</v>
      </c>
      <c r="E35" s="11" t="n">
        <f aca="false">'RSEA vs Quoted Comparison'!G35</f>
        <v>17.644</v>
      </c>
      <c r="F35" s="11" t="str">
        <f aca="false">IF('RSEA vs Quoted Comparison'!H35="","",'RSEA vs Quoted Comparison'!H35)</f>
        <v/>
      </c>
      <c r="G35" s="11" t="str">
        <f aca="false">IF('RSEA vs Quoted Comparison'!I35="","",'RSEA vs Quoted Comparison'!I35)</f>
        <v/>
      </c>
      <c r="H35" s="11" t="n">
        <f aca="false">'RSEA vs Quoted Comparison'!D35</f>
        <v>57.99</v>
      </c>
      <c r="I35" s="11" t="n">
        <f aca="false">'RSEA vs Quoted Comparison'!E35</f>
        <v>52.7181818181818</v>
      </c>
      <c r="J35" s="11" t="n">
        <f aca="false">K35*1.1</f>
        <v>130.24</v>
      </c>
      <c r="K35" s="11" t="n">
        <v>118.4</v>
      </c>
      <c r="L35" s="42" t="s">
        <v>259</v>
      </c>
      <c r="M35" s="42" t="s">
        <v>259</v>
      </c>
      <c r="N35" s="42" t="s">
        <v>259</v>
      </c>
      <c r="O35" s="42" t="s">
        <v>259</v>
      </c>
      <c r="P35" s="42" t="s">
        <v>259</v>
      </c>
      <c r="Q35" s="42" t="s">
        <v>259</v>
      </c>
      <c r="R35" s="11" t="n">
        <v>34.1</v>
      </c>
      <c r="S35" s="11" t="n">
        <f aca="false">R35/1.1</f>
        <v>31</v>
      </c>
      <c r="T35" s="11" t="n">
        <v>59.05</v>
      </c>
      <c r="U35" s="11" t="n">
        <f aca="false">T35/1.1</f>
        <v>53.6818181818182</v>
      </c>
      <c r="V35" s="11" t="n">
        <f aca="false">W35*1.1</f>
        <v>56.65</v>
      </c>
      <c r="W35" s="11" t="n">
        <v>51.5</v>
      </c>
      <c r="X35" s="11" t="n">
        <v>53.22</v>
      </c>
      <c r="Y35" s="11" t="n">
        <f aca="false">X35/1.1</f>
        <v>48.3818181818182</v>
      </c>
      <c r="Z35" s="42" t="s">
        <v>259</v>
      </c>
      <c r="AA35" s="42" t="s">
        <v>259</v>
      </c>
      <c r="AB35" s="47" t="n">
        <v>40.83</v>
      </c>
      <c r="AC35" s="47" t="n">
        <f aca="false">AB35/1.1</f>
        <v>37.1181818181818</v>
      </c>
      <c r="AD35" s="11" t="n">
        <f aca="false">IF(COUNT(I35,J35,M35,O35,Q35,S35,U35,V35,Y35,AA35,AC35)=0,"N/A",MIN(I35,J35,M35,O35,Q35,S35,U35,V35,Y35,AA35,AC35))</f>
        <v>31</v>
      </c>
      <c r="AE35" s="43" t="n">
        <f aca="false">IF(OR(D35="",AD35="",AD35="N/A"),"N/A",D35/AD35-1)</f>
        <v>-0.48258064516129</v>
      </c>
      <c r="AF35" s="43" t="str">
        <f aca="false">IF(OR(F35="",AD35="",AD35="N/A"),"N/A",F35/AD35-1)</f>
        <v>N/A</v>
      </c>
      <c r="AG35" s="41" t="s">
        <v>289</v>
      </c>
    </row>
    <row r="36" customFormat="false" ht="138.75" hidden="false" customHeight="true" outlineLevel="0" collapsed="false">
      <c r="A36" s="1" t="s">
        <v>223</v>
      </c>
      <c r="B36" s="1" t="s">
        <v>61</v>
      </c>
      <c r="C36" s="41" t="s">
        <v>62</v>
      </c>
      <c r="D36" s="11" t="n">
        <f aca="false">'RSEA vs Quoted Comparison'!F36</f>
        <v>13.07</v>
      </c>
      <c r="E36" s="11" t="n">
        <f aca="false">'RSEA vs Quoted Comparison'!G36</f>
        <v>14.377</v>
      </c>
      <c r="F36" s="11" t="str">
        <f aca="false">IF('RSEA vs Quoted Comparison'!H36="","",'RSEA vs Quoted Comparison'!H36)</f>
        <v/>
      </c>
      <c r="G36" s="11" t="str">
        <f aca="false">IF('RSEA vs Quoted Comparison'!I36="","",'RSEA vs Quoted Comparison'!I36)</f>
        <v/>
      </c>
      <c r="H36" s="11" t="n">
        <f aca="false">'RSEA vs Quoted Comparison'!D36</f>
        <v>57.99</v>
      </c>
      <c r="I36" s="11" t="n">
        <f aca="false">'RSEA vs Quoted Comparison'!E36</f>
        <v>52.7181818181818</v>
      </c>
      <c r="J36" s="11" t="n">
        <f aca="false">K36*1.1</f>
        <v>164.098</v>
      </c>
      <c r="K36" s="11" t="n">
        <v>149.18</v>
      </c>
      <c r="L36" s="42" t="s">
        <v>259</v>
      </c>
      <c r="M36" s="42" t="s">
        <v>259</v>
      </c>
      <c r="N36" s="11" t="n">
        <v>46.6</v>
      </c>
      <c r="O36" s="11" t="n">
        <f aca="false">N36/1.1</f>
        <v>42.3636363636364</v>
      </c>
      <c r="P36" s="42" t="s">
        <v>259</v>
      </c>
      <c r="Q36" s="42" t="s">
        <v>259</v>
      </c>
      <c r="R36" s="11" t="n">
        <v>34.1</v>
      </c>
      <c r="S36" s="11" t="n">
        <f aca="false">R36/1.1</f>
        <v>31</v>
      </c>
      <c r="T36" s="11" t="n">
        <v>73.96</v>
      </c>
      <c r="U36" s="11" t="n">
        <f aca="false">T36/1.1</f>
        <v>67.2363636363636</v>
      </c>
      <c r="V36" s="11" t="n">
        <f aca="false">W36*1.1</f>
        <v>52.25</v>
      </c>
      <c r="W36" s="11" t="n">
        <v>47.5</v>
      </c>
      <c r="X36" s="11" t="n">
        <v>53.22</v>
      </c>
      <c r="Y36" s="11" t="n">
        <f aca="false">X36/1.1</f>
        <v>48.3818181818182</v>
      </c>
      <c r="Z36" s="42" t="s">
        <v>259</v>
      </c>
      <c r="AA36" s="42" t="s">
        <v>259</v>
      </c>
      <c r="AB36" s="47" t="n">
        <v>40.83</v>
      </c>
      <c r="AC36" s="47" t="n">
        <f aca="false">AB36/1.1</f>
        <v>37.1181818181818</v>
      </c>
      <c r="AD36" s="11" t="n">
        <f aca="false">IF(COUNT(I36,J36,M36,O36,Q36,S36,U36,V36,Y36,AA36,AC36)=0,"N/A",MIN(I36,J36,M36,O36,Q36,S36,U36,V36,Y36,AA36,AC36))</f>
        <v>31</v>
      </c>
      <c r="AE36" s="43" t="n">
        <f aca="false">IF(OR(D36="",AD36="",AD36="N/A"),"N/A",D36/AD36-1)</f>
        <v>-0.578387096774194</v>
      </c>
      <c r="AF36" s="43" t="str">
        <f aca="false">IF(OR(F36="",AD36="",AD36="N/A"),"N/A",F36/AD36-1)</f>
        <v>N/A</v>
      </c>
      <c r="AG36" s="41" t="s">
        <v>290</v>
      </c>
    </row>
    <row r="37" customFormat="false" ht="93.75" hidden="false" customHeight="true" outlineLevel="0" collapsed="false">
      <c r="A37" s="1" t="s">
        <v>223</v>
      </c>
      <c r="B37" s="1" t="s">
        <v>63</v>
      </c>
      <c r="C37" s="41" t="s">
        <v>64</v>
      </c>
      <c r="D37" s="11" t="n">
        <f aca="false">'RSEA vs Quoted Comparison'!F37</f>
        <v>16.04</v>
      </c>
      <c r="E37" s="11" t="n">
        <f aca="false">'RSEA vs Quoted Comparison'!G37</f>
        <v>17.644</v>
      </c>
      <c r="F37" s="11" t="str">
        <f aca="false">IF('RSEA vs Quoted Comparison'!H37="","",'RSEA vs Quoted Comparison'!H37)</f>
        <v/>
      </c>
      <c r="G37" s="11" t="str">
        <f aca="false">IF('RSEA vs Quoted Comparison'!I37="","",'RSEA vs Quoted Comparison'!I37)</f>
        <v/>
      </c>
      <c r="H37" s="11" t="n">
        <f aca="false">'RSEA vs Quoted Comparison'!D37</f>
        <v>59.99</v>
      </c>
      <c r="I37" s="11" t="n">
        <f aca="false">'RSEA vs Quoted Comparison'!E37</f>
        <v>54.5363636363636</v>
      </c>
      <c r="J37" s="42" t="s">
        <v>259</v>
      </c>
      <c r="K37" s="42" t="s">
        <v>259</v>
      </c>
      <c r="L37" s="42" t="s">
        <v>259</v>
      </c>
      <c r="M37" s="42" t="s">
        <v>259</v>
      </c>
      <c r="N37" s="42" t="s">
        <v>259</v>
      </c>
      <c r="O37" s="42" t="s">
        <v>259</v>
      </c>
      <c r="P37" s="42" t="s">
        <v>259</v>
      </c>
      <c r="Q37" s="42" t="s">
        <v>259</v>
      </c>
      <c r="R37" s="11" t="n">
        <v>34.1</v>
      </c>
      <c r="S37" s="11" t="n">
        <f aca="false">R37/1.1</f>
        <v>31</v>
      </c>
      <c r="T37" s="11" t="n">
        <v>61.03</v>
      </c>
      <c r="U37" s="11" t="n">
        <f aca="false">T37/1.1</f>
        <v>55.4818181818182</v>
      </c>
      <c r="V37" s="11" t="n">
        <f aca="false">W37*1.1</f>
        <v>52.25</v>
      </c>
      <c r="W37" s="11" t="n">
        <v>47.5</v>
      </c>
      <c r="X37" s="42" t="s">
        <v>259</v>
      </c>
      <c r="Y37" s="42" t="s">
        <v>259</v>
      </c>
      <c r="Z37" s="42" t="s">
        <v>259</v>
      </c>
      <c r="AA37" s="42" t="s">
        <v>259</v>
      </c>
      <c r="AB37" s="47" t="n">
        <v>40.83</v>
      </c>
      <c r="AC37" s="47" t="n">
        <f aca="false">AB37/1.1</f>
        <v>37.1181818181818</v>
      </c>
      <c r="AD37" s="11" t="n">
        <f aca="false">IF(COUNT(I37,J37,M37,O37,Q37,S37,U37,V37,Y37,AA37,AC37)=0,"N/A",MIN(I37,J37,M37,O37,Q37,S37,U37,V37,Y37,AA37,AC37))</f>
        <v>31</v>
      </c>
      <c r="AE37" s="43" t="n">
        <f aca="false">IF(OR(D37="",AD37="",AD37="N/A"),"N/A",D37/AD37-1)</f>
        <v>-0.48258064516129</v>
      </c>
      <c r="AF37" s="43" t="str">
        <f aca="false">IF(OR(F37="",AD37="",AD37="N/A"),"N/A",F37/AD37-1)</f>
        <v>N/A</v>
      </c>
      <c r="AG37" s="41" t="s">
        <v>291</v>
      </c>
    </row>
    <row r="38" customFormat="false" ht="138.75" hidden="false" customHeight="true" outlineLevel="0" collapsed="false">
      <c r="A38" s="1" t="s">
        <v>223</v>
      </c>
      <c r="B38" s="1" t="s">
        <v>65</v>
      </c>
      <c r="C38" s="41" t="s">
        <v>66</v>
      </c>
      <c r="D38" s="11" t="n">
        <f aca="false">'RSEA vs Quoted Comparison'!F38</f>
        <v>13.07</v>
      </c>
      <c r="E38" s="11" t="n">
        <f aca="false">'RSEA vs Quoted Comparison'!G38</f>
        <v>14.377</v>
      </c>
      <c r="F38" s="11" t="str">
        <f aca="false">IF('RSEA vs Quoted Comparison'!H38="","",'RSEA vs Quoted Comparison'!H38)</f>
        <v/>
      </c>
      <c r="G38" s="11" t="str">
        <f aca="false">IF('RSEA vs Quoted Comparison'!I38="","",'RSEA vs Quoted Comparison'!I38)</f>
        <v/>
      </c>
      <c r="H38" s="11" t="n">
        <f aca="false">'RSEA vs Quoted Comparison'!D38</f>
        <v>57.99</v>
      </c>
      <c r="I38" s="11" t="n">
        <f aca="false">'RSEA vs Quoted Comparison'!E38</f>
        <v>52.7181818181818</v>
      </c>
      <c r="J38" s="11" t="n">
        <f aca="false">K38*1.1</f>
        <v>102.047</v>
      </c>
      <c r="K38" s="11" t="n">
        <v>92.77</v>
      </c>
      <c r="L38" s="42" t="s">
        <v>259</v>
      </c>
      <c r="M38" s="42" t="s">
        <v>259</v>
      </c>
      <c r="N38" s="42" t="s">
        <v>259</v>
      </c>
      <c r="O38" s="42" t="s">
        <v>259</v>
      </c>
      <c r="P38" s="42" t="s">
        <v>259</v>
      </c>
      <c r="Q38" s="42" t="s">
        <v>259</v>
      </c>
      <c r="R38" s="11" t="n">
        <v>34.1</v>
      </c>
      <c r="S38" s="11" t="n">
        <f aca="false">R38/1.1</f>
        <v>31</v>
      </c>
      <c r="T38" s="11" t="n">
        <v>59.05</v>
      </c>
      <c r="U38" s="11" t="n">
        <f aca="false">T38/1.1</f>
        <v>53.6818181818182</v>
      </c>
      <c r="V38" s="42" t="s">
        <v>259</v>
      </c>
      <c r="W38" s="42" t="s">
        <v>259</v>
      </c>
      <c r="X38" s="11" t="n">
        <v>53.22</v>
      </c>
      <c r="Y38" s="11" t="n">
        <f aca="false">X38/1.1</f>
        <v>48.3818181818182</v>
      </c>
      <c r="Z38" s="42" t="s">
        <v>259</v>
      </c>
      <c r="AA38" s="42" t="s">
        <v>259</v>
      </c>
      <c r="AB38" s="47" t="n">
        <v>40.83</v>
      </c>
      <c r="AC38" s="47" t="n">
        <f aca="false">AB38/1.1</f>
        <v>37.1181818181818</v>
      </c>
      <c r="AD38" s="11" t="n">
        <f aca="false">IF(COUNT(I38,J38,M38,O38,Q38,S38,U38,V38,Y38,AA38,AC38)=0,"N/A",MIN(I38,J38,M38,O38,Q38,S38,U38,V38,Y38,AA38,AC38))</f>
        <v>31</v>
      </c>
      <c r="AE38" s="43" t="n">
        <f aca="false">IF(OR(D38="",AD38="",AD38="N/A"),"N/A",D38/AD38-1)</f>
        <v>-0.578387096774194</v>
      </c>
      <c r="AF38" s="43" t="str">
        <f aca="false">IF(OR(F38="",AD38="",AD38="N/A"),"N/A",F38/AD38-1)</f>
        <v>N/A</v>
      </c>
      <c r="AG38" s="41" t="s">
        <v>292</v>
      </c>
    </row>
    <row r="39" customFormat="false" ht="153.75" hidden="false" customHeight="true" outlineLevel="0" collapsed="false">
      <c r="A39" s="1" t="s">
        <v>223</v>
      </c>
      <c r="B39" s="1" t="s">
        <v>67</v>
      </c>
      <c r="C39" s="41" t="s">
        <v>68</v>
      </c>
      <c r="D39" s="11" t="n">
        <f aca="false">'RSEA vs Quoted Comparison'!F39</f>
        <v>13.07</v>
      </c>
      <c r="E39" s="11" t="n">
        <f aca="false">'RSEA vs Quoted Comparison'!G39</f>
        <v>14.377</v>
      </c>
      <c r="F39" s="11" t="str">
        <f aca="false">IF('RSEA vs Quoted Comparison'!H39="","",'RSEA vs Quoted Comparison'!H39)</f>
        <v/>
      </c>
      <c r="G39" s="11" t="str">
        <f aca="false">IF('RSEA vs Quoted Comparison'!I39="","",'RSEA vs Quoted Comparison'!I39)</f>
        <v/>
      </c>
      <c r="H39" s="11" t="n">
        <f aca="false">'RSEA vs Quoted Comparison'!D39</f>
        <v>57.99</v>
      </c>
      <c r="I39" s="11" t="n">
        <f aca="false">'RSEA vs Quoted Comparison'!E39</f>
        <v>52.7181818181818</v>
      </c>
      <c r="J39" s="11" t="n">
        <f aca="false">K39*1.1</f>
        <v>72.391</v>
      </c>
      <c r="K39" s="11" t="n">
        <v>65.81</v>
      </c>
      <c r="L39" s="42" t="s">
        <v>259</v>
      </c>
      <c r="M39" s="42" t="s">
        <v>259</v>
      </c>
      <c r="N39" s="11" t="n">
        <v>115.9</v>
      </c>
      <c r="O39" s="11" t="n">
        <f aca="false">N39/1.1</f>
        <v>105.363636363636</v>
      </c>
      <c r="P39" s="42" t="s">
        <v>259</v>
      </c>
      <c r="Q39" s="42" t="s">
        <v>259</v>
      </c>
      <c r="R39" s="11" t="n">
        <v>34.1</v>
      </c>
      <c r="S39" s="11" t="n">
        <f aca="false">R39/1.1</f>
        <v>31</v>
      </c>
      <c r="T39" s="11" t="n">
        <v>61.04</v>
      </c>
      <c r="U39" s="11" t="n">
        <f aca="false">T39/1.1</f>
        <v>55.4909090909091</v>
      </c>
      <c r="V39" s="42" t="s">
        <v>259</v>
      </c>
      <c r="W39" s="42" t="s">
        <v>259</v>
      </c>
      <c r="X39" s="11" t="n">
        <v>124.21</v>
      </c>
      <c r="Y39" s="11" t="n">
        <f aca="false">X39/1.1</f>
        <v>112.918181818182</v>
      </c>
      <c r="Z39" s="42" t="s">
        <v>259</v>
      </c>
      <c r="AA39" s="42" t="s">
        <v>259</v>
      </c>
      <c r="AB39" s="47" t="n">
        <v>40.83</v>
      </c>
      <c r="AC39" s="47" t="n">
        <f aca="false">AB39/1.1</f>
        <v>37.1181818181818</v>
      </c>
      <c r="AD39" s="11" t="n">
        <f aca="false">IF(COUNT(I39,J39,M39,O39,Q39,S39,U39,V39,Y39,AA39,AC39)=0,"N/A",MIN(I39,J39,M39,O39,Q39,S39,U39,V39,Y39,AA39,AC39))</f>
        <v>31</v>
      </c>
      <c r="AE39" s="43" t="n">
        <f aca="false">IF(OR(D39="",AD39="",AD39="N/A"),"N/A",D39/AD39-1)</f>
        <v>-0.578387096774194</v>
      </c>
      <c r="AF39" s="43" t="str">
        <f aca="false">IF(OR(F39="",AD39="",AD39="N/A"),"N/A",F39/AD39-1)</f>
        <v>N/A</v>
      </c>
      <c r="AG39" s="41" t="s">
        <v>293</v>
      </c>
    </row>
    <row r="40" customFormat="false" ht="123.75" hidden="false" customHeight="true" outlineLevel="0" collapsed="false">
      <c r="A40" s="1" t="s">
        <v>223</v>
      </c>
      <c r="B40" s="1" t="s">
        <v>69</v>
      </c>
      <c r="C40" s="41" t="s">
        <v>70</v>
      </c>
      <c r="D40" s="11" t="n">
        <f aca="false">'RSEA vs Quoted Comparison'!F40</f>
        <v>13.07</v>
      </c>
      <c r="E40" s="11" t="n">
        <f aca="false">'RSEA vs Quoted Comparison'!G40</f>
        <v>14.377</v>
      </c>
      <c r="F40" s="11" t="str">
        <f aca="false">IF('RSEA vs Quoted Comparison'!H40="","",'RSEA vs Quoted Comparison'!H40)</f>
        <v/>
      </c>
      <c r="G40" s="11" t="str">
        <f aca="false">IF('RSEA vs Quoted Comparison'!I40="","",'RSEA vs Quoted Comparison'!I40)</f>
        <v/>
      </c>
      <c r="H40" s="11" t="n">
        <f aca="false">'RSEA vs Quoted Comparison'!D40</f>
        <v>57.99</v>
      </c>
      <c r="I40" s="11" t="n">
        <f aca="false">'RSEA vs Quoted Comparison'!E40</f>
        <v>52.7181818181818</v>
      </c>
      <c r="J40" s="11" t="n">
        <f aca="false">K40*1.1</f>
        <v>72.391</v>
      </c>
      <c r="K40" s="11" t="n">
        <v>65.81</v>
      </c>
      <c r="L40" s="42" t="s">
        <v>259</v>
      </c>
      <c r="M40" s="42" t="s">
        <v>259</v>
      </c>
      <c r="N40" s="11" t="n">
        <v>115.9</v>
      </c>
      <c r="O40" s="11" t="n">
        <f aca="false">N40/1.1</f>
        <v>105.363636363636</v>
      </c>
      <c r="P40" s="42" t="s">
        <v>259</v>
      </c>
      <c r="Q40" s="42" t="s">
        <v>259</v>
      </c>
      <c r="R40" s="11" t="n">
        <v>34.1</v>
      </c>
      <c r="S40" s="11" t="n">
        <f aca="false">R40/1.1</f>
        <v>31</v>
      </c>
      <c r="T40" s="11" t="n">
        <v>61.04</v>
      </c>
      <c r="U40" s="11" t="n">
        <f aca="false">T40/1.1</f>
        <v>55.4909090909091</v>
      </c>
      <c r="V40" s="42" t="s">
        <v>259</v>
      </c>
      <c r="W40" s="42" t="s">
        <v>259</v>
      </c>
      <c r="X40" s="11" t="n">
        <v>124.21</v>
      </c>
      <c r="Y40" s="11" t="n">
        <f aca="false">X40/1.1</f>
        <v>112.918181818182</v>
      </c>
      <c r="Z40" s="42" t="s">
        <v>259</v>
      </c>
      <c r="AA40" s="42" t="s">
        <v>259</v>
      </c>
      <c r="AB40" s="47" t="n">
        <v>40.83</v>
      </c>
      <c r="AC40" s="47" t="n">
        <f aca="false">AB40/1.1</f>
        <v>37.1181818181818</v>
      </c>
      <c r="AD40" s="11" t="n">
        <f aca="false">IF(COUNT(I40,J40,M40,O40,Q40,S40,U40,V40,Y40,AA40,AC40)=0,"N/A",MIN(I40,J40,M40,O40,Q40,S40,U40,V40,Y40,AA40,AC40))</f>
        <v>31</v>
      </c>
      <c r="AE40" s="43" t="n">
        <f aca="false">IF(OR(D40="",AD40="",AD40="N/A"),"N/A",D40/AD40-1)</f>
        <v>-0.578387096774194</v>
      </c>
      <c r="AF40" s="43" t="str">
        <f aca="false">IF(OR(F40="",AD40="",AD40="N/A"),"N/A",F40/AD40-1)</f>
        <v>N/A</v>
      </c>
      <c r="AG40" s="41" t="s">
        <v>294</v>
      </c>
    </row>
    <row r="41" customFormat="false" ht="138.75" hidden="false" customHeight="true" outlineLevel="0" collapsed="false">
      <c r="A41" s="1" t="s">
        <v>223</v>
      </c>
      <c r="B41" s="1" t="s">
        <v>71</v>
      </c>
      <c r="C41" s="41" t="s">
        <v>72</v>
      </c>
      <c r="D41" s="11" t="n">
        <f aca="false">'RSEA vs Quoted Comparison'!F41</f>
        <v>13.07</v>
      </c>
      <c r="E41" s="11" t="n">
        <f aca="false">'RSEA vs Quoted Comparison'!G41</f>
        <v>14.377</v>
      </c>
      <c r="F41" s="11" t="str">
        <f aca="false">IF('RSEA vs Quoted Comparison'!H41="","",'RSEA vs Quoted Comparison'!H41)</f>
        <v/>
      </c>
      <c r="G41" s="11" t="str">
        <f aca="false">IF('RSEA vs Quoted Comparison'!I41="","",'RSEA vs Quoted Comparison'!I41)</f>
        <v/>
      </c>
      <c r="H41" s="11" t="n">
        <f aca="false">'RSEA vs Quoted Comparison'!D41</f>
        <v>57.99</v>
      </c>
      <c r="I41" s="11" t="n">
        <f aca="false">'RSEA vs Quoted Comparison'!E41</f>
        <v>52.7181818181818</v>
      </c>
      <c r="J41" s="11" t="n">
        <f aca="false">K41*1.1</f>
        <v>108.163</v>
      </c>
      <c r="K41" s="11" t="n">
        <v>98.33</v>
      </c>
      <c r="L41" s="42" t="s">
        <v>259</v>
      </c>
      <c r="M41" s="42" t="s">
        <v>259</v>
      </c>
      <c r="N41" s="42" t="s">
        <v>259</v>
      </c>
      <c r="O41" s="42" t="s">
        <v>259</v>
      </c>
      <c r="P41" s="11" t="n">
        <v>96.1</v>
      </c>
      <c r="Q41" s="11" t="n">
        <v>87.36</v>
      </c>
      <c r="R41" s="11" t="n">
        <v>34.1</v>
      </c>
      <c r="S41" s="11" t="n">
        <f aca="false">R41/1.1</f>
        <v>31</v>
      </c>
      <c r="T41" s="11" t="n">
        <v>59.26</v>
      </c>
      <c r="U41" s="11" t="n">
        <f aca="false">T41/1.1</f>
        <v>53.8727272727273</v>
      </c>
      <c r="V41" s="11" t="n">
        <f aca="false">W41*1.1</f>
        <v>85.745</v>
      </c>
      <c r="W41" s="11" t="n">
        <v>77.95</v>
      </c>
      <c r="X41" s="11" t="n">
        <v>53.22</v>
      </c>
      <c r="Y41" s="11" t="n">
        <f aca="false">X41/1.1</f>
        <v>48.3818181818182</v>
      </c>
      <c r="Z41" s="42" t="s">
        <v>259</v>
      </c>
      <c r="AA41" s="42" t="s">
        <v>259</v>
      </c>
      <c r="AB41" s="47" t="n">
        <v>40.83</v>
      </c>
      <c r="AC41" s="47" t="n">
        <f aca="false">AB41/1.1</f>
        <v>37.1181818181818</v>
      </c>
      <c r="AD41" s="11" t="n">
        <f aca="false">IF(COUNT(I41,J41,M41,O41,Q41,S41,U41,V41,Y41,AA41,AC41)=0,"N/A",MIN(I41,J41,M41,O41,Q41,S41,U41,V41,Y41,AA41,AC41))</f>
        <v>31</v>
      </c>
      <c r="AE41" s="43" t="n">
        <f aca="false">IF(OR(D41="",AD41="",AD41="N/A"),"N/A",D41/AD41-1)</f>
        <v>-0.578387096774194</v>
      </c>
      <c r="AF41" s="43" t="str">
        <f aca="false">IF(OR(F41="",AD41="",AD41="N/A"),"N/A",F41/AD41-1)</f>
        <v>N/A</v>
      </c>
      <c r="AG41" s="41" t="s">
        <v>295</v>
      </c>
    </row>
    <row r="42" customFormat="false" ht="138.75" hidden="false" customHeight="true" outlineLevel="0" collapsed="false">
      <c r="A42" s="1" t="s">
        <v>223</v>
      </c>
      <c r="B42" s="1" t="s">
        <v>73</v>
      </c>
      <c r="C42" s="41" t="s">
        <v>74</v>
      </c>
      <c r="D42" s="11" t="n">
        <f aca="false">'RSEA vs Quoted Comparison'!F42</f>
        <v>13.07</v>
      </c>
      <c r="E42" s="11" t="n">
        <f aca="false">'RSEA vs Quoted Comparison'!G42</f>
        <v>14.377</v>
      </c>
      <c r="F42" s="11" t="str">
        <f aca="false">IF('RSEA vs Quoted Comparison'!H42="","",'RSEA vs Quoted Comparison'!H42)</f>
        <v/>
      </c>
      <c r="G42" s="11" t="str">
        <f aca="false">IF('RSEA vs Quoted Comparison'!I42="","",'RSEA vs Quoted Comparison'!I42)</f>
        <v/>
      </c>
      <c r="H42" s="11" t="n">
        <f aca="false">'RSEA vs Quoted Comparison'!D42</f>
        <v>57.99</v>
      </c>
      <c r="I42" s="11" t="n">
        <f aca="false">'RSEA vs Quoted Comparison'!E42</f>
        <v>52.7181818181818</v>
      </c>
      <c r="J42" s="11" t="n">
        <f aca="false">K42*1.1</f>
        <v>108.163</v>
      </c>
      <c r="K42" s="11" t="n">
        <v>98.33</v>
      </c>
      <c r="L42" s="42" t="s">
        <v>259</v>
      </c>
      <c r="M42" s="42" t="s">
        <v>259</v>
      </c>
      <c r="N42" s="42" t="s">
        <v>259</v>
      </c>
      <c r="O42" s="42" t="s">
        <v>259</v>
      </c>
      <c r="P42" s="11" t="n">
        <v>96.1</v>
      </c>
      <c r="Q42" s="11" t="n">
        <v>87.36</v>
      </c>
      <c r="R42" s="11" t="n">
        <v>34.1</v>
      </c>
      <c r="S42" s="11" t="n">
        <f aca="false">R42/1.1</f>
        <v>31</v>
      </c>
      <c r="T42" s="11" t="n">
        <v>59.26</v>
      </c>
      <c r="U42" s="11" t="n">
        <f aca="false">T42/1.1</f>
        <v>53.8727272727273</v>
      </c>
      <c r="V42" s="11" t="n">
        <f aca="false">W42*1.1</f>
        <v>52.8</v>
      </c>
      <c r="W42" s="11" t="n">
        <v>48</v>
      </c>
      <c r="X42" s="11" t="n">
        <v>53.22</v>
      </c>
      <c r="Y42" s="11" t="n">
        <f aca="false">X42/1.1</f>
        <v>48.3818181818182</v>
      </c>
      <c r="Z42" s="42" t="s">
        <v>259</v>
      </c>
      <c r="AA42" s="42" t="s">
        <v>259</v>
      </c>
      <c r="AB42" s="47" t="n">
        <v>40.83</v>
      </c>
      <c r="AC42" s="47" t="n">
        <f aca="false">AB42/1.1</f>
        <v>37.1181818181818</v>
      </c>
      <c r="AD42" s="11" t="n">
        <f aca="false">IF(COUNT(I42,J42,M42,O42,Q42,S42,U42,V42,Y42,AA42,AC42)=0,"N/A",MIN(I42,J42,M42,O42,Q42,S42,U42,V42,Y42,AA42,AC42))</f>
        <v>31</v>
      </c>
      <c r="AE42" s="43" t="n">
        <f aca="false">IF(OR(D42="",AD42="",AD42="N/A"),"N/A",D42/AD42-1)</f>
        <v>-0.578387096774194</v>
      </c>
      <c r="AF42" s="43" t="str">
        <f aca="false">IF(OR(F42="",AD42="",AD42="N/A"),"N/A",F42/AD42-1)</f>
        <v>N/A</v>
      </c>
      <c r="AG42" s="41" t="s">
        <v>296</v>
      </c>
    </row>
    <row r="43" customFormat="false" ht="63.75" hidden="false" customHeight="true" outlineLevel="0" collapsed="false">
      <c r="A43" s="1" t="s">
        <v>225</v>
      </c>
      <c r="B43" s="1" t="s">
        <v>4</v>
      </c>
      <c r="C43" s="41" t="s">
        <v>5</v>
      </c>
      <c r="D43" s="11" t="n">
        <f aca="false">'RSEA vs Quoted Comparison'!F43</f>
        <v>5.35</v>
      </c>
      <c r="E43" s="11" t="n">
        <f aca="false">'RSEA vs Quoted Comparison'!G43</f>
        <v>5.885</v>
      </c>
      <c r="F43" s="11" t="str">
        <f aca="false">IF('RSEA vs Quoted Comparison'!H43="","",'RSEA vs Quoted Comparison'!H43)</f>
        <v/>
      </c>
      <c r="G43" s="11" t="str">
        <f aca="false">IF('RSEA vs Quoted Comparison'!I43="","",'RSEA vs Quoted Comparison'!I43)</f>
        <v/>
      </c>
      <c r="H43" s="11" t="n">
        <f aca="false">'RSEA vs Quoted Comparison'!D43</f>
        <v>37.99</v>
      </c>
      <c r="I43" s="11" t="n">
        <f aca="false">'RSEA vs Quoted Comparison'!E43</f>
        <v>34.5363636363636</v>
      </c>
      <c r="J43" s="42" t="s">
        <v>259</v>
      </c>
      <c r="K43" s="42" t="s">
        <v>259</v>
      </c>
      <c r="L43" s="42" t="s">
        <v>259</v>
      </c>
      <c r="M43" s="42" t="s">
        <v>259</v>
      </c>
      <c r="N43" s="42" t="s">
        <v>259</v>
      </c>
      <c r="O43" s="42" t="s">
        <v>259</v>
      </c>
      <c r="P43" s="47" t="n">
        <v>22.05</v>
      </c>
      <c r="Q43" s="47" t="n">
        <v>20.05</v>
      </c>
      <c r="R43" s="47" t="n">
        <v>27.5</v>
      </c>
      <c r="S43" s="47" t="n">
        <f aca="false">R43/1.1</f>
        <v>25</v>
      </c>
      <c r="T43" s="42" t="s">
        <v>259</v>
      </c>
      <c r="U43" s="42" t="s">
        <v>259</v>
      </c>
      <c r="V43" s="42" t="s">
        <v>259</v>
      </c>
      <c r="W43" s="42" t="s">
        <v>259</v>
      </c>
      <c r="X43" s="47" t="n">
        <v>31.96</v>
      </c>
      <c r="Y43" s="47" t="n">
        <f aca="false">X43/1.1</f>
        <v>29.0545454545455</v>
      </c>
      <c r="Z43" s="48"/>
      <c r="AA43" s="48"/>
      <c r="AB43" s="47" t="n">
        <v>35.9</v>
      </c>
      <c r="AC43" s="47" t="n">
        <f aca="false">AB43/1.1</f>
        <v>32.6363636363636</v>
      </c>
      <c r="AD43" s="11" t="n">
        <f aca="false">IF(COUNT(I43,J43,M43,O43,Q43,S43,U43,V43,Y43,AA43,AC43)=0,"N/A",MIN(I43,J43,M43,O43,Q43,S43,U43,V43,Y43,AA43,AC43))</f>
        <v>20.05</v>
      </c>
      <c r="AE43" s="43" t="n">
        <f aca="false">IF(OR(D43="",AD43="",AD43="N/A"),"N/A",D43/AD43-1)</f>
        <v>-0.733167082294264</v>
      </c>
      <c r="AF43" s="43" t="str">
        <f aca="false">IF(OR(F43="",AD43="",AD43="N/A"),"N/A",F43/AD43-1)</f>
        <v>N/A</v>
      </c>
      <c r="AG43" s="41" t="s">
        <v>297</v>
      </c>
    </row>
    <row r="44" customFormat="false" ht="138.75" hidden="false" customHeight="true" outlineLevel="0" collapsed="false">
      <c r="A44" s="1" t="s">
        <v>225</v>
      </c>
      <c r="B44" s="1" t="s">
        <v>95</v>
      </c>
      <c r="C44" s="41" t="s">
        <v>96</v>
      </c>
      <c r="D44" s="11" t="n">
        <f aca="false">'RSEA vs Quoted Comparison'!F44</f>
        <v>2.67</v>
      </c>
      <c r="E44" s="11" t="n">
        <f aca="false">'RSEA vs Quoted Comparison'!G44</f>
        <v>2.937</v>
      </c>
      <c r="F44" s="11" t="str">
        <f aca="false">IF('RSEA vs Quoted Comparison'!H44="","",'RSEA vs Quoted Comparison'!H44)</f>
        <v/>
      </c>
      <c r="G44" s="11" t="str">
        <f aca="false">IF('RSEA vs Quoted Comparison'!I44="","",'RSEA vs Quoted Comparison'!I44)</f>
        <v/>
      </c>
      <c r="H44" s="11" t="n">
        <f aca="false">'RSEA vs Quoted Comparison'!D44</f>
        <v>24.99</v>
      </c>
      <c r="I44" s="11" t="n">
        <f aca="false">'RSEA vs Quoted Comparison'!E44</f>
        <v>22.7181818181818</v>
      </c>
      <c r="J44" s="42" t="s">
        <v>259</v>
      </c>
      <c r="K44" s="42" t="s">
        <v>259</v>
      </c>
      <c r="L44" s="11" t="n">
        <v>34.67</v>
      </c>
      <c r="M44" s="11" t="n">
        <v>31.52</v>
      </c>
      <c r="N44" s="11" t="n">
        <v>42.5</v>
      </c>
      <c r="O44" s="11" t="n">
        <f aca="false">N44/1.1</f>
        <v>38.6363636363636</v>
      </c>
      <c r="P44" s="11" t="n">
        <v>24.2</v>
      </c>
      <c r="Q44" s="11" t="n">
        <v>22</v>
      </c>
      <c r="R44" s="47" t="n">
        <v>22.5</v>
      </c>
      <c r="S44" s="47" t="n">
        <f aca="false">R44/1.1</f>
        <v>20.4545454545455</v>
      </c>
      <c r="T44" s="11" t="n">
        <v>21.12</v>
      </c>
      <c r="U44" s="11" t="n">
        <f aca="false">T44/1.1</f>
        <v>19.2</v>
      </c>
      <c r="V44" s="42" t="s">
        <v>259</v>
      </c>
      <c r="W44" s="42" t="s">
        <v>259</v>
      </c>
      <c r="X44" s="11" t="n">
        <v>10.29</v>
      </c>
      <c r="Y44" s="11" t="n">
        <f aca="false">X44/1.1</f>
        <v>9.35454545454545</v>
      </c>
      <c r="Z44" s="11" t="n">
        <v>32.72</v>
      </c>
      <c r="AA44" s="11" t="n">
        <f aca="false">Z44/1.1</f>
        <v>29.7454545454545</v>
      </c>
      <c r="AB44" s="11" t="n">
        <v>30.77</v>
      </c>
      <c r="AC44" s="11" t="n">
        <f aca="false">AB44/1.1</f>
        <v>27.9727272727273</v>
      </c>
      <c r="AD44" s="11" t="n">
        <f aca="false">IF(COUNT(I44,J44,M44,O44,Q44,S44,U44,V44,Y44,AA44,AC44)=0,"N/A",MIN(I44,J44,M44,O44,Q44,S44,U44,V44,Y44,AA44,AC44))</f>
        <v>9.35454545454545</v>
      </c>
      <c r="AE44" s="43" t="n">
        <f aca="false">IF(OR(D44="",AD44="",AD44="N/A"),"N/A",D44/AD44-1)</f>
        <v>-0.714577259475219</v>
      </c>
      <c r="AF44" s="43" t="str">
        <f aca="false">IF(OR(F44="",AD44="",AD44="N/A"),"N/A",F44/AD44-1)</f>
        <v>N/A</v>
      </c>
      <c r="AG44" s="41" t="s">
        <v>298</v>
      </c>
    </row>
    <row r="45" customFormat="false" ht="138.75" hidden="false" customHeight="true" outlineLevel="0" collapsed="false">
      <c r="A45" s="1" t="s">
        <v>225</v>
      </c>
      <c r="B45" s="1" t="s">
        <v>97</v>
      </c>
      <c r="C45" s="41" t="s">
        <v>98</v>
      </c>
      <c r="D45" s="11" t="n">
        <f aca="false">'RSEA vs Quoted Comparison'!F45</f>
        <v>10.69</v>
      </c>
      <c r="E45" s="11" t="n">
        <f aca="false">'RSEA vs Quoted Comparison'!G45</f>
        <v>11.759</v>
      </c>
      <c r="F45" s="11" t="str">
        <f aca="false">IF('RSEA vs Quoted Comparison'!H45="","",'RSEA vs Quoted Comparison'!H45)</f>
        <v/>
      </c>
      <c r="G45" s="11" t="str">
        <f aca="false">IF('RSEA vs Quoted Comparison'!I45="","",'RSEA vs Quoted Comparison'!I45)</f>
        <v/>
      </c>
      <c r="H45" s="11" t="n">
        <f aca="false">'RSEA vs Quoted Comparison'!D45</f>
        <v>44.99</v>
      </c>
      <c r="I45" s="11" t="n">
        <f aca="false">'RSEA vs Quoted Comparison'!E45</f>
        <v>40.9</v>
      </c>
      <c r="J45" s="42" t="s">
        <v>259</v>
      </c>
      <c r="K45" s="42" t="s">
        <v>259</v>
      </c>
      <c r="L45" s="11" t="n">
        <v>39.58</v>
      </c>
      <c r="M45" s="11" t="n">
        <v>35.98</v>
      </c>
      <c r="N45" s="11" t="n">
        <v>42.5</v>
      </c>
      <c r="O45" s="11" t="n">
        <f aca="false">N45/1.1</f>
        <v>38.6363636363636</v>
      </c>
      <c r="P45" s="11" t="n">
        <v>51</v>
      </c>
      <c r="Q45" s="11" t="n">
        <v>46.36</v>
      </c>
      <c r="R45" s="11" t="n">
        <v>25.75</v>
      </c>
      <c r="S45" s="11" t="n">
        <f aca="false">R45/1.1</f>
        <v>23.4090909090909</v>
      </c>
      <c r="T45" s="42" t="s">
        <v>259</v>
      </c>
      <c r="U45" s="42" t="s">
        <v>259</v>
      </c>
      <c r="V45" s="11" t="n">
        <f aca="false">W45*1.1</f>
        <v>29.15</v>
      </c>
      <c r="W45" s="11" t="n">
        <v>26.5</v>
      </c>
      <c r="X45" s="47" t="n">
        <v>45.76</v>
      </c>
      <c r="Y45" s="47" t="n">
        <f aca="false">X45/1.1</f>
        <v>41.6</v>
      </c>
      <c r="Z45" s="45" t="n">
        <f aca="false">AA45*1.1</f>
        <v>72.204</v>
      </c>
      <c r="AA45" s="45" t="n">
        <v>65.64</v>
      </c>
      <c r="AB45" s="45" t="n">
        <v>42.75</v>
      </c>
      <c r="AC45" s="45" t="n">
        <f aca="false">AB45/1.1</f>
        <v>38.8636363636364</v>
      </c>
      <c r="AD45" s="11" t="n">
        <f aca="false">IF(COUNT(I45,J45,M45,O45,Q45,S45,U45,V45,Y45,AA45,AC45)=0,"N/A",MIN(I45,J45,M45,O45,Q45,S45,U45,V45,Y45,AA45,AC45))</f>
        <v>23.4090909090909</v>
      </c>
      <c r="AE45" s="43" t="n">
        <f aca="false">IF(OR(D45="",AD45="",AD45="N/A"),"N/A",D45/AD45-1)</f>
        <v>-0.543339805825243</v>
      </c>
      <c r="AF45" s="43" t="str">
        <f aca="false">IF(OR(F45="",AD45="",AD45="N/A"),"N/A",F45/AD45-1)</f>
        <v>N/A</v>
      </c>
      <c r="AG45" s="41" t="s">
        <v>299</v>
      </c>
    </row>
    <row r="46" customFormat="false" ht="63.75" hidden="false" customHeight="true" outlineLevel="0" collapsed="false">
      <c r="A46" s="1" t="s">
        <v>225</v>
      </c>
      <c r="B46" s="1" t="s">
        <v>99</v>
      </c>
      <c r="C46" s="41" t="s">
        <v>100</v>
      </c>
      <c r="D46" s="11" t="n">
        <f aca="false">'RSEA vs Quoted Comparison'!F46</f>
        <v>2.67</v>
      </c>
      <c r="E46" s="11" t="n">
        <f aca="false">'RSEA vs Quoted Comparison'!G46</f>
        <v>2.937</v>
      </c>
      <c r="F46" s="11" t="str">
        <f aca="false">IF('RSEA vs Quoted Comparison'!H46="","",'RSEA vs Quoted Comparison'!H46)</f>
        <v/>
      </c>
      <c r="G46" s="11" t="str">
        <f aca="false">IF('RSEA vs Quoted Comparison'!I46="","",'RSEA vs Quoted Comparison'!I46)</f>
        <v/>
      </c>
      <c r="H46" s="11" t="n">
        <f aca="false">'RSEA vs Quoted Comparison'!D46</f>
        <v>24.99</v>
      </c>
      <c r="I46" s="11" t="n">
        <f aca="false">'RSEA vs Quoted Comparison'!E46</f>
        <v>22.7181818181818</v>
      </c>
      <c r="J46" s="42" t="s">
        <v>259</v>
      </c>
      <c r="K46" s="42" t="s">
        <v>259</v>
      </c>
      <c r="L46" s="47" t="n">
        <v>39.58</v>
      </c>
      <c r="M46" s="47" t="n">
        <v>35.98</v>
      </c>
      <c r="N46" s="47" t="n">
        <v>27.5</v>
      </c>
      <c r="O46" s="47" t="n">
        <f aca="false">N46/1.1</f>
        <v>25</v>
      </c>
      <c r="P46" s="42" t="s">
        <v>259</v>
      </c>
      <c r="Q46" s="42" t="s">
        <v>259</v>
      </c>
      <c r="R46" s="47" t="n">
        <v>22.5</v>
      </c>
      <c r="S46" s="47" t="n">
        <f aca="false">R46/1.1</f>
        <v>20.4545454545455</v>
      </c>
      <c r="T46" s="42" t="s">
        <v>259</v>
      </c>
      <c r="U46" s="42" t="s">
        <v>259</v>
      </c>
      <c r="V46" s="42" t="s">
        <v>259</v>
      </c>
      <c r="W46" s="42" t="s">
        <v>259</v>
      </c>
      <c r="X46" s="47" t="n">
        <v>24.96</v>
      </c>
      <c r="Y46" s="47" t="n">
        <f aca="false">X46/1.1</f>
        <v>22.6909090909091</v>
      </c>
      <c r="Z46" s="45" t="n">
        <f aca="false">AA46*1.1</f>
        <v>46.134</v>
      </c>
      <c r="AA46" s="45" t="n">
        <v>41.94</v>
      </c>
      <c r="AB46" s="45" t="n">
        <v>30.77</v>
      </c>
      <c r="AC46" s="45" t="n">
        <f aca="false">AB46/1.1</f>
        <v>27.9727272727273</v>
      </c>
      <c r="AD46" s="11" t="n">
        <f aca="false">IF(COUNT(I46,J46,M46,O46,Q46,S46,U46,V46,Y46,AA46,AC46)=0,"N/A",MIN(I46,J46,M46,O46,Q46,S46,U46,V46,Y46,AA46,AC46))</f>
        <v>20.4545454545455</v>
      </c>
      <c r="AE46" s="43" t="n">
        <f aca="false">IF(OR(D46="",AD46="",AD46="N/A"),"N/A",D46/AD46-1)</f>
        <v>-0.869466666666667</v>
      </c>
      <c r="AF46" s="43" t="str">
        <f aca="false">IF(OR(F46="",AD46="",AD46="N/A"),"N/A",F46/AD46-1)</f>
        <v>N/A</v>
      </c>
      <c r="AG46" s="41" t="s">
        <v>300</v>
      </c>
    </row>
    <row r="47" customFormat="false" ht="63.75" hidden="false" customHeight="true" outlineLevel="0" collapsed="false">
      <c r="A47" s="1" t="s">
        <v>225</v>
      </c>
      <c r="B47" s="1" t="s">
        <v>103</v>
      </c>
      <c r="C47" s="41" t="s">
        <v>104</v>
      </c>
      <c r="D47" s="11" t="n">
        <f aca="false">'RSEA vs Quoted Comparison'!F47</f>
        <v>9.5</v>
      </c>
      <c r="E47" s="11" t="n">
        <f aca="false">'RSEA vs Quoted Comparison'!G47</f>
        <v>10.45</v>
      </c>
      <c r="F47" s="11" t="str">
        <f aca="false">IF('RSEA vs Quoted Comparison'!H47="","",'RSEA vs Quoted Comparison'!H47)</f>
        <v/>
      </c>
      <c r="G47" s="11" t="str">
        <f aca="false">IF('RSEA vs Quoted Comparison'!I47="","",'RSEA vs Quoted Comparison'!I47)</f>
        <v/>
      </c>
      <c r="H47" s="11" t="n">
        <f aca="false">'RSEA vs Quoted Comparison'!D47</f>
        <v>44.99</v>
      </c>
      <c r="I47" s="11" t="n">
        <f aca="false">'RSEA vs Quoted Comparison'!E47</f>
        <v>40.9</v>
      </c>
      <c r="J47" s="42" t="s">
        <v>259</v>
      </c>
      <c r="K47" s="42" t="s">
        <v>259</v>
      </c>
      <c r="L47" s="47" t="n">
        <v>39.58</v>
      </c>
      <c r="M47" s="47" t="n">
        <v>35.98</v>
      </c>
      <c r="N47" s="47" t="n">
        <v>42.5</v>
      </c>
      <c r="O47" s="47" t="n">
        <f aca="false">N47/1.1</f>
        <v>38.6363636363636</v>
      </c>
      <c r="P47" s="47" t="n">
        <v>24.2</v>
      </c>
      <c r="Q47" s="47" t="n">
        <v>22</v>
      </c>
      <c r="R47" s="47" t="n">
        <v>30</v>
      </c>
      <c r="S47" s="47" t="n">
        <f aca="false">R47/1.1</f>
        <v>27.2727272727273</v>
      </c>
      <c r="T47" s="47" t="n">
        <v>28.66</v>
      </c>
      <c r="U47" s="47" t="n">
        <f aca="false">T47/1.1</f>
        <v>26.0545454545455</v>
      </c>
      <c r="V47" s="47" t="n">
        <v>36.5</v>
      </c>
      <c r="W47" s="47" t="n">
        <f aca="false">V47*1.1</f>
        <v>40.15</v>
      </c>
      <c r="X47" s="47" t="n">
        <v>45.76</v>
      </c>
      <c r="Y47" s="47" t="n">
        <f aca="false">X47/1.1</f>
        <v>41.6</v>
      </c>
      <c r="Z47" s="45" t="n">
        <f aca="false">AA47*1.1</f>
        <v>48.191</v>
      </c>
      <c r="AA47" s="45" t="n">
        <v>43.81</v>
      </c>
      <c r="AB47" s="45" t="n">
        <v>28.14</v>
      </c>
      <c r="AC47" s="45" t="n">
        <f aca="false">AB47/1.1</f>
        <v>25.5818181818182</v>
      </c>
      <c r="AD47" s="11" t="n">
        <f aca="false">IF(COUNT(I47,J47,M47,O47,Q47,S47,U47,V47,Y47,AA47,AC47)=0,"N/A",MIN(I47,J47,M47,O47,Q47,S47,U47,V47,Y47,AA47,AC47))</f>
        <v>22</v>
      </c>
      <c r="AE47" s="43" t="n">
        <f aca="false">IF(OR(D47="",AD47="",AD47="N/A"),"N/A",D47/AD47-1)</f>
        <v>-0.568181818181818</v>
      </c>
      <c r="AF47" s="43" t="str">
        <f aca="false">IF(OR(F47="",AD47="",AD47="N/A"),"N/A",F47/AD47-1)</f>
        <v>N/A</v>
      </c>
      <c r="AG47" s="41" t="s">
        <v>301</v>
      </c>
    </row>
    <row r="48" customFormat="false" ht="63.75" hidden="false" customHeight="true" outlineLevel="0" collapsed="false">
      <c r="A48" s="1" t="s">
        <v>225</v>
      </c>
      <c r="B48" s="1" t="s">
        <v>105</v>
      </c>
      <c r="C48" s="41" t="s">
        <v>106</v>
      </c>
      <c r="D48" s="11" t="n">
        <f aca="false">'RSEA vs Quoted Comparison'!F48</f>
        <v>10.69</v>
      </c>
      <c r="E48" s="11" t="n">
        <f aca="false">'RSEA vs Quoted Comparison'!G48</f>
        <v>11.759</v>
      </c>
      <c r="F48" s="11" t="str">
        <f aca="false">IF('RSEA vs Quoted Comparison'!H48="","",'RSEA vs Quoted Comparison'!H48)</f>
        <v/>
      </c>
      <c r="G48" s="11" t="str">
        <f aca="false">IF('RSEA vs Quoted Comparison'!I48="","",'RSEA vs Quoted Comparison'!I48)</f>
        <v/>
      </c>
      <c r="H48" s="11" t="n">
        <f aca="false">'RSEA vs Quoted Comparison'!D48</f>
        <v>44.99</v>
      </c>
      <c r="I48" s="11" t="n">
        <f aca="false">'RSEA vs Quoted Comparison'!E48</f>
        <v>40.9</v>
      </c>
      <c r="J48" s="42" t="s">
        <v>259</v>
      </c>
      <c r="K48" s="42" t="s">
        <v>259</v>
      </c>
      <c r="L48" s="47" t="n">
        <v>39.58</v>
      </c>
      <c r="M48" s="47" t="n">
        <v>35.98</v>
      </c>
      <c r="N48" s="47" t="n">
        <v>42.5</v>
      </c>
      <c r="O48" s="47" t="n">
        <f aca="false">N48/1.1</f>
        <v>38.6363636363636</v>
      </c>
      <c r="P48" s="47" t="n">
        <v>24.2</v>
      </c>
      <c r="Q48" s="47" t="n">
        <v>22</v>
      </c>
      <c r="R48" s="47" t="n">
        <v>33.5</v>
      </c>
      <c r="S48" s="47" t="n">
        <f aca="false">R48/1.1</f>
        <v>30.4545454545455</v>
      </c>
      <c r="T48" s="47" t="n">
        <v>18.41</v>
      </c>
      <c r="U48" s="47" t="n">
        <f aca="false">T48/1.1</f>
        <v>16.7363636363636</v>
      </c>
      <c r="V48" s="47" t="n">
        <v>28.5</v>
      </c>
      <c r="W48" s="47" t="n">
        <f aca="false">V48*1.1</f>
        <v>31.35</v>
      </c>
      <c r="X48" s="42" t="s">
        <v>259</v>
      </c>
      <c r="Y48" s="42" t="s">
        <v>259</v>
      </c>
      <c r="Z48" s="45" t="n">
        <f aca="false">AA48*1.1</f>
        <v>165.242</v>
      </c>
      <c r="AA48" s="45" t="n">
        <v>150.22</v>
      </c>
      <c r="AB48" s="45" t="n">
        <v>37.29</v>
      </c>
      <c r="AC48" s="45" t="n">
        <f aca="false">AB48/1.1</f>
        <v>33.9</v>
      </c>
      <c r="AD48" s="11" t="n">
        <f aca="false">IF(COUNT(I48,J48,M48,O48,Q48,S48,U48,V48,Y48,AA48,AC48)=0,"N/A",MIN(I48,J48,M48,O48,Q48,S48,U48,V48,Y48,AA48,AC48))</f>
        <v>16.7363636363636</v>
      </c>
      <c r="AE48" s="43" t="n">
        <f aca="false">IF(OR(D48="",AD48="",AD48="N/A"),"N/A",D48/AD48-1)</f>
        <v>-0.361271048343292</v>
      </c>
      <c r="AF48" s="43" t="str">
        <f aca="false">IF(OR(F48="",AD48="",AD48="N/A"),"N/A",F48/AD48-1)</f>
        <v>N/A</v>
      </c>
      <c r="AG48" s="41" t="s">
        <v>302</v>
      </c>
    </row>
    <row r="49" customFormat="false" ht="123.75" hidden="false" customHeight="true" outlineLevel="0" collapsed="false">
      <c r="A49" s="1" t="s">
        <v>225</v>
      </c>
      <c r="B49" s="1" t="s">
        <v>109</v>
      </c>
      <c r="C49" s="41" t="s">
        <v>110</v>
      </c>
      <c r="D49" s="11" t="n">
        <f aca="false">'RSEA vs Quoted Comparison'!F49</f>
        <v>5.35</v>
      </c>
      <c r="E49" s="11" t="n">
        <f aca="false">'RSEA vs Quoted Comparison'!G49</f>
        <v>5.885</v>
      </c>
      <c r="F49" s="11" t="str">
        <f aca="false">IF('RSEA vs Quoted Comparison'!H49="","",'RSEA vs Quoted Comparison'!H49)</f>
        <v/>
      </c>
      <c r="G49" s="11" t="str">
        <f aca="false">IF('RSEA vs Quoted Comparison'!I49="","",'RSEA vs Quoted Comparison'!I49)</f>
        <v/>
      </c>
      <c r="H49" s="11" t="n">
        <f aca="false">'RSEA vs Quoted Comparison'!D49</f>
        <v>32.99</v>
      </c>
      <c r="I49" s="11" t="n">
        <f aca="false">'RSEA vs Quoted Comparison'!E49</f>
        <v>29.9909090909091</v>
      </c>
      <c r="J49" s="42" t="s">
        <v>259</v>
      </c>
      <c r="K49" s="42" t="s">
        <v>259</v>
      </c>
      <c r="L49" s="11" t="n">
        <v>34.67</v>
      </c>
      <c r="M49" s="11" t="n">
        <v>31.52</v>
      </c>
      <c r="N49" s="47" t="n">
        <v>35.4</v>
      </c>
      <c r="O49" s="47" t="n">
        <f aca="false">N49/1.1</f>
        <v>32.1818181818182</v>
      </c>
      <c r="P49" s="47" t="n">
        <v>24.2</v>
      </c>
      <c r="Q49" s="47" t="n">
        <v>22</v>
      </c>
      <c r="R49" s="11" t="n">
        <v>23</v>
      </c>
      <c r="S49" s="11" t="n">
        <f aca="false">R49/1.1</f>
        <v>20.9090909090909</v>
      </c>
      <c r="T49" s="11" t="n">
        <v>35.73</v>
      </c>
      <c r="U49" s="11" t="n">
        <f aca="false">T49/1.1</f>
        <v>32.4818181818182</v>
      </c>
      <c r="V49" s="11" t="n">
        <f aca="false">W49*1.1</f>
        <v>24.09</v>
      </c>
      <c r="W49" s="11" t="n">
        <v>21.9</v>
      </c>
      <c r="X49" s="47" t="n">
        <v>31.96</v>
      </c>
      <c r="Y49" s="47" t="n">
        <f aca="false">X49/1.1</f>
        <v>29.0545454545455</v>
      </c>
      <c r="Z49" s="45" t="n">
        <f aca="false">AA49*1.1</f>
        <v>48.851</v>
      </c>
      <c r="AA49" s="45" t="n">
        <v>44.41</v>
      </c>
      <c r="AB49" s="45" t="n">
        <v>35.9</v>
      </c>
      <c r="AC49" s="45" t="n">
        <f aca="false">AB49/1.1</f>
        <v>32.6363636363636</v>
      </c>
      <c r="AD49" s="11" t="n">
        <f aca="false">IF(COUNT(I49,J49,M49,O49,Q49,S49,U49,V49,Y49,AA49,AC49)=0,"N/A",MIN(I49,J49,M49,O49,Q49,S49,U49,V49,Y49,AA49,AC49))</f>
        <v>20.9090909090909</v>
      </c>
      <c r="AE49" s="43" t="n">
        <f aca="false">IF(OR(D49="",AD49="",AD49="N/A"),"N/A",D49/AD49-1)</f>
        <v>-0.744130434782609</v>
      </c>
      <c r="AF49" s="43" t="str">
        <f aca="false">IF(OR(F49="",AD49="",AD49="N/A"),"N/A",F49/AD49-1)</f>
        <v>N/A</v>
      </c>
      <c r="AG49" s="41" t="s">
        <v>303</v>
      </c>
    </row>
    <row r="50" customFormat="false" ht="138.75" hidden="false" customHeight="true" outlineLevel="0" collapsed="false">
      <c r="A50" s="1" t="s">
        <v>225</v>
      </c>
      <c r="B50" s="1" t="s">
        <v>111</v>
      </c>
      <c r="C50" s="41" t="s">
        <v>112</v>
      </c>
      <c r="D50" s="11" t="n">
        <f aca="false">'RSEA vs Quoted Comparison'!F50</f>
        <v>5.35</v>
      </c>
      <c r="E50" s="11" t="n">
        <f aca="false">'RSEA vs Quoted Comparison'!G50</f>
        <v>5.885</v>
      </c>
      <c r="F50" s="11" t="str">
        <f aca="false">IF('RSEA vs Quoted Comparison'!H50="","",'RSEA vs Quoted Comparison'!H50)</f>
        <v/>
      </c>
      <c r="G50" s="11" t="str">
        <f aca="false">IF('RSEA vs Quoted Comparison'!I50="","",'RSEA vs Quoted Comparison'!I50)</f>
        <v/>
      </c>
      <c r="H50" s="11" t="n">
        <f aca="false">'RSEA vs Quoted Comparison'!D50</f>
        <v>49.99</v>
      </c>
      <c r="I50" s="11" t="n">
        <f aca="false">'RSEA vs Quoted Comparison'!E50</f>
        <v>45.4454545454545</v>
      </c>
      <c r="J50" s="42" t="s">
        <v>259</v>
      </c>
      <c r="K50" s="42" t="s">
        <v>259</v>
      </c>
      <c r="L50" s="11" t="n">
        <v>34.67</v>
      </c>
      <c r="M50" s="11" t="n">
        <v>31.52</v>
      </c>
      <c r="N50" s="11" t="n">
        <v>28.3</v>
      </c>
      <c r="O50" s="11" t="n">
        <f aca="false">N50/1.1</f>
        <v>25.7272727272727</v>
      </c>
      <c r="P50" s="11" t="n">
        <v>11.55</v>
      </c>
      <c r="Q50" s="11" t="n">
        <v>10.5</v>
      </c>
      <c r="R50" s="11" t="n">
        <v>23</v>
      </c>
      <c r="S50" s="11" t="n">
        <f aca="false">R50/1.1</f>
        <v>20.9090909090909</v>
      </c>
      <c r="T50" s="11" t="n">
        <v>35.01</v>
      </c>
      <c r="U50" s="11" t="n">
        <f aca="false">T50/1.1</f>
        <v>31.8272727272727</v>
      </c>
      <c r="V50" s="11" t="n">
        <f aca="false">W50*1.1</f>
        <v>25.3</v>
      </c>
      <c r="W50" s="11" t="n">
        <v>23</v>
      </c>
      <c r="X50" s="11" t="n">
        <v>10.29</v>
      </c>
      <c r="Y50" s="11" t="n">
        <f aca="false">X50/1.1</f>
        <v>9.35454545454545</v>
      </c>
      <c r="Z50" s="45" t="n">
        <f aca="false">AA50*1.1</f>
        <v>63.712</v>
      </c>
      <c r="AA50" s="45" t="n">
        <v>57.92</v>
      </c>
      <c r="AB50" s="45" t="n">
        <v>35.9</v>
      </c>
      <c r="AC50" s="45" t="n">
        <f aca="false">AB50/1.1</f>
        <v>32.6363636363636</v>
      </c>
      <c r="AD50" s="11" t="n">
        <f aca="false">IF(COUNT(I50,J50,M50,O50,Q50,S50,U50,V50,Y50,AA50,AC50)=0,"N/A",MIN(I50,J50,M50,O50,Q50,S50,U50,V50,Y50,AA50,AC50))</f>
        <v>9.35454545454545</v>
      </c>
      <c r="AE50" s="43" t="n">
        <f aca="false">IF(OR(D50="",AD50="",AD50="N/A"),"N/A",D50/AD50-1)</f>
        <v>-0.428085519922255</v>
      </c>
      <c r="AF50" s="43" t="str">
        <f aca="false">IF(OR(F50="",AD50="",AD50="N/A"),"N/A",F50/AD50-1)</f>
        <v>N/A</v>
      </c>
      <c r="AG50" s="41" t="s">
        <v>304</v>
      </c>
    </row>
    <row r="51" customFormat="false" ht="63.75" hidden="false" customHeight="true" outlineLevel="0" collapsed="false">
      <c r="A51" s="1" t="s">
        <v>225</v>
      </c>
      <c r="B51" s="1" t="s">
        <v>115</v>
      </c>
      <c r="C51" s="41" t="s">
        <v>116</v>
      </c>
      <c r="D51" s="11" t="n">
        <f aca="false">'RSEA vs Quoted Comparison'!F51</f>
        <v>2.67</v>
      </c>
      <c r="E51" s="11" t="n">
        <f aca="false">'RSEA vs Quoted Comparison'!G51</f>
        <v>2.937</v>
      </c>
      <c r="F51" s="11" t="str">
        <f aca="false">IF('RSEA vs Quoted Comparison'!H51="","",'RSEA vs Quoted Comparison'!H51)</f>
        <v/>
      </c>
      <c r="G51" s="11" t="str">
        <f aca="false">IF('RSEA vs Quoted Comparison'!I51="","",'RSEA vs Quoted Comparison'!I51)</f>
        <v/>
      </c>
      <c r="H51" s="11" t="n">
        <f aca="false">'RSEA vs Quoted Comparison'!D51</f>
        <v>27.99</v>
      </c>
      <c r="I51" s="11" t="n">
        <f aca="false">'RSEA vs Quoted Comparison'!E51</f>
        <v>25.4454545454545</v>
      </c>
      <c r="J51" s="42" t="s">
        <v>259</v>
      </c>
      <c r="K51" s="42" t="s">
        <v>259</v>
      </c>
      <c r="L51" s="47" t="n">
        <v>34.67</v>
      </c>
      <c r="M51" s="47" t="n">
        <v>31.52</v>
      </c>
      <c r="N51" s="47" t="n">
        <v>28.3</v>
      </c>
      <c r="O51" s="47" t="n">
        <f aca="false">N51/1.1</f>
        <v>25.7272727272727</v>
      </c>
      <c r="P51" s="47" t="n">
        <v>11.55</v>
      </c>
      <c r="Q51" s="47" t="n">
        <v>10.5</v>
      </c>
      <c r="R51" s="47" t="n">
        <v>22.5</v>
      </c>
      <c r="S51" s="47" t="n">
        <f aca="false">R51/1.1</f>
        <v>20.4545454545455</v>
      </c>
      <c r="T51" s="47" t="n">
        <v>33.04</v>
      </c>
      <c r="U51" s="47" t="n">
        <f aca="false">T51/1.1</f>
        <v>30.0363636363636</v>
      </c>
      <c r="V51" s="47" t="n">
        <v>19.5</v>
      </c>
      <c r="W51" s="47" t="n">
        <f aca="false">V51*1.1</f>
        <v>21.45</v>
      </c>
      <c r="X51" s="42" t="s">
        <v>259</v>
      </c>
      <c r="Y51" s="42" t="s">
        <v>259</v>
      </c>
      <c r="Z51" s="45" t="n">
        <f aca="false">AA51*1.1</f>
        <v>63.712</v>
      </c>
      <c r="AA51" s="45" t="n">
        <v>57.92</v>
      </c>
      <c r="AB51" s="45" t="n">
        <v>30.77</v>
      </c>
      <c r="AC51" s="45" t="n">
        <f aca="false">AB51/1.1</f>
        <v>27.9727272727273</v>
      </c>
      <c r="AD51" s="11" t="n">
        <f aca="false">IF(COUNT(I51,J51,M51,O51,Q51,S51,U51,V51,Y51,AA51,AC51)=0,"N/A",MIN(I51,J51,M51,O51,Q51,S51,U51,V51,Y51,AA51,AC51))</f>
        <v>10.5</v>
      </c>
      <c r="AE51" s="43" t="n">
        <f aca="false">IF(OR(D51="",AD51="",AD51="N/A"),"N/A",D51/AD51-1)</f>
        <v>-0.745714285714286</v>
      </c>
      <c r="AF51" s="43" t="str">
        <f aca="false">IF(OR(F51="",AD51="",AD51="N/A"),"N/A",F51/AD51-1)</f>
        <v>N/A</v>
      </c>
      <c r="AG51" s="41" t="s">
        <v>305</v>
      </c>
    </row>
    <row r="52" customFormat="false" ht="63.75" hidden="false" customHeight="true" outlineLevel="0" collapsed="false">
      <c r="A52" s="1" t="s">
        <v>225</v>
      </c>
      <c r="B52" s="1" t="s">
        <v>119</v>
      </c>
      <c r="C52" s="41" t="s">
        <v>120</v>
      </c>
      <c r="D52" s="11" t="n">
        <f aca="false">'RSEA vs Quoted Comparison'!F52</f>
        <v>9.5</v>
      </c>
      <c r="E52" s="11" t="n">
        <f aca="false">'RSEA vs Quoted Comparison'!G52</f>
        <v>10.45</v>
      </c>
      <c r="F52" s="11" t="str">
        <f aca="false">IF('RSEA vs Quoted Comparison'!H52="","",'RSEA vs Quoted Comparison'!H52)</f>
        <v/>
      </c>
      <c r="G52" s="11" t="str">
        <f aca="false">IF('RSEA vs Quoted Comparison'!I52="","",'RSEA vs Quoted Comparison'!I52)</f>
        <v/>
      </c>
      <c r="H52" s="11" t="n">
        <f aca="false">'RSEA vs Quoted Comparison'!D52</f>
        <v>44.99</v>
      </c>
      <c r="I52" s="11" t="n">
        <f aca="false">'RSEA vs Quoted Comparison'!E52</f>
        <v>40.9</v>
      </c>
      <c r="J52" s="42" t="s">
        <v>259</v>
      </c>
      <c r="K52" s="42" t="s">
        <v>259</v>
      </c>
      <c r="L52" s="47" t="n">
        <v>39.58</v>
      </c>
      <c r="M52" s="47" t="n">
        <v>35.98</v>
      </c>
      <c r="N52" s="47" t="n">
        <v>42.5</v>
      </c>
      <c r="O52" s="47" t="n">
        <f aca="false">N52/1.1</f>
        <v>38.6363636363636</v>
      </c>
      <c r="P52" s="47" t="n">
        <v>45.15</v>
      </c>
      <c r="Q52" s="47" t="n">
        <v>41.05</v>
      </c>
      <c r="R52" s="47" t="n">
        <v>33.5</v>
      </c>
      <c r="S52" s="47" t="n">
        <f aca="false">R52/1.1</f>
        <v>30.4545454545455</v>
      </c>
      <c r="T52" s="42" t="s">
        <v>259</v>
      </c>
      <c r="U52" s="42" t="s">
        <v>259</v>
      </c>
      <c r="V52" s="47" t="n">
        <v>26.5</v>
      </c>
      <c r="W52" s="47" t="n">
        <f aca="false">V52*1.1</f>
        <v>29.15</v>
      </c>
      <c r="X52" s="47" t="n">
        <v>45.76</v>
      </c>
      <c r="Y52" s="47" t="n">
        <f aca="false">X52/1.1</f>
        <v>41.6</v>
      </c>
      <c r="Z52" s="45" t="n">
        <f aca="false">AA52*1.1</f>
        <v>77.275</v>
      </c>
      <c r="AA52" s="45" t="n">
        <v>70.25</v>
      </c>
      <c r="AB52" s="46"/>
      <c r="AC52" s="46"/>
      <c r="AD52" s="11" t="n">
        <f aca="false">IF(COUNT(I52,J52,M52,O52,Q52,S52,U52,V52,Y52,AA52,AC52)=0,"N/A",MIN(I52,J52,M52,O52,Q52,S52,U52,V52,Y52,AA52,AC52))</f>
        <v>26.5</v>
      </c>
      <c r="AE52" s="43" t="n">
        <f aca="false">IF(OR(D52="",AD52="",AD52="N/A"),"N/A",D52/AD52-1)</f>
        <v>-0.641509433962264</v>
      </c>
      <c r="AF52" s="43" t="str">
        <f aca="false">IF(OR(F52="",AD52="",AD52="N/A"),"N/A",F52/AD52-1)</f>
        <v>N/A</v>
      </c>
      <c r="AG52" s="41" t="s">
        <v>306</v>
      </c>
    </row>
    <row r="53" customFormat="false" ht="168.75" hidden="false" customHeight="true" outlineLevel="0" collapsed="false">
      <c r="A53" s="1" t="s">
        <v>225</v>
      </c>
      <c r="B53" s="1" t="s">
        <v>121</v>
      </c>
      <c r="C53" s="41" t="s">
        <v>122</v>
      </c>
      <c r="D53" s="11" t="n">
        <f aca="false">'RSEA vs Quoted Comparison'!F53</f>
        <v>2</v>
      </c>
      <c r="E53" s="11" t="n">
        <f aca="false">'RSEA vs Quoted Comparison'!G53</f>
        <v>2.2</v>
      </c>
      <c r="F53" s="11" t="str">
        <f aca="false">IF('RSEA vs Quoted Comparison'!H53="","",'RSEA vs Quoted Comparison'!H53)</f>
        <v/>
      </c>
      <c r="G53" s="11" t="str">
        <f aca="false">IF('RSEA vs Quoted Comparison'!I53="","",'RSEA vs Quoted Comparison'!I53)</f>
        <v/>
      </c>
      <c r="H53" s="11" t="n">
        <f aca="false">'RSEA vs Quoted Comparison'!D53</f>
        <v>49.99</v>
      </c>
      <c r="I53" s="11" t="n">
        <f aca="false">'RSEA vs Quoted Comparison'!E53</f>
        <v>45.4454545454545</v>
      </c>
      <c r="J53" s="42" t="s">
        <v>259</v>
      </c>
      <c r="K53" s="42" t="s">
        <v>259</v>
      </c>
      <c r="L53" s="11" t="n">
        <v>21.51</v>
      </c>
      <c r="M53" s="11" t="n">
        <v>19.55</v>
      </c>
      <c r="N53" s="11" t="n">
        <v>8.6</v>
      </c>
      <c r="O53" s="11" t="n">
        <f aca="false">N53/1.1</f>
        <v>7.81818181818182</v>
      </c>
      <c r="P53" s="11" t="n">
        <v>22.6</v>
      </c>
      <c r="Q53" s="11" t="n">
        <v>20.55</v>
      </c>
      <c r="R53" s="11" t="n">
        <v>28.5</v>
      </c>
      <c r="S53" s="11" t="n">
        <f aca="false">R53/1.1</f>
        <v>25.9090909090909</v>
      </c>
      <c r="T53" s="11" t="n">
        <v>22.12</v>
      </c>
      <c r="U53" s="11" t="n">
        <f aca="false">T53/1.1</f>
        <v>20.1090909090909</v>
      </c>
      <c r="V53" s="42" t="s">
        <v>259</v>
      </c>
      <c r="W53" s="42" t="s">
        <v>259</v>
      </c>
      <c r="X53" s="11" t="n">
        <v>10.29</v>
      </c>
      <c r="Y53" s="11" t="n">
        <f aca="false">X53/1.1</f>
        <v>9.35454545454545</v>
      </c>
      <c r="Z53" s="11" t="n">
        <v>61.33</v>
      </c>
      <c r="AA53" s="11" t="n">
        <f aca="false">Z53/1.1</f>
        <v>55.7545454545455</v>
      </c>
      <c r="AB53" s="11"/>
      <c r="AC53" s="11"/>
      <c r="AD53" s="11" t="n">
        <f aca="false">IF(COUNT(I53,J53,M53,O53,Q53,S53,U53,V53,Y53,AA53,AC53)=0,"N/A",MIN(I53,J53,M53,O53,Q53,S53,U53,V53,Y53,AA53,AC53))</f>
        <v>7.81818181818182</v>
      </c>
      <c r="AE53" s="43" t="n">
        <f aca="false">IF(OR(D53="",AD53="",AD53="N/A"),"N/A",D53/AD53-1)</f>
        <v>-0.744186046511628</v>
      </c>
      <c r="AF53" s="43" t="str">
        <f aca="false">IF(OR(F53="",AD53="",AD53="N/A"),"N/A",F53/AD53-1)</f>
        <v>N/A</v>
      </c>
      <c r="AG53" s="41" t="s">
        <v>307</v>
      </c>
    </row>
    <row r="54" customFormat="false" ht="63.75" hidden="false" customHeight="true" outlineLevel="0" collapsed="false">
      <c r="A54" s="1" t="s">
        <v>225</v>
      </c>
      <c r="B54" s="1" t="s">
        <v>123</v>
      </c>
      <c r="C54" s="41" t="s">
        <v>124</v>
      </c>
      <c r="D54" s="11" t="n">
        <f aca="false">'RSEA vs Quoted Comparison'!F54</f>
        <v>2.67</v>
      </c>
      <c r="E54" s="11" t="n">
        <f aca="false">'RSEA vs Quoted Comparison'!G54</f>
        <v>2.937</v>
      </c>
      <c r="F54" s="11" t="str">
        <f aca="false">IF('RSEA vs Quoted Comparison'!H54="","",'RSEA vs Quoted Comparison'!H54)</f>
        <v/>
      </c>
      <c r="G54" s="11" t="str">
        <f aca="false">IF('RSEA vs Quoted Comparison'!I54="","",'RSEA vs Quoted Comparison'!I54)</f>
        <v/>
      </c>
      <c r="H54" s="11" t="n">
        <f aca="false">'RSEA vs Quoted Comparison'!D54</f>
        <v>32.99</v>
      </c>
      <c r="I54" s="11" t="n">
        <f aca="false">'RSEA vs Quoted Comparison'!E54</f>
        <v>29.9909090909091</v>
      </c>
      <c r="J54" s="42" t="s">
        <v>259</v>
      </c>
      <c r="K54" s="42" t="s">
        <v>259</v>
      </c>
      <c r="L54" s="47" t="n">
        <v>34.67</v>
      </c>
      <c r="M54" s="47" t="n">
        <v>31.52</v>
      </c>
      <c r="N54" s="47" t="n">
        <v>28.3</v>
      </c>
      <c r="O54" s="47" t="n">
        <f aca="false">N54/1.1</f>
        <v>25.7272727272727</v>
      </c>
      <c r="P54" s="42" t="s">
        <v>259</v>
      </c>
      <c r="Q54" s="42" t="s">
        <v>259</v>
      </c>
      <c r="R54" s="47" t="n">
        <v>22.5</v>
      </c>
      <c r="S54" s="47" t="n">
        <f aca="false">R54/1.1</f>
        <v>20.4545454545455</v>
      </c>
      <c r="T54" s="42" t="s">
        <v>259</v>
      </c>
      <c r="U54" s="42" t="s">
        <v>259</v>
      </c>
      <c r="V54" s="42" t="s">
        <v>259</v>
      </c>
      <c r="W54" s="42" t="s">
        <v>259</v>
      </c>
      <c r="X54" s="47" t="n">
        <v>24.96</v>
      </c>
      <c r="Y54" s="47" t="n">
        <f aca="false">X54/1.1</f>
        <v>22.6909090909091</v>
      </c>
      <c r="Z54" s="45" t="n">
        <f aca="false">1.1*AA54</f>
        <v>56.397</v>
      </c>
      <c r="AA54" s="45" t="n">
        <v>51.27</v>
      </c>
      <c r="AB54" s="45" t="n">
        <v>30.77</v>
      </c>
      <c r="AC54" s="45" t="n">
        <f aca="false">AB54/1.1</f>
        <v>27.9727272727273</v>
      </c>
      <c r="AD54" s="11" t="n">
        <f aca="false">IF(COUNT(I54,J54,M54,O54,Q54,S54,U54,V54,Y54,AA54,AC54)=0,"N/A",MIN(I54,J54,M54,O54,Q54,S54,U54,V54,Y54,AA54,AC54))</f>
        <v>20.4545454545455</v>
      </c>
      <c r="AE54" s="43" t="n">
        <f aca="false">IF(OR(D54="",AD54="",AD54="N/A"),"N/A",D54/AD54-1)</f>
        <v>-0.869466666666667</v>
      </c>
      <c r="AF54" s="43" t="str">
        <f aca="false">IF(OR(F54="",AD54="",AD54="N/A"),"N/A",F54/AD54-1)</f>
        <v>N/A</v>
      </c>
      <c r="AG54" s="41" t="s">
        <v>308</v>
      </c>
    </row>
    <row r="55" customFormat="false" ht="63.75" hidden="false" customHeight="true" outlineLevel="0" collapsed="false">
      <c r="A55" s="1" t="s">
        <v>225</v>
      </c>
      <c r="B55" s="1" t="s">
        <v>125</v>
      </c>
      <c r="C55" s="41" t="s">
        <v>126</v>
      </c>
      <c r="D55" s="11" t="n">
        <f aca="false">'RSEA vs Quoted Comparison'!F55</f>
        <v>4.01</v>
      </c>
      <c r="E55" s="11" t="n">
        <f aca="false">'RSEA vs Quoted Comparison'!G55</f>
        <v>4.411</v>
      </c>
      <c r="F55" s="11" t="str">
        <f aca="false">IF('RSEA vs Quoted Comparison'!H55="","",'RSEA vs Quoted Comparison'!H55)</f>
        <v/>
      </c>
      <c r="G55" s="11" t="str">
        <f aca="false">IF('RSEA vs Quoted Comparison'!I55="","",'RSEA vs Quoted Comparison'!I55)</f>
        <v/>
      </c>
      <c r="H55" s="11" t="n">
        <f aca="false">'RSEA vs Quoted Comparison'!D55</f>
        <v>37.99</v>
      </c>
      <c r="I55" s="11" t="n">
        <f aca="false">'RSEA vs Quoted Comparison'!E55</f>
        <v>34.5363636363636</v>
      </c>
      <c r="J55" s="42" t="s">
        <v>259</v>
      </c>
      <c r="K55" s="42" t="s">
        <v>259</v>
      </c>
      <c r="L55" s="42" t="s">
        <v>259</v>
      </c>
      <c r="M55" s="42" t="s">
        <v>259</v>
      </c>
      <c r="N55" s="42" t="s">
        <v>259</v>
      </c>
      <c r="O55" s="42" t="s">
        <v>259</v>
      </c>
      <c r="P55" s="42" t="s">
        <v>259</v>
      </c>
      <c r="Q55" s="42" t="s">
        <v>259</v>
      </c>
      <c r="R55" s="47" t="n">
        <v>23</v>
      </c>
      <c r="S55" s="47" t="n">
        <f aca="false">R55/1.1</f>
        <v>20.9090909090909</v>
      </c>
      <c r="T55" s="42" t="s">
        <v>259</v>
      </c>
      <c r="U55" s="42" t="s">
        <v>259</v>
      </c>
      <c r="V55" s="42" t="s">
        <v>259</v>
      </c>
      <c r="W55" s="42" t="s">
        <v>259</v>
      </c>
      <c r="X55" s="42" t="s">
        <v>259</v>
      </c>
      <c r="Y55" s="42" t="s">
        <v>259</v>
      </c>
      <c r="Z55" s="42" t="s">
        <v>259</v>
      </c>
      <c r="AA55" s="42" t="s">
        <v>309</v>
      </c>
      <c r="AB55" s="48"/>
      <c r="AC55" s="48"/>
      <c r="AD55" s="11" t="n">
        <f aca="false">IF(COUNT(I55,J55,M55,O55,Q55,S55,U55,V55,Y55,AA55,AC55)=0,"N/A",MIN(I55,J55,M55,O55,Q55,S55,U55,V55,Y55,AA55,AC55))</f>
        <v>20.9090909090909</v>
      </c>
      <c r="AE55" s="43" t="n">
        <f aca="false">IF(OR(D55="",AD55="",AD55="N/A"),"N/A",D55/AD55-1)</f>
        <v>-0.808217391304348</v>
      </c>
      <c r="AF55" s="43" t="str">
        <f aca="false">IF(OR(F55="",AD55="",AD55="N/A"),"N/A",F55/AD55-1)</f>
        <v>N/A</v>
      </c>
      <c r="AG55" s="41" t="s">
        <v>310</v>
      </c>
    </row>
    <row r="56" customFormat="false" ht="63.75" hidden="false" customHeight="true" outlineLevel="0" collapsed="false">
      <c r="A56" s="1" t="s">
        <v>225</v>
      </c>
      <c r="B56" s="1" t="s">
        <v>129</v>
      </c>
      <c r="C56" s="41" t="s">
        <v>130</v>
      </c>
      <c r="D56" s="11" t="n">
        <f aca="false">'RSEA vs Quoted Comparison'!F56</f>
        <v>10.69</v>
      </c>
      <c r="E56" s="11" t="n">
        <f aca="false">'RSEA vs Quoted Comparison'!G56</f>
        <v>11.759</v>
      </c>
      <c r="F56" s="11" t="str">
        <f aca="false">IF('RSEA vs Quoted Comparison'!H56="","",'RSEA vs Quoted Comparison'!H56)</f>
        <v/>
      </c>
      <c r="G56" s="11" t="str">
        <f aca="false">IF('RSEA vs Quoted Comparison'!I56="","",'RSEA vs Quoted Comparison'!I56)</f>
        <v/>
      </c>
      <c r="H56" s="11" t="n">
        <f aca="false">'RSEA vs Quoted Comparison'!D56</f>
        <v>37.99</v>
      </c>
      <c r="I56" s="11" t="n">
        <f aca="false">'RSEA vs Quoted Comparison'!E56</f>
        <v>34.5363636363636</v>
      </c>
      <c r="J56" s="42" t="s">
        <v>259</v>
      </c>
      <c r="K56" s="42" t="s">
        <v>259</v>
      </c>
      <c r="L56" s="42" t="s">
        <v>259</v>
      </c>
      <c r="M56" s="42" t="s">
        <v>259</v>
      </c>
      <c r="N56" s="42" t="s">
        <v>259</v>
      </c>
      <c r="O56" s="42" t="s">
        <v>259</v>
      </c>
      <c r="P56" s="47" t="n">
        <v>24.2</v>
      </c>
      <c r="Q56" s="47" t="n">
        <v>22</v>
      </c>
      <c r="R56" s="47" t="n">
        <v>33.5</v>
      </c>
      <c r="S56" s="47" t="n">
        <f aca="false">R56/1.1</f>
        <v>30.4545454545455</v>
      </c>
      <c r="T56" s="42" t="s">
        <v>259</v>
      </c>
      <c r="U56" s="42" t="s">
        <v>259</v>
      </c>
      <c r="V56" s="42" t="s">
        <v>259</v>
      </c>
      <c r="W56" s="42" t="s">
        <v>259</v>
      </c>
      <c r="X56" s="47" t="n">
        <v>45.76</v>
      </c>
      <c r="Y56" s="47" t="n">
        <f aca="false">X56/1.1</f>
        <v>41.6</v>
      </c>
      <c r="Z56" s="42" t="s">
        <v>259</v>
      </c>
      <c r="AA56" s="42" t="s">
        <v>259</v>
      </c>
      <c r="AB56" s="48"/>
      <c r="AC56" s="48"/>
      <c r="AD56" s="11" t="n">
        <f aca="false">IF(COUNT(I56,J56,M56,O56,Q56,S56,U56,V56,Y56,AA56,AC56)=0,"N/A",MIN(I56,J56,M56,O56,Q56,S56,U56,V56,Y56,AA56,AC56))</f>
        <v>22</v>
      </c>
      <c r="AE56" s="43" t="n">
        <f aca="false">IF(OR(D56="",AD56="",AD56="N/A"),"N/A",D56/AD56-1)</f>
        <v>-0.514090909090909</v>
      </c>
      <c r="AF56" s="43" t="str">
        <f aca="false">IF(OR(F56="",AD56="",AD56="N/A"),"N/A",F56/AD56-1)</f>
        <v>N/A</v>
      </c>
      <c r="AG56" s="41" t="s">
        <v>311</v>
      </c>
    </row>
    <row r="57" customFormat="false" ht="63.75" hidden="false" customHeight="true" outlineLevel="0" collapsed="false">
      <c r="A57" s="1" t="s">
        <v>225</v>
      </c>
      <c r="B57" s="1" t="s">
        <v>133</v>
      </c>
      <c r="C57" s="41" t="s">
        <v>134</v>
      </c>
      <c r="D57" s="11" t="n">
        <f aca="false">'RSEA vs Quoted Comparison'!F57</f>
        <v>10.69</v>
      </c>
      <c r="E57" s="11" t="n">
        <f aca="false">'RSEA vs Quoted Comparison'!G57</f>
        <v>11.759</v>
      </c>
      <c r="F57" s="11" t="str">
        <f aca="false">IF('RSEA vs Quoted Comparison'!H57="","",'RSEA vs Quoted Comparison'!H57)</f>
        <v/>
      </c>
      <c r="G57" s="11" t="str">
        <f aca="false">IF('RSEA vs Quoted Comparison'!I57="","",'RSEA vs Quoted Comparison'!I57)</f>
        <v/>
      </c>
      <c r="H57" s="11" t="n">
        <f aca="false">'RSEA vs Quoted Comparison'!D57</f>
        <v>37.99</v>
      </c>
      <c r="I57" s="11" t="n">
        <f aca="false">'RSEA vs Quoted Comparison'!E57</f>
        <v>34.5363636363636</v>
      </c>
      <c r="J57" s="42" t="s">
        <v>259</v>
      </c>
      <c r="K57" s="42" t="s">
        <v>259</v>
      </c>
      <c r="L57" s="47" t="n">
        <v>39.47</v>
      </c>
      <c r="M57" s="47" t="n">
        <v>35.88</v>
      </c>
      <c r="N57" s="42" t="s">
        <v>259</v>
      </c>
      <c r="O57" s="42" t="s">
        <v>259</v>
      </c>
      <c r="P57" s="42" t="s">
        <v>259</v>
      </c>
      <c r="Q57" s="42" t="s">
        <v>259</v>
      </c>
      <c r="R57" s="47" t="n">
        <v>30</v>
      </c>
      <c r="S57" s="47" t="n">
        <f aca="false">R57/1.1</f>
        <v>27.2727272727273</v>
      </c>
      <c r="T57" s="42" t="s">
        <v>259</v>
      </c>
      <c r="U57" s="42" t="s">
        <v>259</v>
      </c>
      <c r="V57" s="42" t="s">
        <v>259</v>
      </c>
      <c r="W57" s="42" t="s">
        <v>259</v>
      </c>
      <c r="X57" s="47" t="n">
        <v>45.76</v>
      </c>
      <c r="Y57" s="47" t="n">
        <f aca="false">X57/1.1</f>
        <v>41.6</v>
      </c>
      <c r="Z57" s="45" t="n">
        <f aca="false">1.1*AA57</f>
        <v>77.275</v>
      </c>
      <c r="AA57" s="45" t="n">
        <v>70.25</v>
      </c>
      <c r="AB57" s="45" t="n">
        <v>42.75</v>
      </c>
      <c r="AC57" s="45" t="n">
        <f aca="false">AB57/1.1</f>
        <v>38.8636363636364</v>
      </c>
      <c r="AD57" s="11" t="n">
        <f aca="false">IF(COUNT(I57,J57,M57,O57,Q57,S57,U57,V57,Y57,AA57,AC57)=0,"N/A",MIN(I57,J57,M57,O57,Q57,S57,U57,V57,Y57,AA57,AC57))</f>
        <v>27.2727272727273</v>
      </c>
      <c r="AE57" s="43" t="n">
        <f aca="false">IF(OR(D57="",AD57="",AD57="N/A"),"N/A",D57/AD57-1)</f>
        <v>-0.608033333333333</v>
      </c>
      <c r="AF57" s="43" t="str">
        <f aca="false">IF(OR(F57="",AD57="",AD57="N/A"),"N/A",F57/AD57-1)</f>
        <v>N/A</v>
      </c>
      <c r="AG57" s="41" t="s">
        <v>312</v>
      </c>
    </row>
    <row r="58" customFormat="false" ht="63.75" hidden="false" customHeight="true" outlineLevel="0" collapsed="false">
      <c r="A58" s="1" t="s">
        <v>225</v>
      </c>
      <c r="B58" s="1" t="s">
        <v>135</v>
      </c>
      <c r="C58" s="41" t="s">
        <v>136</v>
      </c>
      <c r="D58" s="11" t="n">
        <f aca="false">'RSEA vs Quoted Comparison'!F58</f>
        <v>10.69</v>
      </c>
      <c r="E58" s="11" t="n">
        <f aca="false">'RSEA vs Quoted Comparison'!G58</f>
        <v>11.759</v>
      </c>
      <c r="F58" s="11" t="str">
        <f aca="false">IF('RSEA vs Quoted Comparison'!H58="","",'RSEA vs Quoted Comparison'!H58)</f>
        <v/>
      </c>
      <c r="G58" s="11" t="str">
        <f aca="false">IF('RSEA vs Quoted Comparison'!I58="","",'RSEA vs Quoted Comparison'!I58)</f>
        <v/>
      </c>
      <c r="H58" s="11" t="n">
        <f aca="false">'RSEA vs Quoted Comparison'!D58</f>
        <v>44.99</v>
      </c>
      <c r="I58" s="11" t="n">
        <f aca="false">'RSEA vs Quoted Comparison'!E58</f>
        <v>40.9</v>
      </c>
      <c r="J58" s="42" t="s">
        <v>259</v>
      </c>
      <c r="K58" s="42" t="s">
        <v>259</v>
      </c>
      <c r="L58" s="42" t="s">
        <v>259</v>
      </c>
      <c r="M58" s="42" t="s">
        <v>259</v>
      </c>
      <c r="N58" s="47" t="n">
        <v>42.5</v>
      </c>
      <c r="O58" s="47" t="n">
        <f aca="false">N58/1.1</f>
        <v>38.6363636363636</v>
      </c>
      <c r="P58" s="47" t="n">
        <v>24.2</v>
      </c>
      <c r="Q58" s="47" t="n">
        <v>22</v>
      </c>
      <c r="R58" s="47" t="n">
        <v>30</v>
      </c>
      <c r="S58" s="47" t="n">
        <f aca="false">R58/1.1</f>
        <v>27.2727272727273</v>
      </c>
      <c r="T58" s="42" t="s">
        <v>259</v>
      </c>
      <c r="U58" s="42" t="s">
        <v>259</v>
      </c>
      <c r="V58" s="42" t="s">
        <v>259</v>
      </c>
      <c r="W58" s="42" t="s">
        <v>259</v>
      </c>
      <c r="X58" s="47" t="n">
        <v>45.76</v>
      </c>
      <c r="Y58" s="47" t="n">
        <f aca="false">X58/1.1</f>
        <v>41.6</v>
      </c>
      <c r="Z58" s="45" t="n">
        <f aca="false">1.1*AA58</f>
        <v>48.191</v>
      </c>
      <c r="AA58" s="45" t="n">
        <v>43.81</v>
      </c>
      <c r="AB58" s="45" t="n">
        <v>42.75</v>
      </c>
      <c r="AC58" s="45" t="n">
        <f aca="false">AB58/1.1</f>
        <v>38.8636363636364</v>
      </c>
      <c r="AD58" s="11" t="n">
        <f aca="false">IF(COUNT(I58,J58,M58,O58,Q58,S58,U58,V58,Y58,AA58,AC58)=0,"N/A",MIN(I58,J58,M58,O58,Q58,S58,U58,V58,Y58,AA58,AC58))</f>
        <v>22</v>
      </c>
      <c r="AE58" s="43" t="n">
        <f aca="false">IF(OR(D58="",AD58="",AD58="N/A"),"N/A",D58/AD58-1)</f>
        <v>-0.514090909090909</v>
      </c>
      <c r="AF58" s="43" t="str">
        <f aca="false">IF(OR(F58="",AD58="",AD58="N/A"),"N/A",F58/AD58-1)</f>
        <v>N/A</v>
      </c>
      <c r="AG58" s="41" t="s">
        <v>313</v>
      </c>
    </row>
    <row r="59" customFormat="false" ht="63.75" hidden="false" customHeight="true" outlineLevel="0" collapsed="false">
      <c r="A59" s="1" t="s">
        <v>225</v>
      </c>
      <c r="B59" s="1" t="s">
        <v>139</v>
      </c>
      <c r="C59" s="41" t="s">
        <v>140</v>
      </c>
      <c r="D59" s="11" t="n">
        <f aca="false">'RSEA vs Quoted Comparison'!F59</f>
        <v>2.89</v>
      </c>
      <c r="E59" s="11" t="n">
        <f aca="false">'RSEA vs Quoted Comparison'!G59</f>
        <v>3.179</v>
      </c>
      <c r="F59" s="11" t="str">
        <f aca="false">IF('RSEA vs Quoted Comparison'!H59="","",'RSEA vs Quoted Comparison'!H59)</f>
        <v/>
      </c>
      <c r="G59" s="11" t="str">
        <f aca="false">IF('RSEA vs Quoted Comparison'!I59="","",'RSEA vs Quoted Comparison'!I59)</f>
        <v/>
      </c>
      <c r="H59" s="11" t="n">
        <f aca="false">'RSEA vs Quoted Comparison'!D59</f>
        <v>32.99</v>
      </c>
      <c r="I59" s="11" t="n">
        <f aca="false">'RSEA vs Quoted Comparison'!E59</f>
        <v>29.9909090909091</v>
      </c>
      <c r="J59" s="42" t="s">
        <v>259</v>
      </c>
      <c r="K59" s="42" t="s">
        <v>259</v>
      </c>
      <c r="L59" s="42" t="s">
        <v>259</v>
      </c>
      <c r="M59" s="42" t="s">
        <v>259</v>
      </c>
      <c r="N59" s="47" t="n">
        <v>27.5</v>
      </c>
      <c r="O59" s="47" t="n">
        <f aca="false">N59/1.1</f>
        <v>25</v>
      </c>
      <c r="P59" s="42" t="s">
        <v>259</v>
      </c>
      <c r="Q59" s="42" t="s">
        <v>259</v>
      </c>
      <c r="R59" s="47" t="n">
        <v>22</v>
      </c>
      <c r="S59" s="47" t="n">
        <f aca="false">R59/1.1</f>
        <v>20</v>
      </c>
      <c r="T59" s="42" t="s">
        <v>259</v>
      </c>
      <c r="U59" s="42" t="s">
        <v>259</v>
      </c>
      <c r="V59" s="42" t="s">
        <v>259</v>
      </c>
      <c r="W59" s="42" t="s">
        <v>259</v>
      </c>
      <c r="X59" s="42" t="s">
        <v>259</v>
      </c>
      <c r="Y59" s="42" t="s">
        <v>259</v>
      </c>
      <c r="Z59" s="45" t="n">
        <f aca="false">1.1*AA59</f>
        <v>52.184</v>
      </c>
      <c r="AA59" s="45" t="n">
        <v>47.44</v>
      </c>
      <c r="AB59" s="45" t="n">
        <v>37.14</v>
      </c>
      <c r="AC59" s="45" t="n">
        <f aca="false">AB59/1.1</f>
        <v>33.7636363636364</v>
      </c>
      <c r="AD59" s="11" t="n">
        <f aca="false">IF(COUNT(I59,J59,M59,O59,Q59,S59,U59,V59,Y59,AA59,AC59)=0,"N/A",MIN(I59,J59,M59,O59,Q59,S59,U59,V59,Y59,AA59,AC59))</f>
        <v>20</v>
      </c>
      <c r="AE59" s="43" t="n">
        <f aca="false">IF(OR(D59="",AD59="",AD59="N/A"),"N/A",D59/AD59-1)</f>
        <v>-0.8555</v>
      </c>
      <c r="AF59" s="43" t="str">
        <f aca="false">IF(OR(F59="",AD59="",AD59="N/A"),"N/A",F59/AD59-1)</f>
        <v>N/A</v>
      </c>
      <c r="AG59" s="41" t="s">
        <v>314</v>
      </c>
    </row>
    <row r="60" customFormat="false" ht="63.75" hidden="false" customHeight="true" outlineLevel="0" collapsed="false">
      <c r="A60" s="1" t="s">
        <v>225</v>
      </c>
      <c r="B60" s="1" t="s">
        <v>143</v>
      </c>
      <c r="C60" s="41" t="s">
        <v>144</v>
      </c>
      <c r="D60" s="11" t="n">
        <f aca="false">'RSEA vs Quoted Comparison'!F60</f>
        <v>1.94</v>
      </c>
      <c r="E60" s="11" t="n">
        <f aca="false">'RSEA vs Quoted Comparison'!G60</f>
        <v>2.134</v>
      </c>
      <c r="F60" s="11" t="str">
        <f aca="false">IF('RSEA vs Quoted Comparison'!H60="","",'RSEA vs Quoted Comparison'!H60)</f>
        <v/>
      </c>
      <c r="G60" s="11" t="str">
        <f aca="false">IF('RSEA vs Quoted Comparison'!I60="","",'RSEA vs Quoted Comparison'!I60)</f>
        <v/>
      </c>
      <c r="H60" s="11" t="n">
        <f aca="false">'RSEA vs Quoted Comparison'!D60</f>
        <v>49.99</v>
      </c>
      <c r="I60" s="11" t="n">
        <f aca="false">'RSEA vs Quoted Comparison'!E60</f>
        <v>45.4454545454545</v>
      </c>
      <c r="J60" s="42" t="s">
        <v>259</v>
      </c>
      <c r="K60" s="42" t="s">
        <v>259</v>
      </c>
      <c r="L60" s="42" t="s">
        <v>259</v>
      </c>
      <c r="M60" s="42" t="s">
        <v>259</v>
      </c>
      <c r="N60" s="42" t="s">
        <v>259</v>
      </c>
      <c r="O60" s="42" t="s">
        <v>259</v>
      </c>
      <c r="P60" s="42" t="s">
        <v>259</v>
      </c>
      <c r="Q60" s="42" t="s">
        <v>259</v>
      </c>
      <c r="R60" s="42" t="s">
        <v>259</v>
      </c>
      <c r="S60" s="42" t="s">
        <v>259</v>
      </c>
      <c r="T60" s="42" t="s">
        <v>259</v>
      </c>
      <c r="U60" s="42" t="s">
        <v>259</v>
      </c>
      <c r="V60" s="42" t="s">
        <v>259</v>
      </c>
      <c r="W60" s="42" t="s">
        <v>259</v>
      </c>
      <c r="X60" s="47" t="n">
        <v>41.4</v>
      </c>
      <c r="Y60" s="47" t="n">
        <f aca="false">X60/1.1</f>
        <v>37.6363636363636</v>
      </c>
      <c r="Z60" s="45" t="n">
        <f aca="false">1.1*AA60</f>
        <v>92.246</v>
      </c>
      <c r="AA60" s="45" t="n">
        <v>83.86</v>
      </c>
      <c r="AB60" s="45" t="n">
        <v>54.19</v>
      </c>
      <c r="AC60" s="45" t="n">
        <f aca="false">AB60/1.1</f>
        <v>49.2636363636364</v>
      </c>
      <c r="AD60" s="11" t="n">
        <f aca="false">IF(COUNT(I60,J60,M60,O60,Q60,S60,U60,V60,Y60,AA60,AC60)=0,"N/A",MIN(I60,J60,M60,O60,Q60,S60,U60,V60,Y60,AA60,AC60))</f>
        <v>37.6363636363636</v>
      </c>
      <c r="AE60" s="43" t="n">
        <f aca="false">IF(OR(D60="",AD60="",AD60="N/A"),"N/A",D60/AD60-1)</f>
        <v>-0.948454106280193</v>
      </c>
      <c r="AF60" s="43" t="str">
        <f aca="false">IF(OR(F60="",AD60="",AD60="N/A"),"N/A",F60/AD60-1)</f>
        <v>N/A</v>
      </c>
      <c r="AG60" s="41" t="s">
        <v>315</v>
      </c>
    </row>
    <row r="61" customFormat="false" ht="63.75" hidden="false" customHeight="true" outlineLevel="0" collapsed="false">
      <c r="A61" s="1" t="s">
        <v>225</v>
      </c>
      <c r="B61" s="1" t="s">
        <v>149</v>
      </c>
      <c r="C61" s="41" t="s">
        <v>150</v>
      </c>
      <c r="D61" s="11" t="n">
        <f aca="false">'RSEA vs Quoted Comparison'!F61</f>
        <v>10.69</v>
      </c>
      <c r="E61" s="11" t="n">
        <f aca="false">'RSEA vs Quoted Comparison'!G61</f>
        <v>11.759</v>
      </c>
      <c r="F61" s="11" t="str">
        <f aca="false">IF('RSEA vs Quoted Comparison'!H61="","",'RSEA vs Quoted Comparison'!H61)</f>
        <v/>
      </c>
      <c r="G61" s="11" t="str">
        <f aca="false">IF('RSEA vs Quoted Comparison'!I61="","",'RSEA vs Quoted Comparison'!I61)</f>
        <v/>
      </c>
      <c r="H61" s="11" t="n">
        <f aca="false">'RSEA vs Quoted Comparison'!D61</f>
        <v>49.99</v>
      </c>
      <c r="I61" s="11" t="n">
        <f aca="false">'RSEA vs Quoted Comparison'!E61</f>
        <v>45.4454545454545</v>
      </c>
      <c r="J61" s="42" t="s">
        <v>259</v>
      </c>
      <c r="K61" s="42" t="s">
        <v>259</v>
      </c>
      <c r="L61" s="47" t="n">
        <v>39.58</v>
      </c>
      <c r="M61" s="47" t="n">
        <v>35.98</v>
      </c>
      <c r="N61" s="47" t="n">
        <v>42.5</v>
      </c>
      <c r="O61" s="47" t="n">
        <f aca="false">N61/1.1</f>
        <v>38.6363636363636</v>
      </c>
      <c r="P61" s="42" t="s">
        <v>259</v>
      </c>
      <c r="Q61" s="42" t="s">
        <v>259</v>
      </c>
      <c r="R61" s="47" t="n">
        <v>30</v>
      </c>
      <c r="S61" s="47" t="n">
        <f aca="false">R61/1.1</f>
        <v>27.2727272727273</v>
      </c>
      <c r="T61" s="42" t="s">
        <v>259</v>
      </c>
      <c r="U61" s="42" t="s">
        <v>259</v>
      </c>
      <c r="V61" s="42" t="s">
        <v>259</v>
      </c>
      <c r="W61" s="42" t="s">
        <v>259</v>
      </c>
      <c r="X61" s="47" t="n">
        <v>45.76</v>
      </c>
      <c r="Y61" s="47" t="n">
        <f aca="false">X61/1.1</f>
        <v>41.6</v>
      </c>
      <c r="Z61" s="45" t="n">
        <f aca="false">1.1*AA61</f>
        <v>47.905</v>
      </c>
      <c r="AA61" s="45" t="n">
        <v>43.55</v>
      </c>
      <c r="AB61" s="45" t="n">
        <v>42.75</v>
      </c>
      <c r="AC61" s="45" t="n">
        <f aca="false">AB61/1.1</f>
        <v>38.8636363636364</v>
      </c>
      <c r="AD61" s="11" t="n">
        <f aca="false">IF(COUNT(I61,J61,M61,O61,Q61,S61,U61,V61,Y61,AA61,AC61)=0,"N/A",MIN(I61,J61,M61,O61,Q61,S61,U61,V61,Y61,AA61,AC61))</f>
        <v>27.2727272727273</v>
      </c>
      <c r="AE61" s="43" t="n">
        <f aca="false">IF(OR(D61="",AD61="",AD61="N/A"),"N/A",D61/AD61-1)</f>
        <v>-0.608033333333333</v>
      </c>
      <c r="AF61" s="43" t="str">
        <f aca="false">IF(OR(F61="",AD61="",AD61="N/A"),"N/A",F61/AD61-1)</f>
        <v>N/A</v>
      </c>
      <c r="AG61" s="41" t="s">
        <v>316</v>
      </c>
    </row>
    <row r="62" customFormat="false" ht="63.75" hidden="false" customHeight="true" outlineLevel="0" collapsed="false">
      <c r="A62" s="1" t="s">
        <v>225</v>
      </c>
      <c r="B62" s="1" t="s">
        <v>155</v>
      </c>
      <c r="C62" s="41" t="s">
        <v>156</v>
      </c>
      <c r="D62" s="11" t="n">
        <f aca="false">'RSEA vs Quoted Comparison'!F62</f>
        <v>3.201</v>
      </c>
      <c r="E62" s="11" t="n">
        <f aca="false">'RSEA vs Quoted Comparison'!G62</f>
        <v>3.5211</v>
      </c>
      <c r="F62" s="11" t="str">
        <f aca="false">IF('RSEA vs Quoted Comparison'!H62="","",'RSEA vs Quoted Comparison'!H62)</f>
        <v/>
      </c>
      <c r="G62" s="11" t="str">
        <f aca="false">IF('RSEA vs Quoted Comparison'!I62="","",'RSEA vs Quoted Comparison'!I62)</f>
        <v/>
      </c>
      <c r="H62" s="11" t="n">
        <f aca="false">'RSEA vs Quoted Comparison'!D62</f>
        <v>32.99</v>
      </c>
      <c r="I62" s="11" t="n">
        <f aca="false">'RSEA vs Quoted Comparison'!E62</f>
        <v>29.9909090909091</v>
      </c>
      <c r="J62" s="42" t="s">
        <v>259</v>
      </c>
      <c r="K62" s="42" t="s">
        <v>259</v>
      </c>
      <c r="L62" s="47" t="n">
        <v>39.47</v>
      </c>
      <c r="M62" s="47" t="n">
        <v>35.88</v>
      </c>
      <c r="N62" s="47" t="n">
        <v>27.5</v>
      </c>
      <c r="O62" s="47" t="n">
        <f aca="false">N62/1.1</f>
        <v>25</v>
      </c>
      <c r="P62" s="47" t="n">
        <v>24.2</v>
      </c>
      <c r="Q62" s="47" t="n">
        <v>22</v>
      </c>
      <c r="R62" s="47" t="n">
        <v>22.5</v>
      </c>
      <c r="S62" s="47" t="n">
        <f aca="false">R62/1.1</f>
        <v>20.4545454545455</v>
      </c>
      <c r="T62" s="42" t="s">
        <v>259</v>
      </c>
      <c r="U62" s="42" t="s">
        <v>259</v>
      </c>
      <c r="V62" s="42" t="s">
        <v>259</v>
      </c>
      <c r="W62" s="42" t="s">
        <v>259</v>
      </c>
      <c r="X62" s="47" t="n">
        <v>24.96</v>
      </c>
      <c r="Y62" s="47" t="n">
        <f aca="false">X62/1.1</f>
        <v>22.6909090909091</v>
      </c>
      <c r="Z62" s="45" t="n">
        <f aca="false">1.1*AA62</f>
        <v>47.905</v>
      </c>
      <c r="AA62" s="45" t="n">
        <v>43.55</v>
      </c>
      <c r="AB62" s="45" t="n">
        <v>30.77</v>
      </c>
      <c r="AC62" s="45" t="n">
        <f aca="false">AB62/1.1</f>
        <v>27.9727272727273</v>
      </c>
      <c r="AD62" s="11" t="n">
        <f aca="false">IF(COUNT(I62,J62,M62,O62,Q62,S62,U62,V62,Y62,AA62,AC62)=0,"N/A",MIN(I62,J62,M62,O62,Q62,S62,U62,V62,Y62,AA62,AC62))</f>
        <v>20.4545454545455</v>
      </c>
      <c r="AE62" s="43" t="n">
        <f aca="false">IF(OR(D62="",AD62="",AD62="N/A"),"N/A",D62/AD62-1)</f>
        <v>-0.843506666666667</v>
      </c>
      <c r="AF62" s="43" t="str">
        <f aca="false">IF(OR(F62="",AD62="",AD62="N/A"),"N/A",F62/AD62-1)</f>
        <v>N/A</v>
      </c>
      <c r="AG62" s="41" t="s">
        <v>317</v>
      </c>
    </row>
    <row r="63" customFormat="false" ht="63.75" hidden="false" customHeight="true" outlineLevel="0" collapsed="false">
      <c r="A63" s="1" t="s">
        <v>225</v>
      </c>
      <c r="B63" s="1" t="s">
        <v>157</v>
      </c>
      <c r="C63" s="41" t="s">
        <v>158</v>
      </c>
      <c r="D63" s="11" t="n">
        <f aca="false">'RSEA vs Quoted Comparison'!F63</f>
        <v>5.35</v>
      </c>
      <c r="E63" s="11" t="n">
        <f aca="false">'RSEA vs Quoted Comparison'!G63</f>
        <v>5.885</v>
      </c>
      <c r="F63" s="11" t="str">
        <f aca="false">IF('RSEA vs Quoted Comparison'!H63="","",'RSEA vs Quoted Comparison'!H63)</f>
        <v/>
      </c>
      <c r="G63" s="11" t="str">
        <f aca="false">IF('RSEA vs Quoted Comparison'!I63="","",'RSEA vs Quoted Comparison'!I63)</f>
        <v/>
      </c>
      <c r="H63" s="11" t="n">
        <f aca="false">'RSEA vs Quoted Comparison'!D63</f>
        <v>32.99</v>
      </c>
      <c r="I63" s="11" t="n">
        <f aca="false">'RSEA vs Quoted Comparison'!E63</f>
        <v>29.9909090909091</v>
      </c>
      <c r="J63" s="42" t="s">
        <v>259</v>
      </c>
      <c r="K63" s="42" t="s">
        <v>259</v>
      </c>
      <c r="L63" s="47" t="n">
        <v>39.58</v>
      </c>
      <c r="M63" s="47" t="n">
        <v>35.98</v>
      </c>
      <c r="N63" s="42" t="s">
        <v>259</v>
      </c>
      <c r="O63" s="42" t="s">
        <v>259</v>
      </c>
      <c r="P63" s="47" t="n">
        <v>22.6</v>
      </c>
      <c r="Q63" s="47" t="n">
        <v>20.55</v>
      </c>
      <c r="R63" s="47" t="n">
        <v>23</v>
      </c>
      <c r="S63" s="47" t="n">
        <f aca="false">R63/1.1</f>
        <v>20.9090909090909</v>
      </c>
      <c r="T63" s="42" t="s">
        <v>259</v>
      </c>
      <c r="U63" s="42" t="s">
        <v>259</v>
      </c>
      <c r="V63" s="42" t="s">
        <v>259</v>
      </c>
      <c r="W63" s="42" t="s">
        <v>259</v>
      </c>
      <c r="X63" s="47" t="n">
        <v>31.96</v>
      </c>
      <c r="Y63" s="47" t="n">
        <f aca="false">X63/1.1</f>
        <v>29.0545454545455</v>
      </c>
      <c r="Z63" s="45" t="n">
        <f aca="false">1.1*AA63</f>
        <v>47.905</v>
      </c>
      <c r="AA63" s="45" t="n">
        <v>43.55</v>
      </c>
      <c r="AB63" s="45" t="n">
        <v>39.17</v>
      </c>
      <c r="AC63" s="45" t="n">
        <f aca="false">AB63/1.1</f>
        <v>35.6090909090909</v>
      </c>
      <c r="AD63" s="11" t="n">
        <f aca="false">IF(COUNT(I63,J63,M63,O63,Q63,S63,U63,V63,Y63,AA63,AC63)=0,"N/A",MIN(I63,J63,M63,O63,Q63,S63,U63,V63,Y63,AA63,AC63))</f>
        <v>20.55</v>
      </c>
      <c r="AE63" s="43" t="n">
        <f aca="false">IF(OR(D63="",AD63="",AD63="N/A"),"N/A",D63/AD63-1)</f>
        <v>-0.739659367396594</v>
      </c>
      <c r="AF63" s="43" t="str">
        <f aca="false">IF(OR(F63="",AD63="",AD63="N/A"),"N/A",F63/AD63-1)</f>
        <v>N/A</v>
      </c>
      <c r="AG63" s="41" t="s">
        <v>318</v>
      </c>
    </row>
    <row r="64" customFormat="false" ht="63.75" hidden="false" customHeight="true" outlineLevel="0" collapsed="false">
      <c r="A64" s="1" t="s">
        <v>225</v>
      </c>
      <c r="B64" s="1" t="s">
        <v>161</v>
      </c>
      <c r="C64" s="41" t="s">
        <v>162</v>
      </c>
      <c r="D64" s="11" t="n">
        <f aca="false">'RSEA vs Quoted Comparison'!F64</f>
        <v>2.67</v>
      </c>
      <c r="E64" s="11" t="n">
        <f aca="false">'RSEA vs Quoted Comparison'!G64</f>
        <v>2.937</v>
      </c>
      <c r="F64" s="11" t="str">
        <f aca="false">IF('RSEA vs Quoted Comparison'!H64="","",'RSEA vs Quoted Comparison'!H64)</f>
        <v/>
      </c>
      <c r="G64" s="11" t="str">
        <f aca="false">IF('RSEA vs Quoted Comparison'!I64="","",'RSEA vs Quoted Comparison'!I64)</f>
        <v/>
      </c>
      <c r="H64" s="11" t="n">
        <f aca="false">'RSEA vs Quoted Comparison'!D64</f>
        <v>32.99</v>
      </c>
      <c r="I64" s="11" t="n">
        <f aca="false">'RSEA vs Quoted Comparison'!E64</f>
        <v>29.9909090909091</v>
      </c>
      <c r="J64" s="42" t="s">
        <v>259</v>
      </c>
      <c r="K64" s="42" t="s">
        <v>259</v>
      </c>
      <c r="L64" s="47" t="n">
        <v>39.58</v>
      </c>
      <c r="M64" s="47" t="n">
        <v>35.98</v>
      </c>
      <c r="N64" s="47" t="n">
        <v>27.5</v>
      </c>
      <c r="O64" s="47" t="n">
        <f aca="false">N64/1.1</f>
        <v>25</v>
      </c>
      <c r="P64" s="47" t="n">
        <v>24.2</v>
      </c>
      <c r="Q64" s="47" t="n">
        <v>22</v>
      </c>
      <c r="R64" s="47" t="n">
        <v>22.5</v>
      </c>
      <c r="S64" s="47" t="n">
        <f aca="false">R64/1.1</f>
        <v>20.4545454545455</v>
      </c>
      <c r="T64" s="42" t="s">
        <v>259</v>
      </c>
      <c r="U64" s="42" t="s">
        <v>259</v>
      </c>
      <c r="V64" s="42" t="s">
        <v>259</v>
      </c>
      <c r="W64" s="42" t="s">
        <v>259</v>
      </c>
      <c r="X64" s="47" t="n">
        <v>24.96</v>
      </c>
      <c r="Y64" s="47" t="n">
        <f aca="false">X64/1.1</f>
        <v>22.6909090909091</v>
      </c>
      <c r="Z64" s="45" t="n">
        <f aca="false">1.1*AA64</f>
        <v>38.258</v>
      </c>
      <c r="AA64" s="45" t="n">
        <v>34.78</v>
      </c>
      <c r="AB64" s="45" t="n">
        <v>30.77</v>
      </c>
      <c r="AC64" s="45" t="n">
        <f aca="false">AB64/1.1</f>
        <v>27.9727272727273</v>
      </c>
      <c r="AD64" s="11" t="n">
        <f aca="false">IF(COUNT(I64,J64,M64,O64,Q64,S64,U64,V64,Y64,AA64,AC64)=0,"N/A",MIN(I64,J64,M64,O64,Q64,S64,U64,V64,Y64,AA64,AC64))</f>
        <v>20.4545454545455</v>
      </c>
      <c r="AE64" s="43" t="n">
        <f aca="false">IF(OR(D64="",AD64="",AD64="N/A"),"N/A",D64/AD64-1)</f>
        <v>-0.869466666666667</v>
      </c>
      <c r="AF64" s="43" t="str">
        <f aca="false">IF(OR(F64="",AD64="",AD64="N/A"),"N/A",F64/AD64-1)</f>
        <v>N/A</v>
      </c>
      <c r="AG64" s="41" t="s">
        <v>319</v>
      </c>
    </row>
    <row r="65" customFormat="false" ht="123.75" hidden="false" customHeight="true" outlineLevel="0" collapsed="false">
      <c r="A65" s="1" t="s">
        <v>225</v>
      </c>
      <c r="B65" s="1" t="s">
        <v>163</v>
      </c>
      <c r="C65" s="41" t="s">
        <v>164</v>
      </c>
      <c r="D65" s="11" t="n">
        <f aca="false">'RSEA vs Quoted Comparison'!F65</f>
        <v>10.69</v>
      </c>
      <c r="E65" s="11" t="n">
        <f aca="false">'RSEA vs Quoted Comparison'!G65</f>
        <v>11.759</v>
      </c>
      <c r="F65" s="11" t="str">
        <f aca="false">IF('RSEA vs Quoted Comparison'!H65="","",'RSEA vs Quoted Comparison'!H65)</f>
        <v/>
      </c>
      <c r="G65" s="11" t="str">
        <f aca="false">IF('RSEA vs Quoted Comparison'!I65="","",'RSEA vs Quoted Comparison'!I65)</f>
        <v/>
      </c>
      <c r="H65" s="11" t="n">
        <f aca="false">'RSEA vs Quoted Comparison'!D65</f>
        <v>32.99</v>
      </c>
      <c r="I65" s="11" t="n">
        <f aca="false">'RSEA vs Quoted Comparison'!E65</f>
        <v>29.9909090909091</v>
      </c>
      <c r="J65" s="42" t="s">
        <v>259</v>
      </c>
      <c r="K65" s="42" t="s">
        <v>259</v>
      </c>
      <c r="L65" s="47" t="n">
        <v>39.47</v>
      </c>
      <c r="M65" s="47" t="n">
        <v>35.88</v>
      </c>
      <c r="N65" s="11" t="n">
        <v>108.6</v>
      </c>
      <c r="O65" s="11" t="n">
        <f aca="false">N65/1.1</f>
        <v>98.7272727272727</v>
      </c>
      <c r="P65" s="42" t="s">
        <v>259</v>
      </c>
      <c r="Q65" s="42" t="s">
        <v>259</v>
      </c>
      <c r="R65" s="11" t="n">
        <v>30</v>
      </c>
      <c r="S65" s="11" t="n">
        <f aca="false">R65/1.1</f>
        <v>27.2727272727273</v>
      </c>
      <c r="T65" s="11" t="n">
        <v>33.19</v>
      </c>
      <c r="U65" s="11" t="n">
        <f aca="false">T65/1.1</f>
        <v>30.1727272727273</v>
      </c>
      <c r="V65" s="11" t="n">
        <f aca="false">W65*1.1</f>
        <v>40.15</v>
      </c>
      <c r="W65" s="11" t="n">
        <v>36.5</v>
      </c>
      <c r="X65" s="11" t="n">
        <v>40.59</v>
      </c>
      <c r="Y65" s="11" t="n">
        <f aca="false">X65/1.1</f>
        <v>36.9</v>
      </c>
      <c r="Z65" s="11" t="n">
        <v>35.06</v>
      </c>
      <c r="AA65" s="11" t="n">
        <f aca="false">Z65/1.1</f>
        <v>31.8727272727273</v>
      </c>
      <c r="AB65" s="11" t="n">
        <v>46.99</v>
      </c>
      <c r="AC65" s="11" t="n">
        <f aca="false">AB65/1.1</f>
        <v>42.7181818181818</v>
      </c>
      <c r="AD65" s="11" t="n">
        <f aca="false">IF(COUNT(I65,J65,M65,O65,Q65,S65,U65,V65,Y65,AA65,AC65)=0,"N/A",MIN(I65,J65,M65,O65,Q65,S65,U65,V65,Y65,AA65,AC65))</f>
        <v>27.2727272727273</v>
      </c>
      <c r="AE65" s="43" t="n">
        <f aca="false">IF(OR(D65="",AD65="",AD65="N/A"),"N/A",D65/AD65-1)</f>
        <v>-0.608033333333333</v>
      </c>
      <c r="AF65" s="43" t="str">
        <f aca="false">IF(OR(F65="",AD65="",AD65="N/A"),"N/A",F65/AD65-1)</f>
        <v>N/A</v>
      </c>
      <c r="AG65" s="41" t="s">
        <v>320</v>
      </c>
    </row>
    <row r="67" customFormat="false" ht="15" hidden="false" customHeight="true" outlineLevel="0" collapsed="false">
      <c r="A67" s="34" t="s">
        <v>226</v>
      </c>
    </row>
    <row r="68" customFormat="false" ht="15" hidden="false" customHeight="true" outlineLevel="0" collapsed="false">
      <c r="A68" s="35" t="s">
        <v>321</v>
      </c>
      <c r="B68" s="35"/>
      <c r="C68" s="35"/>
      <c r="D68" s="49" t="n">
        <f aca="false">COUNTA(B6:B65)</f>
        <v>60</v>
      </c>
    </row>
    <row r="69" customFormat="false" ht="15" hidden="false" customHeight="true" outlineLevel="0" collapsed="false">
      <c r="A69" s="35" t="s">
        <v>322</v>
      </c>
      <c r="B69" s="35"/>
      <c r="C69" s="35"/>
      <c r="D69" s="49" t="n">
        <f aca="false">COUNTIF(J6:J65,"&gt;0")+COUNTIF(M6:M65,"&gt;0")+COUNTIF(O6:O65,"&gt;0")+COUNTIF(Q6:Q65,"&gt;0")+COUNTIF(S6:S65,"&gt;0")+COUNTIF(U6:U65,"&gt;0")+COUNTIF(V6:V65,"&gt;0")+COUNTIF(Y6:Y65,"&gt;0")+COUNTIF(AA6:AA65,"&gt;0")+COUNTIF(AC6:AC65,"&gt;0")</f>
        <v>407</v>
      </c>
    </row>
    <row r="70" customFormat="false" ht="15" hidden="false" customHeight="true" outlineLevel="0" collapsed="false">
      <c r="A70" s="35" t="s">
        <v>323</v>
      </c>
      <c r="B70" s="35"/>
      <c r="C70" s="35"/>
      <c r="D70" s="49" t="n">
        <f aca="false">COUNTIF(AE6:AE65,"&lt;0")</f>
        <v>53</v>
      </c>
    </row>
    <row r="71" customFormat="false" ht="15" hidden="false" customHeight="true" outlineLevel="0" collapsed="false">
      <c r="A71" s="35" t="s">
        <v>324</v>
      </c>
      <c r="B71" s="35"/>
      <c r="C71" s="35"/>
      <c r="D71" s="49" t="n">
        <f aca="false">COUNTIF(AE6:AE65,"&gt;0")</f>
        <v>7</v>
      </c>
    </row>
    <row r="72" customFormat="false" ht="15" hidden="false" customHeight="true" outlineLevel="0" collapsed="false">
      <c r="A72" s="35" t="s">
        <v>325</v>
      </c>
      <c r="B72" s="35"/>
      <c r="C72" s="35"/>
      <c r="D72" s="50" t="n">
        <f aca="false">AVERAGE(AE6:AE65)</f>
        <v>-0.454866678565887</v>
      </c>
    </row>
    <row r="73" customFormat="false" ht="15" hidden="false" customHeight="true" outlineLevel="0" collapsed="false">
      <c r="A73" s="35" t="s">
        <v>326</v>
      </c>
      <c r="B73" s="35"/>
      <c r="C73" s="35"/>
      <c r="D73" s="50" t="n">
        <f aca="false">MEDIAN(AE6:AE65)</f>
        <v>-0.523652597402597</v>
      </c>
    </row>
    <row r="74" customFormat="false" ht="15" hidden="false" customHeight="true" outlineLevel="0" collapsed="false">
      <c r="A74" s="35" t="s">
        <v>327</v>
      </c>
      <c r="B74" s="35"/>
      <c r="C74" s="35"/>
      <c r="D74" s="49" t="n">
        <f aca="false">COUNTIF(AF6:AF65,"&lt;0")</f>
        <v>15</v>
      </c>
    </row>
    <row r="75" customFormat="false" ht="15" hidden="false" customHeight="true" outlineLevel="0" collapsed="false">
      <c r="A75" s="35" t="s">
        <v>328</v>
      </c>
      <c r="B75" s="35"/>
      <c r="C75" s="35"/>
      <c r="D75" s="49" t="n">
        <f aca="false">COUNTIF(AF6:AF65,"&gt;0")</f>
        <v>7</v>
      </c>
    </row>
    <row r="76" customFormat="false" ht="15" hidden="false" customHeight="true" outlineLevel="0" collapsed="false">
      <c r="A76" s="35" t="s">
        <v>329</v>
      </c>
      <c r="B76" s="35"/>
      <c r="C76" s="35"/>
      <c r="D76" s="50" t="n">
        <f aca="false">AVERAGE(AF6:AF65)</f>
        <v>-0.137849955170021</v>
      </c>
    </row>
    <row r="77" customFormat="false" ht="15" hidden="false" customHeight="true" outlineLevel="0" collapsed="false">
      <c r="A77" s="35" t="s">
        <v>330</v>
      </c>
      <c r="B77" s="35"/>
      <c r="C77" s="35"/>
      <c r="D77" s="50" t="n">
        <f aca="false">MEDIAN(AF6:AF65)</f>
        <v>-0.240924975181021</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conditionalFormatting sqref="AD6:AD65">
    <cfRule type="expression" priority="2" aboveAverage="0" equalAverage="0" bottom="0" percent="0" rank="0" text="" dxfId="3">
      <formula>EXACT(AD6,"N/A")</formula>
    </cfRule>
  </conditionalFormatting>
  <conditionalFormatting sqref="AE6:AE65">
    <cfRule type="expression" priority="3" aboveAverage="0" equalAverage="0" bottom="0" percent="0" rank="0" text="" dxfId="3">
      <formula>EXACT(AE6,"N/A")</formula>
    </cfRule>
  </conditionalFormatting>
  <conditionalFormatting sqref="AF6:AF65">
    <cfRule type="expression" priority="4" aboveAverage="0" equalAverage="0" bottom="0" percent="0" rank="0" text="" dxfId="3">
      <formula>EXACT(AF6,"N/A")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4" min="4" style="1" width="20"/>
    <col collapsed="false" customWidth="true" hidden="false" outlineLevel="0" max="5" min="5" style="1" width="14"/>
    <col collapsed="false" customWidth="true" hidden="false" outlineLevel="0" max="6" min="6" style="1" width="18"/>
    <col collapsed="false" customWidth="true" hidden="false" outlineLevel="0" max="7" min="7" style="1" width="13"/>
    <col collapsed="false" customWidth="true" hidden="false" outlineLevel="0" max="8" min="8" style="1" width="12"/>
    <col collapsed="false" customWidth="true" hidden="false" outlineLevel="0" max="9" min="9" style="1" width="11"/>
    <col collapsed="false" customWidth="true" hidden="false" outlineLevel="0" max="10" min="10" style="1" width="40"/>
  </cols>
  <sheetData>
    <row r="1" customFormat="false" ht="19.5" hidden="false" customHeight="true" outlineLevel="0" collapsed="false">
      <c r="A1" s="51" t="s">
        <v>331</v>
      </c>
      <c r="B1" s="51"/>
      <c r="C1" s="51"/>
      <c r="D1" s="51"/>
      <c r="E1" s="51"/>
      <c r="F1" s="51"/>
      <c r="G1" s="51"/>
      <c r="H1" s="51"/>
      <c r="I1" s="51"/>
      <c r="J1" s="51"/>
    </row>
    <row r="2" customFormat="false" ht="73.5" hidden="false" customHeight="true" outlineLevel="0" collapsed="false">
      <c r="A2" s="52" t="s">
        <v>332</v>
      </c>
      <c r="B2" s="52"/>
      <c r="C2" s="52"/>
      <c r="D2" s="52"/>
      <c r="E2" s="52"/>
      <c r="F2" s="52"/>
      <c r="G2" s="52"/>
      <c r="H2" s="52"/>
      <c r="I2" s="52"/>
      <c r="J2" s="52"/>
    </row>
    <row r="4" customFormat="false" ht="42" hidden="false" customHeight="true" outlineLevel="0" collapsed="false">
      <c r="A4" s="53" t="s">
        <v>212</v>
      </c>
      <c r="B4" s="53" t="s">
        <v>0</v>
      </c>
      <c r="C4" s="53" t="s">
        <v>1</v>
      </c>
      <c r="D4" s="53" t="s">
        <v>333</v>
      </c>
      <c r="E4" s="53" t="s">
        <v>334</v>
      </c>
      <c r="F4" s="53" t="s">
        <v>335</v>
      </c>
      <c r="G4" s="53" t="s">
        <v>336</v>
      </c>
      <c r="H4" s="53" t="s">
        <v>337</v>
      </c>
      <c r="I4" s="53" t="s">
        <v>338</v>
      </c>
      <c r="J4" s="53" t="s">
        <v>221</v>
      </c>
    </row>
    <row r="5" customFormat="false" ht="27.75" hidden="false" customHeight="true" outlineLevel="0" collapsed="false">
      <c r="A5" s="1" t="s">
        <v>222</v>
      </c>
      <c r="B5" s="1" t="s">
        <v>7</v>
      </c>
      <c r="C5" s="41" t="s">
        <v>8</v>
      </c>
      <c r="D5" s="1" t="s">
        <v>339</v>
      </c>
      <c r="E5" s="11" t="n">
        <v>20.05</v>
      </c>
      <c r="F5" s="54" t="n">
        <v>16.93275</v>
      </c>
      <c r="G5" s="55" t="n">
        <v>-3.11725</v>
      </c>
      <c r="H5" s="56" t="n">
        <v>-0.155473815461347</v>
      </c>
      <c r="I5" s="1" t="s">
        <v>340</v>
      </c>
    </row>
    <row r="6" customFormat="false" ht="27.75" hidden="false" customHeight="true" outlineLevel="0" collapsed="false">
      <c r="A6" s="1" t="s">
        <v>222</v>
      </c>
      <c r="B6" s="1" t="s">
        <v>9</v>
      </c>
      <c r="C6" s="41" t="s">
        <v>10</v>
      </c>
      <c r="D6" s="1" t="s">
        <v>341</v>
      </c>
      <c r="E6" s="11" t="n">
        <v>122.718181818182</v>
      </c>
      <c r="F6" s="57" t="n">
        <v>66.83</v>
      </c>
      <c r="G6" s="55" t="n">
        <v>-55.888181818182</v>
      </c>
      <c r="H6" s="56" t="n">
        <v>-0.455418919919995</v>
      </c>
      <c r="I6" s="1" t="s">
        <v>340</v>
      </c>
    </row>
    <row r="7" customFormat="false" ht="27.75" hidden="false" customHeight="true" outlineLevel="0" collapsed="false">
      <c r="A7" s="1" t="s">
        <v>222</v>
      </c>
      <c r="B7" s="1" t="s">
        <v>11</v>
      </c>
      <c r="C7" s="41" t="s">
        <v>12</v>
      </c>
      <c r="D7" s="1" t="s">
        <v>342</v>
      </c>
      <c r="E7" s="11" t="n">
        <v>128.75</v>
      </c>
      <c r="F7" s="57" t="n">
        <v>44.55</v>
      </c>
      <c r="G7" s="55" t="n">
        <v>-84.2</v>
      </c>
      <c r="H7" s="56" t="n">
        <v>-0.653980582524272</v>
      </c>
      <c r="I7" s="1" t="s">
        <v>340</v>
      </c>
    </row>
    <row r="8" customFormat="false" ht="15" hidden="false" customHeight="true" outlineLevel="0" collapsed="false">
      <c r="A8" s="1" t="s">
        <v>222</v>
      </c>
      <c r="B8" s="1" t="s">
        <v>13</v>
      </c>
      <c r="C8" s="41" t="s">
        <v>14</v>
      </c>
      <c r="D8" s="1" t="s">
        <v>343</v>
      </c>
      <c r="E8" s="11" t="n">
        <v>69.245</v>
      </c>
      <c r="F8" s="54" t="n">
        <v>45.144</v>
      </c>
      <c r="G8" s="55" t="n">
        <v>-24.101</v>
      </c>
      <c r="H8" s="56" t="n">
        <v>-0.348054011119937</v>
      </c>
      <c r="I8" s="1" t="s">
        <v>340</v>
      </c>
    </row>
    <row r="9" customFormat="false" ht="15" hidden="false" customHeight="true" outlineLevel="0" collapsed="false">
      <c r="A9" s="1" t="s">
        <v>222</v>
      </c>
      <c r="B9" s="1" t="s">
        <v>15</v>
      </c>
      <c r="C9" s="41" t="s">
        <v>16</v>
      </c>
      <c r="D9" s="1" t="s">
        <v>343</v>
      </c>
      <c r="E9" s="11" t="n">
        <v>81.4</v>
      </c>
      <c r="F9" s="54" t="n">
        <v>70.538125</v>
      </c>
      <c r="G9" s="55" t="n">
        <v>-10.861875</v>
      </c>
      <c r="H9" s="56" t="n">
        <v>-0.133438267813268</v>
      </c>
      <c r="I9" s="1" t="s">
        <v>340</v>
      </c>
    </row>
    <row r="10" customFormat="false" ht="27.75" hidden="false" customHeight="true" outlineLevel="0" collapsed="false">
      <c r="A10" s="1" t="s">
        <v>222</v>
      </c>
      <c r="B10" s="1" t="s">
        <v>17</v>
      </c>
      <c r="C10" s="41" t="s">
        <v>18</v>
      </c>
      <c r="D10" s="1" t="s">
        <v>344</v>
      </c>
      <c r="E10" s="11" t="n">
        <v>44.209</v>
      </c>
      <c r="F10" s="54" t="n">
        <v>33.8555</v>
      </c>
      <c r="G10" s="55" t="n">
        <v>-10.3535</v>
      </c>
      <c r="H10" s="56" t="n">
        <v>-0.234194394806487</v>
      </c>
      <c r="I10" s="1" t="s">
        <v>340</v>
      </c>
    </row>
    <row r="11" customFormat="false" ht="15" hidden="false" customHeight="true" outlineLevel="0" collapsed="false">
      <c r="A11" s="1" t="s">
        <v>222</v>
      </c>
      <c r="B11" s="1" t="s">
        <v>19</v>
      </c>
      <c r="C11" s="41" t="s">
        <v>20</v>
      </c>
      <c r="D11" s="1" t="s">
        <v>339</v>
      </c>
      <c r="E11" s="11" t="n">
        <v>70.36</v>
      </c>
      <c r="F11" s="54" t="n">
        <v>45.144</v>
      </c>
      <c r="G11" s="55" t="n">
        <v>-25.216</v>
      </c>
      <c r="H11" s="56" t="n">
        <v>-0.358385446276293</v>
      </c>
      <c r="I11" s="1" t="s">
        <v>340</v>
      </c>
    </row>
    <row r="12" customFormat="false" ht="27.75" hidden="false" customHeight="true" outlineLevel="0" collapsed="false">
      <c r="A12" s="58" t="s">
        <v>222</v>
      </c>
      <c r="B12" s="58" t="s">
        <v>79</v>
      </c>
      <c r="C12" s="59" t="s">
        <v>80</v>
      </c>
      <c r="D12" s="58" t="s">
        <v>345</v>
      </c>
      <c r="E12" s="60" t="n">
        <v>33.1818181818182</v>
      </c>
      <c r="F12" s="61" t="n">
        <v>33.8555</v>
      </c>
      <c r="G12" s="62" t="n">
        <v>0.673681818181798</v>
      </c>
      <c r="H12" s="63" t="n">
        <v>0.0203027397260268</v>
      </c>
      <c r="I12" s="64" t="s">
        <v>346</v>
      </c>
      <c r="J12" s="58"/>
    </row>
    <row r="13" customFormat="false" ht="15" hidden="false" customHeight="true" outlineLevel="0" collapsed="false">
      <c r="A13" s="1" t="s">
        <v>222</v>
      </c>
      <c r="B13" s="1" t="s">
        <v>81</v>
      </c>
      <c r="C13" s="41" t="s">
        <v>82</v>
      </c>
      <c r="D13" s="1" t="s">
        <v>339</v>
      </c>
      <c r="E13" s="11" t="n">
        <v>43.09</v>
      </c>
      <c r="F13" s="54" t="n">
        <v>25.394125</v>
      </c>
      <c r="G13" s="55" t="n">
        <v>-17.695875</v>
      </c>
      <c r="H13" s="56" t="n">
        <v>-0.410672429798097</v>
      </c>
      <c r="I13" s="1" t="s">
        <v>340</v>
      </c>
    </row>
    <row r="14" customFormat="false" ht="27.75" hidden="false" customHeight="true" outlineLevel="0" collapsed="false">
      <c r="A14" s="1" t="s">
        <v>222</v>
      </c>
      <c r="B14" s="1" t="s">
        <v>101</v>
      </c>
      <c r="C14" s="41" t="s">
        <v>102</v>
      </c>
      <c r="D14" s="1" t="s">
        <v>339</v>
      </c>
      <c r="E14" s="11" t="n">
        <v>22</v>
      </c>
      <c r="F14" s="54" t="n">
        <v>8.461375</v>
      </c>
      <c r="G14" s="55" t="n">
        <v>-13.538625</v>
      </c>
      <c r="H14" s="56" t="n">
        <v>-0.615392045454545</v>
      </c>
      <c r="I14" s="1" t="s">
        <v>340</v>
      </c>
    </row>
    <row r="15" customFormat="false" ht="27.75" hidden="false" customHeight="true" outlineLevel="0" collapsed="false">
      <c r="A15" s="1" t="s">
        <v>222</v>
      </c>
      <c r="B15" s="1" t="s">
        <v>107</v>
      </c>
      <c r="C15" s="41" t="s">
        <v>108</v>
      </c>
      <c r="D15" s="1" t="s">
        <v>343</v>
      </c>
      <c r="E15" s="11" t="n">
        <v>21.9</v>
      </c>
      <c r="F15" s="54" t="n">
        <v>15.81275</v>
      </c>
      <c r="G15" s="55" t="n">
        <v>-6.08725</v>
      </c>
      <c r="H15" s="56" t="n">
        <v>-0.277956621004566</v>
      </c>
      <c r="I15" s="1" t="s">
        <v>340</v>
      </c>
    </row>
    <row r="16" customFormat="false" ht="27.75" hidden="false" customHeight="true" outlineLevel="0" collapsed="false">
      <c r="A16" s="1" t="s">
        <v>222</v>
      </c>
      <c r="B16" s="1" t="s">
        <v>117</v>
      </c>
      <c r="C16" s="41" t="s">
        <v>118</v>
      </c>
      <c r="D16" s="1" t="s">
        <v>339</v>
      </c>
      <c r="E16" s="11" t="n">
        <v>10.5</v>
      </c>
      <c r="F16" s="54" t="n">
        <v>8.461375</v>
      </c>
      <c r="G16" s="55" t="n">
        <v>-2.038625</v>
      </c>
      <c r="H16" s="56" t="n">
        <v>-0.194154761904762</v>
      </c>
      <c r="I16" s="1" t="s">
        <v>340</v>
      </c>
    </row>
    <row r="17" customFormat="false" ht="15" hidden="false" customHeight="true" outlineLevel="0" collapsed="false">
      <c r="A17" s="1" t="s">
        <v>222</v>
      </c>
      <c r="B17" s="1" t="s">
        <v>127</v>
      </c>
      <c r="C17" s="41" t="s">
        <v>128</v>
      </c>
      <c r="D17" s="1" t="s">
        <v>347</v>
      </c>
      <c r="E17" s="11" t="n">
        <v>37.3909090909091</v>
      </c>
      <c r="F17" s="54" t="n">
        <v>30.1455</v>
      </c>
      <c r="G17" s="55" t="n">
        <v>-7.2454090909091</v>
      </c>
      <c r="H17" s="56" t="n">
        <v>-0.193774617067834</v>
      </c>
      <c r="I17" s="1" t="s">
        <v>340</v>
      </c>
    </row>
    <row r="18" customFormat="false" ht="15" hidden="false" customHeight="true" outlineLevel="0" collapsed="false">
      <c r="A18" s="58" t="s">
        <v>222</v>
      </c>
      <c r="B18" s="58" t="s">
        <v>131</v>
      </c>
      <c r="C18" s="59" t="s">
        <v>132</v>
      </c>
      <c r="D18" s="58" t="s">
        <v>347</v>
      </c>
      <c r="E18" s="60" t="n">
        <v>28.3545454545455</v>
      </c>
      <c r="F18" s="61" t="n">
        <v>30.1455</v>
      </c>
      <c r="G18" s="62" t="n">
        <v>1.7909545454545</v>
      </c>
      <c r="H18" s="63" t="n">
        <v>0.0631628727156122</v>
      </c>
      <c r="I18" s="64" t="s">
        <v>346</v>
      </c>
      <c r="J18" s="58"/>
    </row>
    <row r="19" customFormat="false" ht="27.75" hidden="false" customHeight="true" outlineLevel="0" collapsed="false">
      <c r="A19" s="1" t="s">
        <v>222</v>
      </c>
      <c r="B19" s="1" t="s">
        <v>137</v>
      </c>
      <c r="C19" s="41" t="s">
        <v>138</v>
      </c>
      <c r="D19" s="1" t="s">
        <v>347</v>
      </c>
      <c r="E19" s="11" t="n">
        <v>23.3090909090909</v>
      </c>
      <c r="F19" s="54" t="n">
        <v>16.93275</v>
      </c>
      <c r="G19" s="55" t="n">
        <v>-6.3763409090909</v>
      </c>
      <c r="H19" s="56" t="n">
        <v>-0.273555967238689</v>
      </c>
      <c r="I19" s="1" t="s">
        <v>340</v>
      </c>
    </row>
    <row r="20" customFormat="false" ht="15" hidden="false" customHeight="true" outlineLevel="0" collapsed="false">
      <c r="A20" s="58" t="s">
        <v>222</v>
      </c>
      <c r="B20" s="58" t="s">
        <v>141</v>
      </c>
      <c r="C20" s="59" t="s">
        <v>142</v>
      </c>
      <c r="D20" s="58" t="s">
        <v>348</v>
      </c>
      <c r="E20" s="60" t="n">
        <v>33.7</v>
      </c>
      <c r="F20" s="61" t="n">
        <v>33.8555</v>
      </c>
      <c r="G20" s="62" t="n">
        <v>0.155499999999996</v>
      </c>
      <c r="H20" s="63" t="n">
        <v>0.00461424332344203</v>
      </c>
      <c r="I20" s="64" t="s">
        <v>346</v>
      </c>
      <c r="J20" s="58"/>
    </row>
    <row r="21" customFormat="false" ht="27.75" hidden="false" customHeight="true" outlineLevel="0" collapsed="false">
      <c r="A21" s="1" t="s">
        <v>222</v>
      </c>
      <c r="B21" s="1" t="s">
        <v>147</v>
      </c>
      <c r="C21" s="41" t="s">
        <v>148</v>
      </c>
      <c r="D21" s="1" t="s">
        <v>349</v>
      </c>
      <c r="E21" s="11" t="n">
        <v>21.2</v>
      </c>
      <c r="F21" s="54" t="n">
        <v>12.03275</v>
      </c>
      <c r="G21" s="55" t="n">
        <v>-9.16725</v>
      </c>
      <c r="H21" s="56" t="n">
        <v>-0.432417452830189</v>
      </c>
      <c r="I21" s="1" t="s">
        <v>340</v>
      </c>
    </row>
    <row r="22" customFormat="false" ht="15" hidden="false" customHeight="true" outlineLevel="0" collapsed="false">
      <c r="A22" s="1" t="s">
        <v>222</v>
      </c>
      <c r="B22" s="1" t="s">
        <v>151</v>
      </c>
      <c r="C22" s="41" t="s">
        <v>152</v>
      </c>
      <c r="D22" s="1" t="s">
        <v>349</v>
      </c>
      <c r="E22" s="11" t="n">
        <v>21.2</v>
      </c>
      <c r="F22" s="54" t="n">
        <v>12.03275</v>
      </c>
      <c r="G22" s="55" t="n">
        <v>-9.16725</v>
      </c>
      <c r="H22" s="56" t="n">
        <v>-0.432417452830189</v>
      </c>
      <c r="I22" s="1" t="s">
        <v>340</v>
      </c>
    </row>
    <row r="23" customFormat="false" ht="27.75" hidden="false" customHeight="true" outlineLevel="0" collapsed="false">
      <c r="A23" s="1" t="s">
        <v>222</v>
      </c>
      <c r="B23" s="1" t="s">
        <v>153</v>
      </c>
      <c r="C23" s="41" t="s">
        <v>154</v>
      </c>
      <c r="D23" s="1" t="s">
        <v>339</v>
      </c>
      <c r="E23" s="11" t="n">
        <v>22</v>
      </c>
      <c r="F23" s="54" t="n">
        <v>6.011375</v>
      </c>
      <c r="G23" s="55" t="n">
        <v>-15.988625</v>
      </c>
      <c r="H23" s="56" t="n">
        <v>-0.726755681818182</v>
      </c>
      <c r="I23" s="1" t="s">
        <v>340</v>
      </c>
    </row>
    <row r="24" customFormat="false" ht="27.75" hidden="false" customHeight="true" outlineLevel="0" collapsed="false">
      <c r="A24" s="58" t="s">
        <v>222</v>
      </c>
      <c r="B24" s="58" t="s">
        <v>159</v>
      </c>
      <c r="C24" s="59" t="s">
        <v>160</v>
      </c>
      <c r="D24" s="58" t="s">
        <v>349</v>
      </c>
      <c r="E24" s="60" t="n">
        <v>9.35454545454545</v>
      </c>
      <c r="F24" s="61" t="n">
        <v>12.03275</v>
      </c>
      <c r="G24" s="62" t="n">
        <v>2.67820454545455</v>
      </c>
      <c r="H24" s="63" t="n">
        <v>0.286299805636541</v>
      </c>
      <c r="I24" s="64" t="s">
        <v>346</v>
      </c>
      <c r="J24" s="58"/>
    </row>
    <row r="25" customFormat="false" ht="27.75" hidden="false" customHeight="true" outlineLevel="0" collapsed="false">
      <c r="A25" s="58" t="s">
        <v>222</v>
      </c>
      <c r="B25" s="58" t="s">
        <v>171</v>
      </c>
      <c r="C25" s="59" t="s">
        <v>172</v>
      </c>
      <c r="D25" s="58" t="s">
        <v>349</v>
      </c>
      <c r="E25" s="60" t="n">
        <v>9.35454545454545</v>
      </c>
      <c r="F25" s="61" t="n">
        <v>12.03275</v>
      </c>
      <c r="G25" s="62" t="n">
        <v>2.67820454545455</v>
      </c>
      <c r="H25" s="63" t="n">
        <v>0.286299805636541</v>
      </c>
      <c r="I25" s="64" t="s">
        <v>346</v>
      </c>
      <c r="J25" s="58"/>
    </row>
    <row r="26" customFormat="false" ht="27.75" hidden="false" customHeight="true" outlineLevel="0" collapsed="false">
      <c r="A26" s="1" t="s">
        <v>222</v>
      </c>
      <c r="B26" s="1" t="s">
        <v>280</v>
      </c>
      <c r="C26" s="41" t="s">
        <v>173</v>
      </c>
      <c r="D26" s="1" t="s">
        <v>349</v>
      </c>
      <c r="E26" s="11" t="n">
        <v>21.2</v>
      </c>
      <c r="F26" s="54" t="n">
        <v>12.03275</v>
      </c>
      <c r="G26" s="55" t="n">
        <v>-9.16725</v>
      </c>
      <c r="H26" s="56" t="n">
        <v>-0.432417452830189</v>
      </c>
      <c r="I26" s="1" t="s">
        <v>340</v>
      </c>
    </row>
    <row r="27" customFormat="false" ht="27.75" hidden="false" customHeight="true" outlineLevel="0" collapsed="false">
      <c r="A27" s="58" t="s">
        <v>222</v>
      </c>
      <c r="B27" s="58" t="s">
        <v>167</v>
      </c>
      <c r="C27" s="59" t="s">
        <v>168</v>
      </c>
      <c r="D27" s="58" t="s">
        <v>345</v>
      </c>
      <c r="E27" s="60" t="n">
        <v>32.5</v>
      </c>
      <c r="F27" s="61" t="n">
        <v>33.8555</v>
      </c>
      <c r="G27" s="62" t="n">
        <v>1.3555</v>
      </c>
      <c r="H27" s="63" t="n">
        <v>0.0417076923076923</v>
      </c>
      <c r="I27" s="64" t="s">
        <v>346</v>
      </c>
      <c r="J27" s="58"/>
    </row>
    <row r="28" customFormat="false" ht="27.75" hidden="false" customHeight="true" outlineLevel="0" collapsed="false">
      <c r="A28" s="1" t="s">
        <v>222</v>
      </c>
      <c r="B28" s="1" t="s">
        <v>174</v>
      </c>
      <c r="C28" s="41" t="s">
        <v>175</v>
      </c>
      <c r="D28" s="1" t="s">
        <v>345</v>
      </c>
      <c r="E28" s="11" t="n">
        <v>45</v>
      </c>
      <c r="F28" s="54" t="n">
        <v>33.8555</v>
      </c>
      <c r="G28" s="55" t="n">
        <v>-11.1445</v>
      </c>
      <c r="H28" s="56" t="n">
        <v>-0.247655555555556</v>
      </c>
      <c r="I28" s="1" t="s">
        <v>340</v>
      </c>
    </row>
    <row r="29" customFormat="false" ht="27.75" hidden="false" customHeight="true" outlineLevel="0" collapsed="false">
      <c r="A29" s="1" t="s">
        <v>223</v>
      </c>
      <c r="B29" s="1" t="s">
        <v>49</v>
      </c>
      <c r="C29" s="41" t="s">
        <v>50</v>
      </c>
      <c r="D29" s="1" t="s">
        <v>343</v>
      </c>
      <c r="E29" s="11" t="n">
        <v>30.8</v>
      </c>
      <c r="F29" s="57" t="n">
        <v>13.07</v>
      </c>
      <c r="G29" s="55" t="n">
        <v>-17.73</v>
      </c>
      <c r="H29" s="56" t="n">
        <v>-0.575649350649351</v>
      </c>
      <c r="I29" s="1" t="s">
        <v>340</v>
      </c>
    </row>
    <row r="30" customFormat="false" ht="27.75" hidden="false" customHeight="true" outlineLevel="0" collapsed="false">
      <c r="A30" s="1" t="s">
        <v>223</v>
      </c>
      <c r="B30" s="1" t="s">
        <v>51</v>
      </c>
      <c r="C30" s="41" t="s">
        <v>52</v>
      </c>
      <c r="D30" s="1" t="s">
        <v>343</v>
      </c>
      <c r="E30" s="11" t="n">
        <v>28</v>
      </c>
      <c r="F30" s="57" t="n">
        <v>13.07</v>
      </c>
      <c r="G30" s="55" t="n">
        <v>-14.93</v>
      </c>
      <c r="H30" s="56" t="n">
        <v>-0.533214285714286</v>
      </c>
      <c r="I30" s="1" t="s">
        <v>340</v>
      </c>
    </row>
    <row r="31" customFormat="false" ht="27.75" hidden="false" customHeight="true" outlineLevel="0" collapsed="false">
      <c r="A31" s="1" t="s">
        <v>223</v>
      </c>
      <c r="B31" s="1" t="s">
        <v>53</v>
      </c>
      <c r="C31" s="41" t="s">
        <v>54</v>
      </c>
      <c r="D31" s="1" t="s">
        <v>348</v>
      </c>
      <c r="E31" s="11" t="n">
        <v>31</v>
      </c>
      <c r="F31" s="57" t="n">
        <v>16.04</v>
      </c>
      <c r="G31" s="55" t="n">
        <v>-14.96</v>
      </c>
      <c r="H31" s="56" t="n">
        <v>-0.48258064516129</v>
      </c>
      <c r="I31" s="1" t="s">
        <v>340</v>
      </c>
    </row>
    <row r="32" customFormat="false" ht="15" hidden="false" customHeight="true" outlineLevel="0" collapsed="false">
      <c r="A32" s="1" t="s">
        <v>223</v>
      </c>
      <c r="B32" s="1" t="s">
        <v>55</v>
      </c>
      <c r="C32" s="41" t="s">
        <v>56</v>
      </c>
      <c r="D32" s="1" t="s">
        <v>348</v>
      </c>
      <c r="E32" s="11" t="n">
        <v>31</v>
      </c>
      <c r="F32" s="57" t="n">
        <v>16.04</v>
      </c>
      <c r="G32" s="55" t="n">
        <v>-14.96</v>
      </c>
      <c r="H32" s="56" t="n">
        <v>-0.48258064516129</v>
      </c>
      <c r="I32" s="1" t="s">
        <v>340</v>
      </c>
    </row>
    <row r="33" customFormat="false" ht="27.75" hidden="false" customHeight="true" outlineLevel="0" collapsed="false">
      <c r="A33" s="1" t="s">
        <v>223</v>
      </c>
      <c r="B33" s="1" t="s">
        <v>57</v>
      </c>
      <c r="C33" s="41" t="s">
        <v>58</v>
      </c>
      <c r="D33" s="1" t="s">
        <v>348</v>
      </c>
      <c r="E33" s="11" t="n">
        <v>31</v>
      </c>
      <c r="F33" s="57" t="n">
        <v>16.04</v>
      </c>
      <c r="G33" s="55" t="n">
        <v>-14.96</v>
      </c>
      <c r="H33" s="56" t="n">
        <v>-0.48258064516129</v>
      </c>
      <c r="I33" s="1" t="s">
        <v>340</v>
      </c>
    </row>
    <row r="34" customFormat="false" ht="27.75" hidden="false" customHeight="true" outlineLevel="0" collapsed="false">
      <c r="A34" s="1" t="s">
        <v>223</v>
      </c>
      <c r="B34" s="1" t="s">
        <v>59</v>
      </c>
      <c r="C34" s="41" t="s">
        <v>60</v>
      </c>
      <c r="D34" s="1" t="s">
        <v>348</v>
      </c>
      <c r="E34" s="11" t="n">
        <v>31</v>
      </c>
      <c r="F34" s="57" t="n">
        <v>16.04</v>
      </c>
      <c r="G34" s="55" t="n">
        <v>-14.96</v>
      </c>
      <c r="H34" s="56" t="n">
        <v>-0.48258064516129</v>
      </c>
      <c r="I34" s="1" t="s">
        <v>340</v>
      </c>
    </row>
    <row r="35" customFormat="false" ht="27.75" hidden="false" customHeight="true" outlineLevel="0" collapsed="false">
      <c r="A35" s="1" t="s">
        <v>223</v>
      </c>
      <c r="B35" s="1" t="s">
        <v>61</v>
      </c>
      <c r="C35" s="41" t="s">
        <v>62</v>
      </c>
      <c r="D35" s="1" t="s">
        <v>348</v>
      </c>
      <c r="E35" s="11" t="n">
        <v>31</v>
      </c>
      <c r="F35" s="57" t="n">
        <v>13.07</v>
      </c>
      <c r="G35" s="55" t="n">
        <v>-17.93</v>
      </c>
      <c r="H35" s="56" t="n">
        <v>-0.578387096774194</v>
      </c>
      <c r="I35" s="1" t="s">
        <v>340</v>
      </c>
    </row>
    <row r="36" customFormat="false" ht="27.75" hidden="false" customHeight="true" outlineLevel="0" collapsed="false">
      <c r="A36" s="1" t="s">
        <v>223</v>
      </c>
      <c r="B36" s="1" t="s">
        <v>63</v>
      </c>
      <c r="C36" s="41" t="s">
        <v>64</v>
      </c>
      <c r="D36" s="1" t="s">
        <v>348</v>
      </c>
      <c r="E36" s="11" t="n">
        <v>31</v>
      </c>
      <c r="F36" s="57" t="n">
        <v>16.04</v>
      </c>
      <c r="G36" s="55" t="n">
        <v>-14.96</v>
      </c>
      <c r="H36" s="56" t="n">
        <v>-0.48258064516129</v>
      </c>
      <c r="I36" s="1" t="s">
        <v>340</v>
      </c>
    </row>
    <row r="37" customFormat="false" ht="27.75" hidden="false" customHeight="true" outlineLevel="0" collapsed="false">
      <c r="A37" s="1" t="s">
        <v>223</v>
      </c>
      <c r="B37" s="1" t="s">
        <v>65</v>
      </c>
      <c r="C37" s="41" t="s">
        <v>66</v>
      </c>
      <c r="D37" s="1" t="s">
        <v>348</v>
      </c>
      <c r="E37" s="11" t="n">
        <v>31</v>
      </c>
      <c r="F37" s="57" t="n">
        <v>13.07</v>
      </c>
      <c r="G37" s="55" t="n">
        <v>-17.93</v>
      </c>
      <c r="H37" s="56" t="n">
        <v>-0.578387096774194</v>
      </c>
      <c r="I37" s="1" t="s">
        <v>340</v>
      </c>
    </row>
    <row r="38" customFormat="false" ht="27.75" hidden="false" customHeight="true" outlineLevel="0" collapsed="false">
      <c r="A38" s="1" t="s">
        <v>223</v>
      </c>
      <c r="B38" s="1" t="s">
        <v>67</v>
      </c>
      <c r="C38" s="41" t="s">
        <v>68</v>
      </c>
      <c r="D38" s="1" t="s">
        <v>348</v>
      </c>
      <c r="E38" s="11" t="n">
        <v>31</v>
      </c>
      <c r="F38" s="57" t="n">
        <v>13.07</v>
      </c>
      <c r="G38" s="55" t="n">
        <v>-17.93</v>
      </c>
      <c r="H38" s="56" t="n">
        <v>-0.578387096774194</v>
      </c>
      <c r="I38" s="1" t="s">
        <v>340</v>
      </c>
    </row>
    <row r="39" customFormat="false" ht="27.75" hidden="false" customHeight="true" outlineLevel="0" collapsed="false">
      <c r="A39" s="1" t="s">
        <v>223</v>
      </c>
      <c r="B39" s="1" t="s">
        <v>69</v>
      </c>
      <c r="C39" s="41" t="s">
        <v>70</v>
      </c>
      <c r="D39" s="1" t="s">
        <v>348</v>
      </c>
      <c r="E39" s="11" t="n">
        <v>31</v>
      </c>
      <c r="F39" s="57" t="n">
        <v>13.07</v>
      </c>
      <c r="G39" s="55" t="n">
        <v>-17.93</v>
      </c>
      <c r="H39" s="56" t="n">
        <v>-0.578387096774194</v>
      </c>
      <c r="I39" s="1" t="s">
        <v>340</v>
      </c>
    </row>
    <row r="40" customFormat="false" ht="27.75" hidden="false" customHeight="true" outlineLevel="0" collapsed="false">
      <c r="A40" s="1" t="s">
        <v>223</v>
      </c>
      <c r="B40" s="1" t="s">
        <v>71</v>
      </c>
      <c r="C40" s="41" t="s">
        <v>72</v>
      </c>
      <c r="D40" s="1" t="s">
        <v>348</v>
      </c>
      <c r="E40" s="11" t="n">
        <v>31</v>
      </c>
      <c r="F40" s="57" t="n">
        <v>13.07</v>
      </c>
      <c r="G40" s="55" t="n">
        <v>-17.93</v>
      </c>
      <c r="H40" s="56" t="n">
        <v>-0.578387096774194</v>
      </c>
      <c r="I40" s="1" t="s">
        <v>340</v>
      </c>
    </row>
    <row r="41" customFormat="false" ht="27.75" hidden="false" customHeight="true" outlineLevel="0" collapsed="false">
      <c r="A41" s="1" t="s">
        <v>223</v>
      </c>
      <c r="B41" s="1" t="s">
        <v>73</v>
      </c>
      <c r="C41" s="41" t="s">
        <v>74</v>
      </c>
      <c r="D41" s="1" t="s">
        <v>348</v>
      </c>
      <c r="E41" s="11" t="n">
        <v>31</v>
      </c>
      <c r="F41" s="57" t="n">
        <v>13.07</v>
      </c>
      <c r="G41" s="55" t="n">
        <v>-17.93</v>
      </c>
      <c r="H41" s="56" t="n">
        <v>-0.578387096774194</v>
      </c>
      <c r="I41" s="1" t="s">
        <v>340</v>
      </c>
    </row>
    <row r="42" customFormat="false" ht="27.75" hidden="false" customHeight="true" outlineLevel="0" collapsed="false">
      <c r="A42" s="1" t="s">
        <v>225</v>
      </c>
      <c r="B42" s="1" t="s">
        <v>4</v>
      </c>
      <c r="C42" s="41" t="s">
        <v>5</v>
      </c>
      <c r="D42" s="1" t="s">
        <v>339</v>
      </c>
      <c r="E42" s="11" t="n">
        <v>20.05</v>
      </c>
      <c r="F42" s="57" t="n">
        <v>5.35</v>
      </c>
      <c r="G42" s="55" t="n">
        <v>-14.7</v>
      </c>
      <c r="H42" s="56" t="n">
        <v>-0.733167082294264</v>
      </c>
      <c r="I42" s="1" t="s">
        <v>340</v>
      </c>
    </row>
    <row r="43" customFormat="false" ht="27.75" hidden="false" customHeight="true" outlineLevel="0" collapsed="false">
      <c r="A43" s="1" t="s">
        <v>225</v>
      </c>
      <c r="B43" s="1" t="s">
        <v>95</v>
      </c>
      <c r="C43" s="41" t="s">
        <v>96</v>
      </c>
      <c r="D43" s="1" t="s">
        <v>349</v>
      </c>
      <c r="E43" s="11" t="n">
        <v>9.35454545454545</v>
      </c>
      <c r="F43" s="57" t="n">
        <v>2.67</v>
      </c>
      <c r="G43" s="55" t="n">
        <v>-6.68454545454545</v>
      </c>
      <c r="H43" s="56" t="n">
        <v>-0.714577259475219</v>
      </c>
      <c r="I43" s="1" t="s">
        <v>340</v>
      </c>
    </row>
    <row r="44" customFormat="false" ht="27.75" hidden="false" customHeight="true" outlineLevel="0" collapsed="false">
      <c r="A44" s="1" t="s">
        <v>225</v>
      </c>
      <c r="B44" s="1" t="s">
        <v>97</v>
      </c>
      <c r="C44" s="41" t="s">
        <v>98</v>
      </c>
      <c r="D44" s="1" t="s">
        <v>348</v>
      </c>
      <c r="E44" s="11" t="n">
        <v>23.4090909090909</v>
      </c>
      <c r="F44" s="57" t="n">
        <v>10.69</v>
      </c>
      <c r="G44" s="55" t="n">
        <v>-12.7190909090909</v>
      </c>
      <c r="H44" s="56" t="n">
        <v>-0.543339805825243</v>
      </c>
      <c r="I44" s="1" t="s">
        <v>340</v>
      </c>
    </row>
    <row r="45" customFormat="false" ht="27.75" hidden="false" customHeight="true" outlineLevel="0" collapsed="false">
      <c r="A45" s="1" t="s">
        <v>225</v>
      </c>
      <c r="B45" s="1" t="s">
        <v>99</v>
      </c>
      <c r="C45" s="41" t="s">
        <v>100</v>
      </c>
      <c r="D45" s="1" t="s">
        <v>348</v>
      </c>
      <c r="E45" s="11" t="n">
        <v>20.4545454545455</v>
      </c>
      <c r="F45" s="57" t="n">
        <v>2.67</v>
      </c>
      <c r="G45" s="55" t="n">
        <v>-17.7845454545455</v>
      </c>
      <c r="H45" s="56" t="n">
        <v>-0.869466666666667</v>
      </c>
      <c r="I45" s="1" t="s">
        <v>340</v>
      </c>
    </row>
    <row r="46" customFormat="false" ht="27.75" hidden="false" customHeight="true" outlineLevel="0" collapsed="false">
      <c r="A46" s="1" t="s">
        <v>225</v>
      </c>
      <c r="B46" s="1" t="s">
        <v>103</v>
      </c>
      <c r="C46" s="41" t="s">
        <v>104</v>
      </c>
      <c r="D46" s="1" t="s">
        <v>339</v>
      </c>
      <c r="E46" s="11" t="n">
        <v>22</v>
      </c>
      <c r="F46" s="57" t="n">
        <v>9.5</v>
      </c>
      <c r="G46" s="55" t="n">
        <v>-12.5</v>
      </c>
      <c r="H46" s="56" t="n">
        <v>-0.568181818181818</v>
      </c>
      <c r="I46" s="1" t="s">
        <v>340</v>
      </c>
    </row>
    <row r="47" customFormat="false" ht="27.75" hidden="false" customHeight="true" outlineLevel="0" collapsed="false">
      <c r="A47" s="1" t="s">
        <v>225</v>
      </c>
      <c r="B47" s="1" t="s">
        <v>105</v>
      </c>
      <c r="C47" s="41" t="s">
        <v>106</v>
      </c>
      <c r="D47" s="1" t="s">
        <v>347</v>
      </c>
      <c r="E47" s="11" t="n">
        <v>16.7363636363636</v>
      </c>
      <c r="F47" s="57" t="n">
        <v>10.69</v>
      </c>
      <c r="G47" s="55" t="n">
        <v>-6.0463636363636</v>
      </c>
      <c r="H47" s="56" t="n">
        <v>-0.36127104834329</v>
      </c>
      <c r="I47" s="1" t="s">
        <v>340</v>
      </c>
    </row>
    <row r="48" customFormat="false" ht="27.75" hidden="false" customHeight="true" outlineLevel="0" collapsed="false">
      <c r="A48" s="1" t="s">
        <v>225</v>
      </c>
      <c r="B48" s="1" t="s">
        <v>109</v>
      </c>
      <c r="C48" s="41" t="s">
        <v>110</v>
      </c>
      <c r="D48" s="1" t="s">
        <v>348</v>
      </c>
      <c r="E48" s="11" t="n">
        <v>20.9090909090909</v>
      </c>
      <c r="F48" s="57" t="n">
        <v>5.35</v>
      </c>
      <c r="G48" s="55" t="n">
        <v>-15.5590909090909</v>
      </c>
      <c r="H48" s="56" t="n">
        <v>-0.744130434782609</v>
      </c>
      <c r="I48" s="1" t="s">
        <v>340</v>
      </c>
    </row>
    <row r="49" customFormat="false" ht="15" hidden="false" customHeight="true" outlineLevel="0" collapsed="false">
      <c r="A49" s="1" t="s">
        <v>225</v>
      </c>
      <c r="B49" s="1" t="s">
        <v>111</v>
      </c>
      <c r="C49" s="41" t="s">
        <v>112</v>
      </c>
      <c r="D49" s="1" t="s">
        <v>349</v>
      </c>
      <c r="E49" s="11" t="n">
        <v>9.35454545454545</v>
      </c>
      <c r="F49" s="57" t="n">
        <v>5.35</v>
      </c>
      <c r="G49" s="55" t="n">
        <v>-4.00454545454545</v>
      </c>
      <c r="H49" s="56" t="n">
        <v>-0.428085519922254</v>
      </c>
      <c r="I49" s="1" t="s">
        <v>340</v>
      </c>
    </row>
    <row r="50" customFormat="false" ht="15" hidden="false" customHeight="true" outlineLevel="0" collapsed="false">
      <c r="A50" s="1" t="s">
        <v>225</v>
      </c>
      <c r="B50" s="1" t="s">
        <v>115</v>
      </c>
      <c r="C50" s="41" t="s">
        <v>116</v>
      </c>
      <c r="D50" s="1" t="s">
        <v>339</v>
      </c>
      <c r="E50" s="11" t="n">
        <v>10.5</v>
      </c>
      <c r="F50" s="57" t="n">
        <v>2.67</v>
      </c>
      <c r="G50" s="55" t="n">
        <v>-7.83</v>
      </c>
      <c r="H50" s="56" t="n">
        <v>-0.745714285714286</v>
      </c>
      <c r="I50" s="1" t="s">
        <v>340</v>
      </c>
    </row>
    <row r="51" customFormat="false" ht="27.75" hidden="false" customHeight="true" outlineLevel="0" collapsed="false">
      <c r="A51" s="1" t="s">
        <v>225</v>
      </c>
      <c r="B51" s="1" t="s">
        <v>119</v>
      </c>
      <c r="C51" s="41" t="s">
        <v>120</v>
      </c>
      <c r="D51" s="1" t="s">
        <v>343</v>
      </c>
      <c r="E51" s="11" t="n">
        <v>26.5</v>
      </c>
      <c r="F51" s="57" t="n">
        <v>9.5</v>
      </c>
      <c r="G51" s="55" t="n">
        <v>-17</v>
      </c>
      <c r="H51" s="56" t="n">
        <v>-0.641509433962264</v>
      </c>
      <c r="I51" s="1" t="s">
        <v>340</v>
      </c>
    </row>
    <row r="52" customFormat="false" ht="27.75" hidden="false" customHeight="true" outlineLevel="0" collapsed="false">
      <c r="A52" s="1" t="s">
        <v>225</v>
      </c>
      <c r="B52" s="1" t="s">
        <v>121</v>
      </c>
      <c r="C52" s="41" t="s">
        <v>122</v>
      </c>
      <c r="D52" s="1" t="s">
        <v>345</v>
      </c>
      <c r="E52" s="11" t="n">
        <v>7.81818181818182</v>
      </c>
      <c r="F52" s="57" t="n">
        <v>2</v>
      </c>
      <c r="G52" s="55" t="n">
        <v>-5.81818181818182</v>
      </c>
      <c r="H52" s="56" t="n">
        <v>-0.744186046511628</v>
      </c>
      <c r="I52" s="1" t="s">
        <v>340</v>
      </c>
    </row>
    <row r="53" customFormat="false" ht="27.75" hidden="false" customHeight="true" outlineLevel="0" collapsed="false">
      <c r="A53" s="1" t="s">
        <v>225</v>
      </c>
      <c r="B53" s="1" t="s">
        <v>123</v>
      </c>
      <c r="C53" s="41" t="s">
        <v>124</v>
      </c>
      <c r="D53" s="1" t="s">
        <v>348</v>
      </c>
      <c r="E53" s="11" t="n">
        <v>20.4545454545455</v>
      </c>
      <c r="F53" s="57" t="n">
        <v>2.67</v>
      </c>
      <c r="G53" s="55" t="n">
        <v>-17.7845454545455</v>
      </c>
      <c r="H53" s="56" t="n">
        <v>-0.869466666666667</v>
      </c>
      <c r="I53" s="1" t="s">
        <v>340</v>
      </c>
    </row>
    <row r="54" customFormat="false" ht="15" hidden="false" customHeight="true" outlineLevel="0" collapsed="false">
      <c r="A54" s="1" t="s">
        <v>225</v>
      </c>
      <c r="B54" s="1" t="s">
        <v>125</v>
      </c>
      <c r="C54" s="41" t="s">
        <v>126</v>
      </c>
      <c r="D54" s="1" t="s">
        <v>348</v>
      </c>
      <c r="E54" s="11" t="n">
        <v>20.9090909090909</v>
      </c>
      <c r="F54" s="57" t="n">
        <v>4.01</v>
      </c>
      <c r="G54" s="55" t="n">
        <v>-16.8990909090909</v>
      </c>
      <c r="H54" s="56" t="n">
        <v>-0.808217391304348</v>
      </c>
      <c r="I54" s="1" t="s">
        <v>340</v>
      </c>
    </row>
    <row r="55" customFormat="false" ht="15" hidden="false" customHeight="true" outlineLevel="0" collapsed="false">
      <c r="A55" s="1" t="s">
        <v>225</v>
      </c>
      <c r="B55" s="1" t="s">
        <v>129</v>
      </c>
      <c r="C55" s="41" t="s">
        <v>130</v>
      </c>
      <c r="D55" s="1" t="s">
        <v>339</v>
      </c>
      <c r="E55" s="11" t="n">
        <v>22</v>
      </c>
      <c r="F55" s="57" t="n">
        <v>10.69</v>
      </c>
      <c r="G55" s="55" t="n">
        <v>-11.31</v>
      </c>
      <c r="H55" s="56" t="n">
        <v>-0.514090909090909</v>
      </c>
      <c r="I55" s="1" t="s">
        <v>340</v>
      </c>
    </row>
    <row r="56" customFormat="false" ht="27.75" hidden="false" customHeight="true" outlineLevel="0" collapsed="false">
      <c r="A56" s="1" t="s">
        <v>225</v>
      </c>
      <c r="B56" s="1" t="s">
        <v>133</v>
      </c>
      <c r="C56" s="41" t="s">
        <v>134</v>
      </c>
      <c r="D56" s="1" t="s">
        <v>348</v>
      </c>
      <c r="E56" s="11" t="n">
        <v>27.2727272727273</v>
      </c>
      <c r="F56" s="57" t="n">
        <v>10.69</v>
      </c>
      <c r="G56" s="55" t="n">
        <v>-16.5827272727273</v>
      </c>
      <c r="H56" s="56" t="n">
        <v>-0.608033333333334</v>
      </c>
      <c r="I56" s="1" t="s">
        <v>340</v>
      </c>
    </row>
    <row r="57" customFormat="false" ht="27.75" hidden="false" customHeight="true" outlineLevel="0" collapsed="false">
      <c r="A57" s="1" t="s">
        <v>225</v>
      </c>
      <c r="B57" s="1" t="s">
        <v>135</v>
      </c>
      <c r="C57" s="41" t="s">
        <v>136</v>
      </c>
      <c r="D57" s="1" t="s">
        <v>339</v>
      </c>
      <c r="E57" s="11" t="n">
        <v>22</v>
      </c>
      <c r="F57" s="57" t="n">
        <v>10.69</v>
      </c>
      <c r="G57" s="55" t="n">
        <v>-11.31</v>
      </c>
      <c r="H57" s="56" t="n">
        <v>-0.514090909090909</v>
      </c>
      <c r="I57" s="1" t="s">
        <v>340</v>
      </c>
    </row>
    <row r="58" customFormat="false" ht="27.75" hidden="false" customHeight="true" outlineLevel="0" collapsed="false">
      <c r="A58" s="1" t="s">
        <v>225</v>
      </c>
      <c r="B58" s="1" t="s">
        <v>139</v>
      </c>
      <c r="C58" s="41" t="s">
        <v>140</v>
      </c>
      <c r="D58" s="1" t="s">
        <v>348</v>
      </c>
      <c r="E58" s="11" t="n">
        <v>20</v>
      </c>
      <c r="F58" s="57" t="n">
        <v>2.89</v>
      </c>
      <c r="G58" s="55" t="n">
        <v>-17.11</v>
      </c>
      <c r="H58" s="56" t="n">
        <v>-0.8555</v>
      </c>
      <c r="I58" s="1" t="s">
        <v>340</v>
      </c>
    </row>
    <row r="59" customFormat="false" ht="27.75" hidden="false" customHeight="true" outlineLevel="0" collapsed="false">
      <c r="A59" s="1" t="s">
        <v>225</v>
      </c>
      <c r="B59" s="1" t="s">
        <v>143</v>
      </c>
      <c r="C59" s="41" t="s">
        <v>144</v>
      </c>
      <c r="D59" s="1" t="s">
        <v>349</v>
      </c>
      <c r="E59" s="11" t="n">
        <v>37.6363636363636</v>
      </c>
      <c r="F59" s="57" t="n">
        <v>1.94</v>
      </c>
      <c r="G59" s="55" t="n">
        <v>-35.6963636363636</v>
      </c>
      <c r="H59" s="56" t="n">
        <v>-0.948454106280193</v>
      </c>
      <c r="I59" s="1" t="s">
        <v>340</v>
      </c>
    </row>
    <row r="60" customFormat="false" ht="15" hidden="false" customHeight="true" outlineLevel="0" collapsed="false">
      <c r="A60" s="1" t="s">
        <v>225</v>
      </c>
      <c r="B60" s="1" t="s">
        <v>149</v>
      </c>
      <c r="C60" s="41" t="s">
        <v>150</v>
      </c>
      <c r="D60" s="1" t="s">
        <v>348</v>
      </c>
      <c r="E60" s="11" t="n">
        <v>27.2727272727273</v>
      </c>
      <c r="F60" s="57" t="n">
        <v>10.69</v>
      </c>
      <c r="G60" s="55" t="n">
        <v>-16.5827272727273</v>
      </c>
      <c r="H60" s="56" t="n">
        <v>-0.608033333333334</v>
      </c>
      <c r="I60" s="1" t="s">
        <v>340</v>
      </c>
    </row>
    <row r="61" customFormat="false" ht="27.75" hidden="false" customHeight="true" outlineLevel="0" collapsed="false">
      <c r="A61" s="1" t="s">
        <v>225</v>
      </c>
      <c r="B61" s="1" t="s">
        <v>155</v>
      </c>
      <c r="C61" s="41" t="s">
        <v>156</v>
      </c>
      <c r="D61" s="1" t="s">
        <v>348</v>
      </c>
      <c r="E61" s="11" t="n">
        <v>20.4545454545455</v>
      </c>
      <c r="F61" s="57" t="n">
        <v>3.201</v>
      </c>
      <c r="G61" s="55" t="n">
        <v>-17.2535454545455</v>
      </c>
      <c r="H61" s="56" t="n">
        <v>-0.843506666666667</v>
      </c>
      <c r="I61" s="1" t="s">
        <v>340</v>
      </c>
    </row>
    <row r="62" customFormat="false" ht="15" hidden="false" customHeight="true" outlineLevel="0" collapsed="false">
      <c r="A62" s="1" t="s">
        <v>225</v>
      </c>
      <c r="B62" s="1" t="s">
        <v>157</v>
      </c>
      <c r="C62" s="41" t="s">
        <v>158</v>
      </c>
      <c r="D62" s="1" t="s">
        <v>339</v>
      </c>
      <c r="E62" s="11" t="n">
        <v>20.55</v>
      </c>
      <c r="F62" s="57" t="n">
        <v>5.35</v>
      </c>
      <c r="G62" s="55" t="n">
        <v>-15.2</v>
      </c>
      <c r="H62" s="56" t="n">
        <v>-0.739659367396594</v>
      </c>
      <c r="I62" s="1" t="s">
        <v>340</v>
      </c>
    </row>
    <row r="63" customFormat="false" ht="27.75" hidden="false" customHeight="true" outlineLevel="0" collapsed="false">
      <c r="A63" s="1" t="s">
        <v>225</v>
      </c>
      <c r="B63" s="1" t="s">
        <v>161</v>
      </c>
      <c r="C63" s="41" t="s">
        <v>162</v>
      </c>
      <c r="D63" s="1" t="s">
        <v>348</v>
      </c>
      <c r="E63" s="11" t="n">
        <v>20.4545454545455</v>
      </c>
      <c r="F63" s="57" t="n">
        <v>2.67</v>
      </c>
      <c r="G63" s="55" t="n">
        <v>-17.7845454545455</v>
      </c>
      <c r="H63" s="56" t="n">
        <v>-0.869466666666667</v>
      </c>
      <c r="I63" s="1" t="s">
        <v>340</v>
      </c>
    </row>
    <row r="64" customFormat="false" ht="27.75" hidden="false" customHeight="true" outlineLevel="0" collapsed="false">
      <c r="A64" s="1" t="s">
        <v>225</v>
      </c>
      <c r="B64" s="1" t="s">
        <v>163</v>
      </c>
      <c r="C64" s="41" t="s">
        <v>164</v>
      </c>
      <c r="D64" s="1" t="s">
        <v>348</v>
      </c>
      <c r="E64" s="11" t="n">
        <v>27.2727272727273</v>
      </c>
      <c r="F64" s="57" t="n">
        <v>10.69</v>
      </c>
      <c r="G64" s="55" t="n">
        <v>-16.5827272727273</v>
      </c>
      <c r="H64" s="56" t="n">
        <v>-0.608033333333334</v>
      </c>
      <c r="I64" s="1" t="s">
        <v>340</v>
      </c>
    </row>
    <row r="66" customFormat="false" ht="24" hidden="false" customHeight="true" outlineLevel="0" collapsed="false">
      <c r="A66" s="65" t="s">
        <v>350</v>
      </c>
      <c r="B66" s="65"/>
      <c r="C66" s="65"/>
      <c r="D66" s="65"/>
      <c r="E66" s="65"/>
      <c r="F66" s="65"/>
      <c r="G66" s="65"/>
      <c r="H66" s="65"/>
      <c r="I66" s="65"/>
      <c r="J66" s="65"/>
    </row>
    <row r="67" customFormat="false" ht="31.5" hidden="false" customHeight="true" outlineLevel="0" collapsed="false">
      <c r="A67" s="53" t="s">
        <v>0</v>
      </c>
      <c r="B67" s="53" t="s">
        <v>1</v>
      </c>
      <c r="C67" s="53" t="s">
        <v>351</v>
      </c>
      <c r="D67" s="53" t="s">
        <v>352</v>
      </c>
      <c r="E67" s="53" t="s">
        <v>353</v>
      </c>
      <c r="F67" s="53" t="s">
        <v>354</v>
      </c>
      <c r="G67" s="53" t="s">
        <v>355</v>
      </c>
    </row>
    <row r="68" customFormat="false" ht="108.75" hidden="false" customHeight="true" outlineLevel="0" collapsed="false">
      <c r="A68" s="58" t="s">
        <v>7</v>
      </c>
      <c r="B68" s="59" t="s">
        <v>8</v>
      </c>
      <c r="C68" s="58" t="s">
        <v>349</v>
      </c>
      <c r="D68" s="60" t="n">
        <v>9.35454545454545</v>
      </c>
      <c r="E68" s="60" t="n">
        <v>16.93275</v>
      </c>
      <c r="F68" s="62" t="n">
        <v>7.57820454545455</v>
      </c>
      <c r="G68" s="63" t="n">
        <v>0.447547181967167</v>
      </c>
    </row>
    <row r="69" customFormat="false" ht="68.25" hidden="false" customHeight="true" outlineLevel="0" collapsed="false">
      <c r="A69" s="58" t="s">
        <v>141</v>
      </c>
      <c r="B69" s="59" t="s">
        <v>142</v>
      </c>
      <c r="C69" s="58" t="s">
        <v>349</v>
      </c>
      <c r="D69" s="60" t="n">
        <v>21.2</v>
      </c>
      <c r="E69" s="60" t="n">
        <v>33.8555</v>
      </c>
      <c r="F69" s="62" t="n">
        <v>12.6555</v>
      </c>
      <c r="G69" s="63" t="n">
        <v>0.373809277665372</v>
      </c>
    </row>
    <row r="70" customFormat="false" ht="95.25" hidden="false" customHeight="true" outlineLevel="0" collapsed="false">
      <c r="A70" s="58" t="s">
        <v>159</v>
      </c>
      <c r="B70" s="59" t="s">
        <v>160</v>
      </c>
      <c r="C70" s="58" t="s">
        <v>349</v>
      </c>
      <c r="D70" s="60" t="n">
        <v>9.35454545454545</v>
      </c>
      <c r="E70" s="60" t="n">
        <v>12.03275</v>
      </c>
      <c r="F70" s="62" t="n">
        <v>2.67820454545455</v>
      </c>
      <c r="G70" s="63" t="n">
        <v>0.222576264399622</v>
      </c>
    </row>
    <row r="71" customFormat="false" ht="108.75" hidden="false" customHeight="true" outlineLevel="0" collapsed="false">
      <c r="A71" s="58" t="s">
        <v>171</v>
      </c>
      <c r="B71" s="59" t="s">
        <v>172</v>
      </c>
      <c r="C71" s="58" t="s">
        <v>349</v>
      </c>
      <c r="D71" s="60" t="n">
        <v>9.35454545454545</v>
      </c>
      <c r="E71" s="60" t="n">
        <v>12.03275</v>
      </c>
      <c r="F71" s="62" t="n">
        <v>2.67820454545455</v>
      </c>
      <c r="G71" s="63" t="n">
        <v>0.222576264399622</v>
      </c>
    </row>
    <row r="72" customFormat="false" ht="81.75" hidden="false" customHeight="true" outlineLevel="0" collapsed="false">
      <c r="A72" s="58" t="s">
        <v>79</v>
      </c>
      <c r="B72" s="59" t="s">
        <v>80</v>
      </c>
      <c r="C72" s="58" t="s">
        <v>347</v>
      </c>
      <c r="D72" s="60" t="n">
        <v>28.3545454545455</v>
      </c>
      <c r="E72" s="60" t="n">
        <v>33.8555</v>
      </c>
      <c r="F72" s="62" t="n">
        <v>5.5009545454545</v>
      </c>
      <c r="G72" s="63" t="n">
        <v>0.162483334922081</v>
      </c>
    </row>
    <row r="73" customFormat="false" ht="68.25" hidden="false" customHeight="true" outlineLevel="0" collapsed="false">
      <c r="A73" s="58" t="s">
        <v>131</v>
      </c>
      <c r="B73" s="59" t="s">
        <v>132</v>
      </c>
      <c r="C73" s="58" t="s">
        <v>347</v>
      </c>
      <c r="D73" s="60" t="n">
        <v>28.3545454545455</v>
      </c>
      <c r="E73" s="60" t="n">
        <v>30.1455</v>
      </c>
      <c r="F73" s="62" t="n">
        <v>1.7909545454545</v>
      </c>
      <c r="G73" s="63" t="n">
        <v>0.0594103446768007</v>
      </c>
    </row>
    <row r="74" customFormat="false" ht="81.75" hidden="false" customHeight="true" outlineLevel="0" collapsed="false">
      <c r="A74" s="58" t="s">
        <v>167</v>
      </c>
      <c r="B74" s="59" t="s">
        <v>168</v>
      </c>
      <c r="C74" s="58" t="s">
        <v>345</v>
      </c>
      <c r="D74" s="60" t="n">
        <v>32.5</v>
      </c>
      <c r="E74" s="60" t="n">
        <v>33.8555</v>
      </c>
      <c r="F74" s="62" t="n">
        <v>1.3555</v>
      </c>
      <c r="G74" s="63" t="n">
        <v>0.0400378077417258</v>
      </c>
    </row>
  </sheetData>
  <mergeCells count="3">
    <mergeCell ref="A1:J1"/>
    <mergeCell ref="A2:J2"/>
    <mergeCell ref="A66:J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openpyxl</dc:creator>
  <dc:description/>
  <dc:language>en-US</dc:language>
  <cp:lastModifiedBy>Jonathan Sum</cp:lastModifiedBy>
  <dcterms:modified xsi:type="dcterms:W3CDTF">2026-10-15T04:32:50Z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