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4" activeTab="8" autoFilterDateGrouping="1"/>
  </bookViews>
  <sheets>
    <sheet xmlns:r="http://schemas.openxmlformats.org/officeDocument/2006/relationships" name="WAYFINDING QUOTE" sheetId="1" state="visible" r:id="rId1"/>
    <sheet xmlns:r="http://schemas.openxmlformats.org/officeDocument/2006/relationships" name="SUB Price" sheetId="2" state="hidden" r:id="rId2"/>
    <sheet xmlns:r="http://schemas.openxmlformats.org/officeDocument/2006/relationships" name="Freight" sheetId="3" state="hidden" r:id="rId3"/>
    <sheet xmlns:r="http://schemas.openxmlformats.org/officeDocument/2006/relationships" name="Avery Prices" sheetId="4" state="hidden" r:id="rId4"/>
    <sheet xmlns:r="http://schemas.openxmlformats.org/officeDocument/2006/relationships" name="STOCKS from QP" sheetId="5" state="hidden" r:id="rId5"/>
    <sheet xmlns:r="http://schemas.openxmlformats.org/officeDocument/2006/relationships" name="QUICK QUOTE" sheetId="6" state="visible" r:id="rId6"/>
    <sheet xmlns:r="http://schemas.openxmlformats.org/officeDocument/2006/relationships" name="QUICK QUOTE - 1220 Stock" sheetId="7" state="visible" r:id="rId7"/>
    <sheet xmlns:r="http://schemas.openxmlformats.org/officeDocument/2006/relationships" name="QUOTE" sheetId="8" state="visible" r:id="rId8"/>
    <sheet xmlns:r="http://schemas.openxmlformats.org/officeDocument/2006/relationships" name="STOCK" sheetId="9" state="visible" r:id="rId9"/>
    <sheet xmlns:r="http://schemas.openxmlformats.org/officeDocument/2006/relationships" name="REQUEST" sheetId="10" state="visible" r:id="rId10"/>
    <sheet xmlns:r="http://schemas.openxmlformats.org/officeDocument/2006/relationships" name="ITEMS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0">
    <numFmt numFmtId="164" formatCode="_-\$* #,##0.00_-;&quot;-$&quot;* #,##0.00_-;_-\$* \-??_-;_-@_-"/>
    <numFmt numFmtId="165" formatCode="0.0%"/>
    <numFmt numFmtId="166" formatCode="\$#,##0.00"/>
    <numFmt numFmtId="167" formatCode="\$#,##0_);[RED]&quot;($&quot;#,##0\)"/>
    <numFmt numFmtId="168" formatCode="_-[$$-C09]* #,##0.00_-;\-[$$-C09]* #,##0.00_-;_-[$$-C09]* \-??_-;_-@_-"/>
    <numFmt numFmtId="169" formatCode="_(\$* #,##0.00_);_(\$* \(#,##0.00\);_(\$* \-??_);_(@_)"/>
    <numFmt numFmtId="170" formatCode="[$$-C09]#,##0.00;\-[$$-C09]#,##0.00"/>
    <numFmt numFmtId="171" formatCode="\$#,##0.00_);[RED]&quot;($&quot;#,##0.00\)"/>
    <numFmt numFmtId="172" formatCode="0.000"/>
    <numFmt numFmtId="173" formatCode="$#,##0.00"/>
  </numFmts>
  <fonts count="35">
    <font>
      <name val="Calibri"/>
      <charset val="1"/>
      <family val="2"/>
      <color theme="1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4"/>
    </font>
    <font>
      <name val="Calibri"/>
      <charset val="1"/>
      <family val="2"/>
      <color theme="1"/>
      <sz val="16"/>
    </font>
    <font>
      <name val="Calibri"/>
      <charset val="1"/>
      <family val="2"/>
      <color theme="1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color theme="0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1"/>
      <sz val="14"/>
    </font>
    <font>
      <name val="Calibri"/>
      <charset val="1"/>
      <family val="2"/>
      <sz val="14"/>
    </font>
    <font>
      <name val="Calibri"/>
      <charset val="1"/>
      <family val="2"/>
      <sz val="12"/>
    </font>
    <font>
      <name val="Calibri"/>
      <charset val="1"/>
      <family val="2"/>
      <b val="1"/>
      <color theme="1"/>
      <sz val="12"/>
    </font>
    <font>
      <name val="Calibri"/>
      <charset val="1"/>
      <family val="0"/>
      <color rgb="FF000000"/>
      <sz val="12"/>
    </font>
    <font>
      <name val="Aptos Narrow"/>
      <charset val="1"/>
      <family val="2"/>
      <color rgb="FF000000"/>
      <sz val="12"/>
    </font>
    <font>
      <name val="Calibri"/>
      <charset val="1"/>
      <family val="0"/>
      <i val="1"/>
      <color rgb="FF595959"/>
      <sz val="11"/>
    </font>
    <font>
      <name val="Calibri"/>
      <charset val="1"/>
      <family val="2"/>
      <b val="1"/>
      <color theme="1"/>
      <sz val="18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theme="1"/>
      <sz val="13"/>
    </font>
    <font>
      <name val="Calibri"/>
      <charset val="1"/>
      <family val="2"/>
      <b val="1"/>
      <color rgb="FF000000"/>
      <sz val="13"/>
      <u val="single"/>
    </font>
    <font>
      <name val="Calibri"/>
      <charset val="1"/>
      <family val="2"/>
      <color rgb="FF000000"/>
      <sz val="13"/>
    </font>
    <font>
      <name val="Calibri"/>
      <charset val="1"/>
      <family val="2"/>
      <color rgb="FF000000"/>
      <sz val="12"/>
    </font>
    <font>
      <name val="Aptos"/>
      <charset val="1"/>
      <family val="0"/>
      <i val="1"/>
      <color rgb="FF000000"/>
      <sz val="12"/>
    </font>
    <font>
      <name val="Calibri"/>
      <charset val="1"/>
      <family val="2"/>
      <color rgb="FF212121"/>
      <sz val="12"/>
    </font>
    <font>
      <name val="Calibri"/>
      <charset val="1"/>
      <family val="2"/>
      <color rgb="FF000000"/>
      <sz val="11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color rgb="FF212121"/>
      <sz val="11"/>
    </font>
    <font>
      <name val="Calibri"/>
      <charset val="1"/>
      <family val="2"/>
      <b val="1"/>
      <color rgb="FF212121"/>
      <sz val="11"/>
    </font>
    <font>
      <name val="Aptos"/>
      <charset val="1"/>
      <family val="0"/>
      <color rgb="FF000000"/>
      <sz val="12"/>
    </font>
    <font>
      <name val="Calibri"/>
      <charset val="1"/>
      <family val="2"/>
      <b val="1"/>
      <color theme="1"/>
      <sz val="24"/>
    </font>
    <font>
      <name val="Calibri"/>
      <charset val="1"/>
      <family val="2"/>
      <color rgb="FF111827"/>
      <sz val="12"/>
    </font>
    <font>
      <name val="Calibri"/>
      <charset val="1"/>
      <family val="2"/>
      <color theme="10"/>
      <sz val="12"/>
      <u val="single"/>
    </font>
    <font>
      <b val="1"/>
      <sz val="13"/>
    </font>
    <font>
      <b val="1"/>
    </font>
  </fonts>
  <fills count="19">
    <fill>
      <patternFill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C4BD97"/>
      </patternFill>
    </fill>
    <fill>
      <patternFill patternType="solid">
        <fgColor theme="7" tint="0.7999000000000001"/>
        <bgColor rgb="FFE4DFEC"/>
      </patternFill>
    </fill>
    <fill>
      <patternFill patternType="solid">
        <fgColor theme="9" tint="0.7999000000000001"/>
        <bgColor rgb="FFFDE9D9"/>
      </patternFill>
    </fill>
    <fill>
      <patternFill patternType="solid">
        <fgColor rgb="FFFDE9D9"/>
        <bgColor rgb="FFFDEADA"/>
      </patternFill>
    </fill>
    <fill>
      <patternFill patternType="solid">
        <fgColor theme="1" tint="0.3499"/>
        <bgColor rgb="FF808080"/>
      </patternFill>
    </fill>
    <fill>
      <patternFill patternType="solid">
        <fgColor rgb="FFE4DFEC"/>
        <bgColor rgb="FFE6E0EC"/>
      </patternFill>
    </fill>
    <fill>
      <patternFill patternType="solid">
        <fgColor theme="0"/>
        <bgColor rgb="FFF2F2F2"/>
      </patternFill>
    </fill>
    <fill>
      <patternFill patternType="solid">
        <fgColor theme="0" tint="-0.5"/>
        <bgColor rgb="FF969696"/>
      </patternFill>
    </fill>
    <fill>
      <patternFill patternType="solid">
        <fgColor theme="8" tint="0.5999"/>
        <bgColor rgb="FF99CCFF"/>
      </patternFill>
    </fill>
    <fill>
      <patternFill patternType="solid">
        <fgColor theme="0" tint="-0.05"/>
        <bgColor rgb="FFFDEADA"/>
      </patternFill>
    </fill>
    <fill>
      <patternFill patternType="solid">
        <fgColor theme="6" tint="0.5999"/>
        <bgColor rgb="FFE4DFEC"/>
      </patternFill>
    </fill>
    <fill>
      <patternFill patternType="solid">
        <fgColor rgb="FF00FFFF"/>
        <bgColor rgb="FF00FFFF"/>
      </patternFill>
    </fill>
    <fill>
      <patternFill patternType="solid">
        <fgColor theme="2" tint="-0.25"/>
        <bgColor rgb="FFD7E4BD"/>
      </patternFill>
    </fill>
    <fill>
      <patternFill patternType="solid">
        <fgColor rgb="00D9D9D9"/>
      </patternFill>
    </fill>
    <fill>
      <patternFill patternType="solid">
        <fgColor rgb="00FFF2CC"/>
      </patternFill>
    </fill>
  </fills>
  <borders count="8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164" fontId="0" fillId="0" borderId="0" applyAlignment="1">
      <alignment horizontal="general" vertical="bottom"/>
    </xf>
    <xf numFmtId="42" fontId="3" fillId="0" borderId="0"/>
    <xf numFmtId="9" fontId="3" fillId="0" borderId="0"/>
    <xf numFmtId="164" fontId="0" fillId="0" borderId="0" applyAlignment="1">
      <alignment horizontal="general" vertical="bottom"/>
    </xf>
    <xf numFmtId="164" fontId="0" fillId="0" borderId="0" applyAlignment="1">
      <alignment horizontal="general" vertical="bottom"/>
    </xf>
  </cellStyleXfs>
  <cellXfs count="36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4" fillId="0" borderId="1" applyAlignment="1" pivotButton="0" quotePrefix="0" xfId="0">
      <alignment horizontal="general" vertical="center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general" vertical="center"/>
    </xf>
    <xf numFmtId="2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9" fillId="3" borderId="0" applyAlignment="1" pivotButton="0" quotePrefix="0" xfId="0">
      <alignment horizontal="general" vertical="bottom" wrapText="1"/>
    </xf>
    <xf numFmtId="0" fontId="9" fillId="4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left" vertical="bottom"/>
    </xf>
    <xf numFmtId="0" fontId="6" fillId="3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0" fontId="7" fillId="4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general" vertical="center"/>
    </xf>
    <xf numFmtId="0" fontId="10" fillId="0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center" wrapText="1"/>
    </xf>
    <xf numFmtId="164" fontId="4" fillId="0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11" fillId="0" borderId="1" applyAlignment="1" pivotButton="0" quotePrefix="0" xfId="0">
      <alignment horizontal="general" vertical="center"/>
    </xf>
    <xf numFmtId="0" fontId="12" fillId="0" borderId="1" applyAlignment="1" pivotButton="0" quotePrefix="0" xfId="0">
      <alignment horizontal="general" vertical="center"/>
    </xf>
    <xf numFmtId="0" fontId="12" fillId="0" borderId="1" applyAlignment="1" pivotButton="0" quotePrefix="0" xfId="0">
      <alignment horizontal="general" vertical="top"/>
    </xf>
    <xf numFmtId="0" fontId="12" fillId="0" borderId="0" applyAlignment="1" pivotButton="0" quotePrefix="0" xfId="0">
      <alignment horizontal="general" vertical="top"/>
    </xf>
    <xf numFmtId="0" fontId="12" fillId="0" borderId="0" applyAlignment="1" pivotButton="0" quotePrefix="0" xfId="0">
      <alignment horizontal="general" vertical="center"/>
    </xf>
    <xf numFmtId="0" fontId="12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 wrapText="1"/>
    </xf>
    <xf numFmtId="0" fontId="13" fillId="0" borderId="0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right" vertical="center" wrapText="1"/>
    </xf>
    <xf numFmtId="166" fontId="13" fillId="6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top" wrapText="1"/>
    </xf>
    <xf numFmtId="0" fontId="0" fillId="8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left" vertical="center"/>
    </xf>
    <xf numFmtId="0" fontId="17" fillId="9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7" fillId="5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/>
    </xf>
    <xf numFmtId="0" fontId="0" fillId="9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center"/>
    </xf>
    <xf numFmtId="0" fontId="18" fillId="0" borderId="1" applyAlignment="1" pivotButton="0" quotePrefix="0" xfId="0">
      <alignment horizontal="left" vertical="center"/>
    </xf>
    <xf numFmtId="0" fontId="18" fillId="9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9" fillId="11" borderId="2" applyAlignment="1" pivotButton="0" quotePrefix="0" xfId="0">
      <alignment horizontal="center" vertical="center"/>
    </xf>
    <xf numFmtId="0" fontId="20" fillId="0" borderId="1" applyAlignment="1" pivotButton="0" quotePrefix="0" xfId="0">
      <alignment horizontal="general" vertical="center"/>
    </xf>
    <xf numFmtId="0" fontId="21" fillId="12" borderId="1" applyAlignment="1" pivotButton="0" quotePrefix="0" xfId="0">
      <alignment horizontal="general" vertical="center"/>
    </xf>
    <xf numFmtId="164" fontId="21" fillId="12" borderId="1" applyAlignment="1" pivotButton="0" quotePrefix="0" xfId="17">
      <alignment horizontal="general" vertical="center"/>
    </xf>
    <xf numFmtId="0" fontId="19" fillId="0" borderId="1" applyAlignment="1" pivotButton="0" quotePrefix="0" xfId="0">
      <alignment horizontal="general" vertical="center" wrapText="1"/>
    </xf>
    <xf numFmtId="164" fontId="19" fillId="0" borderId="1" applyAlignment="1" pivotButton="0" quotePrefix="0" xfId="17">
      <alignment horizontal="general" vertical="center" wrapText="1"/>
    </xf>
    <xf numFmtId="0" fontId="20" fillId="13" borderId="1" applyAlignment="1" pivotButton="0" quotePrefix="0" xfId="0">
      <alignment horizontal="general" vertical="center"/>
    </xf>
    <xf numFmtId="164" fontId="20" fillId="13" borderId="1" applyAlignment="1" pivotButton="0" quotePrefix="0" xfId="17">
      <alignment horizontal="general" vertical="center"/>
    </xf>
    <xf numFmtId="0" fontId="21" fillId="0" borderId="1" applyAlignment="1" pivotButton="0" quotePrefix="0" xfId="0">
      <alignment horizontal="general" vertical="center"/>
    </xf>
    <xf numFmtId="164" fontId="21" fillId="5" borderId="1" applyAlignment="1" pivotButton="0" quotePrefix="0" xfId="17">
      <alignment horizontal="general" vertical="center"/>
    </xf>
    <xf numFmtId="164" fontId="21" fillId="0" borderId="1" applyAlignment="1" pivotButton="0" quotePrefix="0" xfId="17">
      <alignment horizontal="general" vertical="center"/>
    </xf>
    <xf numFmtId="164" fontId="21" fillId="10" borderId="1" applyAlignment="1" pivotButton="0" quotePrefix="0" xfId="17">
      <alignment horizontal="general" vertical="center"/>
    </xf>
    <xf numFmtId="0" fontId="19" fillId="0" borderId="1" applyAlignment="1" pivotButton="0" quotePrefix="0" xfId="0">
      <alignment horizontal="general" vertical="center"/>
    </xf>
    <xf numFmtId="164" fontId="19" fillId="0" borderId="1" applyAlignment="1" pivotButton="0" quotePrefix="0" xfId="17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19" fillId="14" borderId="1" applyAlignment="1" pivotButton="0" quotePrefix="0" xfId="0">
      <alignment horizontal="general" vertical="center"/>
    </xf>
    <xf numFmtId="164" fontId="19" fillId="14" borderId="1" applyAlignment="1" pivotButton="0" quotePrefix="0" xfId="17">
      <alignment horizontal="center" vertical="center"/>
    </xf>
    <xf numFmtId="0" fontId="21" fillId="3" borderId="1" applyAlignment="1" pivotButton="0" quotePrefix="0" xfId="0">
      <alignment horizontal="general" vertical="center"/>
    </xf>
    <xf numFmtId="164" fontId="21" fillId="3" borderId="1" applyAlignment="1" pivotButton="0" quotePrefix="0" xfId="17">
      <alignment horizontal="general" vertical="center"/>
    </xf>
    <xf numFmtId="0" fontId="21" fillId="0" borderId="1" applyAlignment="1" pivotButton="0" quotePrefix="0" xfId="0">
      <alignment horizontal="general" vertical="center" wrapText="1"/>
    </xf>
    <xf numFmtId="164" fontId="21" fillId="0" borderId="1" applyAlignment="1" pivotButton="0" quotePrefix="0" xfId="17">
      <alignment horizontal="general" vertical="center" wrapText="1"/>
    </xf>
    <xf numFmtId="0" fontId="21" fillId="3" borderId="1" applyAlignment="1" pivotButton="0" quotePrefix="0" xfId="0">
      <alignment horizontal="general" vertical="center" wrapText="1"/>
    </xf>
    <xf numFmtId="0" fontId="21" fillId="0" borderId="1" applyAlignment="1" pivotButton="0" quotePrefix="0" xfId="0">
      <alignment horizontal="left" vertical="center" wrapText="1"/>
    </xf>
    <xf numFmtId="164" fontId="21" fillId="0" borderId="1" applyAlignment="1" pivotButton="0" quotePrefix="0" xfId="17">
      <alignment horizontal="left" vertical="center" wrapText="1"/>
    </xf>
    <xf numFmtId="164" fontId="21" fillId="0" borderId="1" applyAlignment="1" pivotButton="0" quotePrefix="0" xfId="0">
      <alignment horizontal="general" vertical="center"/>
    </xf>
    <xf numFmtId="169" fontId="21" fillId="0" borderId="1" applyAlignment="1" pivotButton="0" quotePrefix="0" xfId="0">
      <alignment horizontal="general" vertical="center"/>
    </xf>
    <xf numFmtId="169" fontId="21" fillId="0" borderId="2" applyAlignment="1" pivotButton="0" quotePrefix="0" xfId="0">
      <alignment horizontal="general" vertical="center"/>
    </xf>
    <xf numFmtId="0" fontId="13" fillId="0" borderId="1" applyAlignment="1" pivotButton="0" quotePrefix="0" xfId="0">
      <alignment horizontal="right" vertical="center" wrapText="1"/>
    </xf>
    <xf numFmtId="168" fontId="13" fillId="0" borderId="1" applyAlignment="1" pivotButton="0" quotePrefix="0" xfId="0">
      <alignment horizontal="right" vertical="bottom"/>
    </xf>
    <xf numFmtId="169" fontId="0" fillId="0" borderId="0" applyAlignment="1" pivotButton="0" quotePrefix="0" xfId="0">
      <alignment horizontal="general" vertical="bottom"/>
    </xf>
    <xf numFmtId="166" fontId="13" fillId="5" borderId="0" applyAlignment="1" pivotButton="0" quotePrefix="0" xfId="0">
      <alignment horizontal="general" vertical="bottom"/>
    </xf>
    <xf numFmtId="166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right" vertical="center"/>
    </xf>
    <xf numFmtId="170" fontId="22" fillId="15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general" vertical="center"/>
    </xf>
    <xf numFmtId="164" fontId="0" fillId="0" borderId="0" applyAlignment="1" pivotButton="0" quotePrefix="0" xfId="17">
      <alignment horizontal="left" vertical="center"/>
    </xf>
    <xf numFmtId="0" fontId="0" fillId="0" borderId="0" applyAlignment="1" pivotButton="0" quotePrefix="0" xfId="17">
      <alignment horizontal="center" vertical="center"/>
    </xf>
    <xf numFmtId="169" fontId="0" fillId="0" borderId="0" applyAlignment="1" pivotButton="0" quotePrefix="0" xfId="0">
      <alignment horizontal="left" vertical="center"/>
    </xf>
    <xf numFmtId="169" fontId="0" fillId="15" borderId="0" applyAlignment="1" pivotButton="0" quotePrefix="0" xfId="0">
      <alignment horizontal="left" vertical="center"/>
    </xf>
    <xf numFmtId="0" fontId="22" fillId="15" borderId="0" applyAlignment="1" pivotButton="0" quotePrefix="0" xfId="0">
      <alignment horizontal="general" vertical="center"/>
    </xf>
    <xf numFmtId="164" fontId="0" fillId="15" borderId="0" applyAlignment="1" pivotButton="0" quotePrefix="0" xfId="17">
      <alignment horizontal="left" vertical="center"/>
    </xf>
    <xf numFmtId="0" fontId="13" fillId="0" borderId="0" applyAlignment="1" pivotButton="0" quotePrefix="0" xfId="0">
      <alignment horizontal="general" vertical="center"/>
    </xf>
    <xf numFmtId="0" fontId="23" fillId="0" borderId="0" applyAlignment="1" pivotButton="0" quotePrefix="0" xfId="0">
      <alignment horizontal="general" vertical="bottom" wrapText="1" readingOrder="1"/>
    </xf>
    <xf numFmtId="0" fontId="23" fillId="0" borderId="0" applyAlignment="1" pivotButton="0" quotePrefix="0" xfId="0">
      <alignment horizontal="general" vertical="bottom" wrapText="1"/>
    </xf>
    <xf numFmtId="0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general" vertical="center" wrapText="1"/>
    </xf>
    <xf numFmtId="0" fontId="22" fillId="0" borderId="1" applyAlignment="1" pivotButton="0" quotePrefix="0" xfId="0">
      <alignment horizontal="general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4" fillId="3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left" vertical="center"/>
    </xf>
    <xf numFmtId="168" fontId="0" fillId="0" borderId="1" applyAlignment="1" pivotButton="0" quotePrefix="0" xfId="0">
      <alignment horizontal="left" vertical="center"/>
    </xf>
    <xf numFmtId="168" fontId="0" fillId="3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general" vertical="bottom" wrapText="1"/>
    </xf>
    <xf numFmtId="168" fontId="0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general" vertical="center"/>
    </xf>
    <xf numFmtId="170" fontId="0" fillId="0" borderId="1" applyAlignment="1" pivotButton="0" quotePrefix="0" xfId="0">
      <alignment horizontal="center" vertical="center"/>
    </xf>
    <xf numFmtId="170" fontId="0" fillId="3" borderId="1" applyAlignment="1" pivotButton="0" quotePrefix="0" xfId="0">
      <alignment horizontal="center" vertical="center"/>
    </xf>
    <xf numFmtId="170" fontId="0" fillId="0" borderId="0" applyAlignment="1" pivotButton="0" quotePrefix="0" xfId="0">
      <alignment horizontal="center" vertical="center"/>
    </xf>
    <xf numFmtId="170" fontId="0" fillId="0" borderId="0" applyAlignment="1" pivotButton="0" quotePrefix="0" xfId="0">
      <alignment horizontal="general" vertical="center"/>
    </xf>
    <xf numFmtId="17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bottom"/>
    </xf>
    <xf numFmtId="168" fontId="0" fillId="0" borderId="0" applyAlignment="1" pivotButton="0" quotePrefix="0" xfId="0">
      <alignment horizontal="general" vertical="center"/>
    </xf>
    <xf numFmtId="168" fontId="13" fillId="0" borderId="0" applyAlignment="1" pivotButton="0" quotePrefix="0" xfId="0">
      <alignment horizontal="general" vertical="center"/>
    </xf>
    <xf numFmtId="0" fontId="25" fillId="0" borderId="1" applyAlignment="1" pivotButton="0" quotePrefix="0" xfId="0">
      <alignment horizontal="general" vertical="center" wrapText="1" readingOrder="1"/>
    </xf>
    <xf numFmtId="168" fontId="25" fillId="0" borderId="3" applyAlignment="1" pivotButton="0" quotePrefix="0" xfId="0">
      <alignment horizontal="general" vertical="center" wrapText="1" readingOrder="1"/>
    </xf>
    <xf numFmtId="168" fontId="26" fillId="0" borderId="1" applyAlignment="1" pivotButton="0" quotePrefix="0" xfId="0">
      <alignment horizontal="general" vertical="center" wrapText="1" readingOrder="1"/>
    </xf>
    <xf numFmtId="0" fontId="0" fillId="0" borderId="3" applyAlignment="1" pivotButton="0" quotePrefix="0" xfId="0">
      <alignment horizontal="center" vertical="center"/>
    </xf>
    <xf numFmtId="0" fontId="25" fillId="0" borderId="1" applyAlignment="1" pivotButton="0" quotePrefix="0" xfId="0">
      <alignment horizontal="general" vertical="center" wrapText="1"/>
    </xf>
    <xf numFmtId="168" fontId="25" fillId="0" borderId="3" applyAlignment="1" pivotButton="0" quotePrefix="0" xfId="0">
      <alignment horizontal="general" vertical="center" wrapText="1"/>
    </xf>
    <xf numFmtId="168" fontId="26" fillId="0" borderId="1" applyAlignment="1" pivotButton="0" quotePrefix="0" xfId="0">
      <alignment horizontal="general" vertical="center" wrapText="1"/>
    </xf>
    <xf numFmtId="0" fontId="0" fillId="3" borderId="3" applyAlignment="1" pivotButton="0" quotePrefix="0" xfId="0">
      <alignment horizontal="center" vertical="center"/>
    </xf>
    <xf numFmtId="0" fontId="0" fillId="3" borderId="1" applyAlignment="1" pivotButton="0" quotePrefix="0" xfId="0">
      <alignment horizontal="general" vertical="center"/>
    </xf>
    <xf numFmtId="0" fontId="0" fillId="3" borderId="0" applyAlignment="1" pivotButton="0" quotePrefix="0" xfId="0">
      <alignment horizontal="center" vertical="center"/>
    </xf>
    <xf numFmtId="0" fontId="27" fillId="0" borderId="1" applyAlignment="1" pivotButton="0" quotePrefix="0" xfId="0">
      <alignment horizontal="general" vertical="center" wrapText="1"/>
    </xf>
    <xf numFmtId="168" fontId="27" fillId="0" borderId="3" applyAlignment="1" pivotButton="0" quotePrefix="0" xfId="0">
      <alignment horizontal="general" vertical="center" wrapText="1"/>
    </xf>
    <xf numFmtId="168" fontId="28" fillId="0" borderId="1" applyAlignment="1" pivotButton="0" quotePrefix="0" xfId="0">
      <alignment horizontal="general" vertical="center" wrapText="1"/>
    </xf>
    <xf numFmtId="0" fontId="25" fillId="0" borderId="0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0" fillId="3" borderId="4" applyAlignment="1" pivotButton="0" quotePrefix="0" xfId="0">
      <alignment horizontal="general" vertical="center"/>
    </xf>
    <xf numFmtId="0" fontId="0" fillId="16" borderId="1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 wrapText="1" readingOrder="1"/>
    </xf>
    <xf numFmtId="0" fontId="0" fillId="0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left" vertical="bottom" wrapText="1"/>
    </xf>
    <xf numFmtId="0" fontId="13" fillId="15" borderId="0" applyAlignment="1" pivotButton="0" quotePrefix="0" xfId="0">
      <alignment horizontal="center" vertical="center"/>
    </xf>
    <xf numFmtId="0" fontId="13" fillId="15" borderId="1" applyAlignment="1" pivotButton="0" quotePrefix="0" xfId="0">
      <alignment horizontal="general" vertical="center"/>
    </xf>
    <xf numFmtId="0" fontId="13" fillId="15" borderId="1" applyAlignment="1" pivotButton="0" quotePrefix="0" xfId="0">
      <alignment horizontal="general" vertical="center" wrapText="1"/>
    </xf>
    <xf numFmtId="0" fontId="13" fillId="15" borderId="0" applyAlignment="1" pivotButton="0" quotePrefix="0" xfId="0">
      <alignment horizontal="general" vertical="center"/>
    </xf>
    <xf numFmtId="0" fontId="30" fillId="0" borderId="0" applyAlignment="1" pivotButton="0" quotePrefix="0" xfId="0">
      <alignment horizontal="center" vertical="center"/>
    </xf>
    <xf numFmtId="0" fontId="31" fillId="0" borderId="1" applyAlignment="1" pivotButton="0" quotePrefix="0" xfId="0">
      <alignment horizontal="general" vertical="center"/>
    </xf>
    <xf numFmtId="171" fontId="0" fillId="0" borderId="1" applyAlignment="1" pivotButton="0" quotePrefix="0" xfId="0">
      <alignment horizontal="general" vertical="center"/>
    </xf>
    <xf numFmtId="164" fontId="0" fillId="0" borderId="1" applyAlignment="1" pivotButton="0" quotePrefix="0" xfId="17">
      <alignment horizontal="general" vertical="center"/>
    </xf>
    <xf numFmtId="0" fontId="32" fillId="0" borderId="1" applyAlignment="1" pivotButton="0" quotePrefix="0" xfId="0">
      <alignment horizontal="general" vertical="center" wrapText="1"/>
    </xf>
    <xf numFmtId="164" fontId="0" fillId="0" borderId="0" applyAlignment="1" pivotButton="0" quotePrefix="0" xfId="17">
      <alignment horizontal="general" vertical="bottom"/>
    </xf>
    <xf numFmtId="0" fontId="0" fillId="0" borderId="0" pivotButton="0" quotePrefix="0" xfId="0"/>
    <xf numFmtId="0" fontId="33" fillId="0" borderId="0" pivotButton="0" quotePrefix="0" xfId="0"/>
    <xf numFmtId="0" fontId="34" fillId="17" borderId="0" applyAlignment="1" pivotButton="0" quotePrefix="0" xfId="0">
      <alignment wrapText="1"/>
    </xf>
    <xf numFmtId="172" fontId="0" fillId="0" borderId="0" pivotButton="0" quotePrefix="0" xfId="0"/>
    <xf numFmtId="0" fontId="34" fillId="0" borderId="0" pivotButton="0" quotePrefix="0" xfId="0"/>
    <xf numFmtId="172" fontId="34" fillId="0" borderId="0" pivotButton="0" quotePrefix="0" xfId="0"/>
    <xf numFmtId="0" fontId="0" fillId="18" borderId="0" pivotButton="0" quotePrefix="0" xfId="0"/>
    <xf numFmtId="173" fontId="0" fillId="0" borderId="0" pivotButton="0" quotePrefix="0" xfId="0"/>
    <xf numFmtId="173" fontId="34" fillId="0" borderId="0" pivotButton="0" quotePrefix="0" xfId="0"/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4" fillId="0" borderId="1" applyAlignment="1" pivotButton="0" quotePrefix="0" xfId="0">
      <alignment horizontal="general" vertical="center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general" vertical="center"/>
    </xf>
    <xf numFmtId="2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9" fillId="3" borderId="0" applyAlignment="1" pivotButton="0" quotePrefix="0" xfId="0">
      <alignment horizontal="general" vertical="bottom" wrapText="1"/>
    </xf>
    <xf numFmtId="0" fontId="9" fillId="4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left" vertical="bottom"/>
    </xf>
    <xf numFmtId="0" fontId="6" fillId="3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0" fontId="7" fillId="4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center"/>
    </xf>
    <xf numFmtId="0" fontId="10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general" vertical="center"/>
    </xf>
    <xf numFmtId="0" fontId="10" fillId="0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center" wrapText="1"/>
    </xf>
    <xf numFmtId="164" fontId="4" fillId="0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11" fillId="0" borderId="1" applyAlignment="1" pivotButton="0" quotePrefix="0" xfId="0">
      <alignment horizontal="general" vertical="center"/>
    </xf>
    <xf numFmtId="0" fontId="12" fillId="0" borderId="1" applyAlignment="1" pivotButton="0" quotePrefix="0" xfId="0">
      <alignment horizontal="general" vertical="center"/>
    </xf>
    <xf numFmtId="0" fontId="12" fillId="0" borderId="1" applyAlignment="1" pivotButton="0" quotePrefix="0" xfId="0">
      <alignment horizontal="general" vertical="top"/>
    </xf>
    <xf numFmtId="0" fontId="12" fillId="0" borderId="0" applyAlignment="1" pivotButton="0" quotePrefix="0" xfId="0">
      <alignment horizontal="general" vertical="top"/>
    </xf>
    <xf numFmtId="0" fontId="12" fillId="0" borderId="0" applyAlignment="1" pivotButton="0" quotePrefix="0" xfId="0">
      <alignment horizontal="general" vertical="center"/>
    </xf>
    <xf numFmtId="0" fontId="12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 wrapText="1"/>
    </xf>
    <xf numFmtId="0" fontId="13" fillId="0" borderId="0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right" vertical="center" wrapText="1"/>
    </xf>
    <xf numFmtId="166" fontId="13" fillId="6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top" wrapText="1"/>
    </xf>
    <xf numFmtId="0" fontId="0" fillId="8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7" fillId="9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7" fillId="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center"/>
    </xf>
    <xf numFmtId="0" fontId="0" fillId="9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center"/>
    </xf>
    <xf numFmtId="0" fontId="18" fillId="0" borderId="1" applyAlignment="1" pivotButton="0" quotePrefix="0" xfId="0">
      <alignment horizontal="left" vertical="center"/>
    </xf>
    <xf numFmtId="0" fontId="18" fillId="9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9" fillId="11" borderId="2" applyAlignment="1" pivotButton="0" quotePrefix="0" xfId="0">
      <alignment horizontal="center" vertical="center"/>
    </xf>
    <xf numFmtId="0" fontId="20" fillId="0" borderId="1" applyAlignment="1" pivotButton="0" quotePrefix="0" xfId="0">
      <alignment horizontal="general" vertical="center"/>
    </xf>
    <xf numFmtId="0" fontId="21" fillId="12" borderId="1" applyAlignment="1" pivotButton="0" quotePrefix="0" xfId="0">
      <alignment horizontal="general" vertical="center"/>
    </xf>
    <xf numFmtId="164" fontId="21" fillId="12" borderId="1" applyAlignment="1" pivotButton="0" quotePrefix="0" xfId="17">
      <alignment horizontal="general" vertical="center"/>
    </xf>
    <xf numFmtId="0" fontId="19" fillId="0" borderId="1" applyAlignment="1" pivotButton="0" quotePrefix="0" xfId="0">
      <alignment horizontal="general" vertical="center" wrapText="1"/>
    </xf>
    <xf numFmtId="164" fontId="19" fillId="0" borderId="1" applyAlignment="1" pivotButton="0" quotePrefix="0" xfId="17">
      <alignment horizontal="general" vertical="center" wrapText="1"/>
    </xf>
    <xf numFmtId="0" fontId="20" fillId="13" borderId="1" applyAlignment="1" pivotButton="0" quotePrefix="0" xfId="0">
      <alignment horizontal="general" vertical="center"/>
    </xf>
    <xf numFmtId="164" fontId="20" fillId="13" borderId="1" applyAlignment="1" pivotButton="0" quotePrefix="0" xfId="17">
      <alignment horizontal="general" vertical="center"/>
    </xf>
    <xf numFmtId="0" fontId="21" fillId="0" borderId="1" applyAlignment="1" pivotButton="0" quotePrefix="0" xfId="0">
      <alignment horizontal="general" vertical="center"/>
    </xf>
    <xf numFmtId="164" fontId="21" fillId="5" borderId="1" applyAlignment="1" pivotButton="0" quotePrefix="0" xfId="17">
      <alignment horizontal="general" vertical="center"/>
    </xf>
    <xf numFmtId="164" fontId="21" fillId="0" borderId="1" applyAlignment="1" pivotButton="0" quotePrefix="0" xfId="17">
      <alignment horizontal="general" vertical="center"/>
    </xf>
    <xf numFmtId="164" fontId="21" fillId="10" borderId="1" applyAlignment="1" pivotButton="0" quotePrefix="0" xfId="17">
      <alignment horizontal="general" vertical="center"/>
    </xf>
    <xf numFmtId="0" fontId="19" fillId="0" borderId="1" applyAlignment="1" pivotButton="0" quotePrefix="0" xfId="0">
      <alignment horizontal="general" vertical="center"/>
    </xf>
    <xf numFmtId="164" fontId="19" fillId="0" borderId="1" applyAlignment="1" pivotButton="0" quotePrefix="0" xfId="17">
      <alignment horizontal="general" vertical="center"/>
    </xf>
    <xf numFmtId="0" fontId="19" fillId="14" borderId="1" applyAlignment="1" pivotButton="0" quotePrefix="0" xfId="0">
      <alignment horizontal="general" vertical="center"/>
    </xf>
    <xf numFmtId="164" fontId="19" fillId="14" borderId="1" applyAlignment="1" pivotButton="0" quotePrefix="0" xfId="17">
      <alignment horizontal="center" vertical="center"/>
    </xf>
    <xf numFmtId="0" fontId="21" fillId="3" borderId="1" applyAlignment="1" pivotButton="0" quotePrefix="0" xfId="0">
      <alignment horizontal="general" vertical="center"/>
    </xf>
    <xf numFmtId="164" fontId="21" fillId="3" borderId="1" applyAlignment="1" pivotButton="0" quotePrefix="0" xfId="17">
      <alignment horizontal="general" vertical="center"/>
    </xf>
    <xf numFmtId="0" fontId="21" fillId="0" borderId="1" applyAlignment="1" pivotButton="0" quotePrefix="0" xfId="0">
      <alignment horizontal="general" vertical="center" wrapText="1"/>
    </xf>
    <xf numFmtId="164" fontId="21" fillId="0" borderId="1" applyAlignment="1" pivotButton="0" quotePrefix="0" xfId="17">
      <alignment horizontal="general" vertical="center" wrapText="1"/>
    </xf>
    <xf numFmtId="0" fontId="21" fillId="3" borderId="1" applyAlignment="1" pivotButton="0" quotePrefix="0" xfId="0">
      <alignment horizontal="general" vertical="center" wrapText="1"/>
    </xf>
    <xf numFmtId="0" fontId="21" fillId="0" borderId="1" applyAlignment="1" pivotButton="0" quotePrefix="0" xfId="0">
      <alignment horizontal="left" vertical="center" wrapText="1"/>
    </xf>
    <xf numFmtId="164" fontId="21" fillId="0" borderId="1" applyAlignment="1" pivotButton="0" quotePrefix="0" xfId="17">
      <alignment horizontal="left" vertical="center" wrapText="1"/>
    </xf>
    <xf numFmtId="164" fontId="21" fillId="0" borderId="1" applyAlignment="1" pivotButton="0" quotePrefix="0" xfId="0">
      <alignment horizontal="general" vertical="center"/>
    </xf>
    <xf numFmtId="169" fontId="21" fillId="0" borderId="1" applyAlignment="1" pivotButton="0" quotePrefix="0" xfId="0">
      <alignment horizontal="general" vertical="center"/>
    </xf>
    <xf numFmtId="169" fontId="21" fillId="0" borderId="2" applyAlignment="1" pivotButton="0" quotePrefix="0" xfId="0">
      <alignment horizontal="general" vertical="center"/>
    </xf>
    <xf numFmtId="0" fontId="13" fillId="0" borderId="1" applyAlignment="1" pivotButton="0" quotePrefix="0" xfId="0">
      <alignment horizontal="right" vertical="center" wrapText="1"/>
    </xf>
    <xf numFmtId="168" fontId="13" fillId="0" borderId="1" applyAlignment="1" pivotButton="0" quotePrefix="0" xfId="0">
      <alignment horizontal="right" vertical="bottom"/>
    </xf>
    <xf numFmtId="169" fontId="0" fillId="0" borderId="0" applyAlignment="1" pivotButton="0" quotePrefix="0" xfId="0">
      <alignment horizontal="general" vertical="bottom"/>
    </xf>
    <xf numFmtId="166" fontId="13" fillId="5" borderId="0" applyAlignment="1" pivotButton="0" quotePrefix="0" xfId="0">
      <alignment horizontal="general" vertical="bottom"/>
    </xf>
    <xf numFmtId="166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right" vertical="center"/>
    </xf>
    <xf numFmtId="170" fontId="22" fillId="15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general" vertical="center"/>
    </xf>
    <xf numFmtId="164" fontId="0" fillId="0" borderId="0" applyAlignment="1" pivotButton="0" quotePrefix="0" xfId="17">
      <alignment horizontal="left" vertical="center"/>
    </xf>
    <xf numFmtId="0" fontId="0" fillId="0" borderId="0" applyAlignment="1" pivotButton="0" quotePrefix="0" xfId="17">
      <alignment horizontal="center" vertical="center"/>
    </xf>
    <xf numFmtId="169" fontId="0" fillId="0" borderId="0" applyAlignment="1" pivotButton="0" quotePrefix="0" xfId="0">
      <alignment horizontal="left" vertical="center"/>
    </xf>
    <xf numFmtId="169" fontId="0" fillId="15" borderId="0" applyAlignment="1" pivotButton="0" quotePrefix="0" xfId="0">
      <alignment horizontal="left" vertical="center"/>
    </xf>
    <xf numFmtId="0" fontId="22" fillId="15" borderId="0" applyAlignment="1" pivotButton="0" quotePrefix="0" xfId="0">
      <alignment horizontal="general" vertical="center"/>
    </xf>
    <xf numFmtId="164" fontId="0" fillId="15" borderId="0" applyAlignment="1" pivotButton="0" quotePrefix="0" xfId="17">
      <alignment horizontal="left" vertical="center"/>
    </xf>
    <xf numFmtId="0" fontId="13" fillId="0" borderId="0" applyAlignment="1" pivotButton="0" quotePrefix="0" xfId="0">
      <alignment horizontal="general" vertical="center"/>
    </xf>
    <xf numFmtId="0" fontId="23" fillId="0" borderId="0" applyAlignment="1" pivotButton="0" quotePrefix="0" xfId="0">
      <alignment horizontal="general" vertical="bottom" wrapText="1" readingOrder="1"/>
    </xf>
    <xf numFmtId="0" fontId="23" fillId="0" borderId="0" applyAlignment="1" pivotButton="0" quotePrefix="0" xfId="0">
      <alignment horizontal="general" vertical="bottom" wrapText="1"/>
    </xf>
    <xf numFmtId="0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general" vertical="center" wrapText="1"/>
    </xf>
    <xf numFmtId="0" fontId="22" fillId="0" borderId="1" applyAlignment="1" pivotButton="0" quotePrefix="0" xfId="0">
      <alignment horizontal="general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4" fillId="3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left" vertical="center"/>
    </xf>
    <xf numFmtId="168" fontId="0" fillId="0" borderId="1" applyAlignment="1" pivotButton="0" quotePrefix="0" xfId="0">
      <alignment horizontal="left" vertical="center"/>
    </xf>
    <xf numFmtId="168" fontId="0" fillId="3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general" vertical="bottom" wrapText="1"/>
    </xf>
    <xf numFmtId="0" fontId="0" fillId="0" borderId="6" pivotButton="0" quotePrefix="0" xfId="0"/>
    <xf numFmtId="0" fontId="0" fillId="0" borderId="7" pivotButton="0" quotePrefix="0" xfId="0"/>
    <xf numFmtId="168" fontId="0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general" vertical="center"/>
    </xf>
    <xf numFmtId="170" fontId="0" fillId="0" borderId="1" applyAlignment="1" pivotButton="0" quotePrefix="0" xfId="0">
      <alignment horizontal="center" vertical="center"/>
    </xf>
    <xf numFmtId="170" fontId="0" fillId="3" borderId="1" applyAlignment="1" pivotButton="0" quotePrefix="0" xfId="0">
      <alignment horizontal="center" vertical="center"/>
    </xf>
    <xf numFmtId="170" fontId="0" fillId="0" borderId="0" applyAlignment="1" pivotButton="0" quotePrefix="0" xfId="0">
      <alignment horizontal="center" vertical="center"/>
    </xf>
    <xf numFmtId="170" fontId="0" fillId="0" borderId="0" applyAlignment="1" pivotButton="0" quotePrefix="0" xfId="0">
      <alignment horizontal="general" vertical="center"/>
    </xf>
    <xf numFmtId="17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bottom"/>
    </xf>
    <xf numFmtId="168" fontId="0" fillId="0" borderId="0" applyAlignment="1" pivotButton="0" quotePrefix="0" xfId="0">
      <alignment horizontal="general" vertical="center"/>
    </xf>
    <xf numFmtId="168" fontId="13" fillId="0" borderId="0" applyAlignment="1" pivotButton="0" quotePrefix="0" xfId="0">
      <alignment horizontal="general" vertical="center"/>
    </xf>
    <xf numFmtId="0" fontId="25" fillId="0" borderId="1" applyAlignment="1" pivotButton="0" quotePrefix="0" xfId="0">
      <alignment horizontal="general" vertical="center" wrapText="1" readingOrder="1"/>
    </xf>
    <xf numFmtId="168" fontId="25" fillId="0" borderId="3" applyAlignment="1" pivotButton="0" quotePrefix="0" xfId="0">
      <alignment horizontal="general" vertical="center" wrapText="1" readingOrder="1"/>
    </xf>
    <xf numFmtId="168" fontId="26" fillId="0" borderId="1" applyAlignment="1" pivotButton="0" quotePrefix="0" xfId="0">
      <alignment horizontal="general" vertical="center" wrapText="1" readingOrder="1"/>
    </xf>
    <xf numFmtId="0" fontId="0" fillId="0" borderId="3" applyAlignment="1" pivotButton="0" quotePrefix="0" xfId="0">
      <alignment horizontal="center" vertical="center"/>
    </xf>
    <xf numFmtId="0" fontId="25" fillId="0" borderId="1" applyAlignment="1" pivotButton="0" quotePrefix="0" xfId="0">
      <alignment horizontal="general" vertical="center" wrapText="1"/>
    </xf>
    <xf numFmtId="168" fontId="25" fillId="0" borderId="3" applyAlignment="1" pivotButton="0" quotePrefix="0" xfId="0">
      <alignment horizontal="general" vertical="center" wrapText="1"/>
    </xf>
    <xf numFmtId="168" fontId="26" fillId="0" borderId="1" applyAlignment="1" pivotButton="0" quotePrefix="0" xfId="0">
      <alignment horizontal="general" vertical="center" wrapText="1"/>
    </xf>
    <xf numFmtId="0" fontId="0" fillId="3" borderId="3" applyAlignment="1" pivotButton="0" quotePrefix="0" xfId="0">
      <alignment horizontal="center" vertical="center"/>
    </xf>
    <xf numFmtId="0" fontId="0" fillId="3" borderId="1" applyAlignment="1" pivotButton="0" quotePrefix="0" xfId="0">
      <alignment horizontal="general" vertical="center"/>
    </xf>
    <xf numFmtId="0" fontId="0" fillId="3" borderId="0" applyAlignment="1" pivotButton="0" quotePrefix="0" xfId="0">
      <alignment horizontal="center" vertical="center"/>
    </xf>
    <xf numFmtId="0" fontId="27" fillId="0" borderId="1" applyAlignment="1" pivotButton="0" quotePrefix="0" xfId="0">
      <alignment horizontal="general" vertical="center" wrapText="1"/>
    </xf>
    <xf numFmtId="168" fontId="27" fillId="0" borderId="3" applyAlignment="1" pivotButton="0" quotePrefix="0" xfId="0">
      <alignment horizontal="general" vertical="center" wrapText="1"/>
    </xf>
    <xf numFmtId="168" fontId="28" fillId="0" borderId="1" applyAlignment="1" pivotButton="0" quotePrefix="0" xfId="0">
      <alignment horizontal="general" vertical="center" wrapText="1"/>
    </xf>
    <xf numFmtId="0" fontId="25" fillId="0" borderId="0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general" vertical="center"/>
    </xf>
    <xf numFmtId="0" fontId="0" fillId="3" borderId="4" applyAlignment="1" pivotButton="0" quotePrefix="0" xfId="0">
      <alignment horizontal="general" vertical="center"/>
    </xf>
    <xf numFmtId="0" fontId="0" fillId="16" borderId="1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 wrapText="1" readingOrder="1"/>
    </xf>
    <xf numFmtId="0" fontId="0" fillId="0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left" vertical="bottom" wrapText="1"/>
    </xf>
    <xf numFmtId="0" fontId="13" fillId="15" borderId="0" applyAlignment="1" pivotButton="0" quotePrefix="0" xfId="0">
      <alignment horizontal="general" vertical="center"/>
    </xf>
    <xf numFmtId="0" fontId="13" fillId="15" borderId="0" applyAlignment="1" pivotButton="0" quotePrefix="0" xfId="0">
      <alignment horizontal="center" vertical="center"/>
    </xf>
    <xf numFmtId="0" fontId="13" fillId="15" borderId="1" applyAlignment="1" pivotButton="0" quotePrefix="0" xfId="0">
      <alignment horizontal="general" vertical="center"/>
    </xf>
    <xf numFmtId="0" fontId="13" fillId="15" borderId="1" applyAlignment="1" pivotButton="0" quotePrefix="0" xfId="0">
      <alignment horizontal="general" vertical="center" wrapText="1"/>
    </xf>
    <xf numFmtId="0" fontId="30" fillId="0" borderId="0" applyAlignment="1" pivotButton="0" quotePrefix="0" xfId="0">
      <alignment horizontal="center" vertical="center"/>
    </xf>
    <xf numFmtId="0" fontId="31" fillId="0" borderId="1" applyAlignment="1" pivotButton="0" quotePrefix="0" xfId="0">
      <alignment horizontal="general" vertical="center"/>
    </xf>
    <xf numFmtId="171" fontId="0" fillId="0" borderId="1" applyAlignment="1" pivotButton="0" quotePrefix="0" xfId="0">
      <alignment horizontal="general" vertical="center"/>
    </xf>
    <xf numFmtId="164" fontId="0" fillId="0" borderId="1" applyAlignment="1" pivotButton="0" quotePrefix="0" xfId="17">
      <alignment horizontal="general" vertical="center"/>
    </xf>
    <xf numFmtId="0" fontId="32" fillId="0" borderId="1" applyAlignment="1" pivotButton="0" quotePrefix="0" xfId="0">
      <alignment horizontal="general" vertical="center" wrapText="1"/>
    </xf>
    <xf numFmtId="164" fontId="0" fillId="0" borderId="0" applyAlignment="1" pivotButton="0" quotePrefix="0" xfId="17">
      <alignment horizontal="general" vertical="bottom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urrency 2" xfId="6"/>
    <cellStyle name="Currency 3" xfId="7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BD97"/>
      <rgbColor rgb="FF808080"/>
      <rgbColor rgb="FF9999FF"/>
      <rgbColor rgb="FF993366"/>
      <rgbColor rgb="FFFDEADA"/>
      <rgbColor rgb="FFF2F2F2"/>
      <rgbColor rgb="FF660066"/>
      <rgbColor rgb="FFFF8080"/>
      <rgbColor rgb="FF0066CC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E6E0EC"/>
      <rgbColor rgb="FFD7E4BD"/>
      <rgbColor rgb="FFFDE9D9"/>
      <rgbColor rgb="FF99CCFF"/>
      <rgbColor rgb="FFFF99CC"/>
      <rgbColor rgb="FFCC99FF"/>
      <rgbColor rgb="FFE4DFEC"/>
      <rgbColor rgb="FF3366FF"/>
      <rgbColor rgb="FF33CCCC"/>
      <rgbColor rgb="FF92D050"/>
      <rgbColor rgb="FFFFCC00"/>
      <rgbColor rgb="FFFF9900"/>
      <rgbColor rgb="FFFF6600"/>
      <rgbColor rgb="FF595959"/>
      <rgbColor rgb="FF969696"/>
      <rgbColor rgb="FF003366"/>
      <rgbColor rgb="FF339966"/>
      <rgbColor rgb="FF111827"/>
      <rgbColor rgb="FF333300"/>
      <rgbColor rgb="FF993300"/>
      <rgbColor rgb="FF993366"/>
      <rgbColor rgb="FF333399"/>
      <rgbColor rgb="FF21212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hyperlink" Target="https://www.seton.net.au/regulatory-road-signs-r3-1-pedestrian-crossing-picto-600mm-dia-aluminium-class-1-400-reflective-a35089.html" TargetMode="External" Id="rId1"/><Relationship Type="http://schemas.openxmlformats.org/officeDocument/2006/relationships/hyperlink" Target="https://www.seton.net.au/bicycle-path-sign-crossing-arrows-a46100.html" TargetMode="External" Id="rId2"/><Relationship Type="http://schemas.openxmlformats.org/officeDocument/2006/relationships/hyperlink" Target="https://www.seton.net.au/mms-both-lanes-open-600mm-w-x-600mm-h-aluminium-class-1-400-reflective-tm10-5a-a51321.html" TargetMode="External" Id="rId3"/><Relationship Type="http://schemas.openxmlformats.org/officeDocument/2006/relationships/hyperlink" Target="https://www.seton.net.au/signs-labels/rear-marker-plate-category-161-1600mm-w-x-100mm-h-aluminium-class-1-400-reflective.html" TargetMode="External" Id="rId4"/><Relationship Type="http://schemas.openxmlformats.org/officeDocument/2006/relationships/hyperlink" Target="https://www.seton.net.au/mms-wa-worker-dig-picto-mms-adv-52b.html" TargetMode="External" Id="rId5"/><Relationship Type="http://schemas.openxmlformats.org/officeDocument/2006/relationships/hyperlink" Target="https://www.seton.net.au/regulatory-road-signs-r2-4-no-entry-750mm-w-x-750mm-h-class-1-400-aluminium-a8027.html" TargetMode="External" Id="rId6"/><Relationship Type="http://schemas.openxmlformats.org/officeDocument/2006/relationships/hyperlink" Target="https://www.seton.net.au/regulatory-signs-stop-here-on-red-signal-r6-6-450-x-750mm-class-1-aluminium-z0031.html" TargetMode="External" Id="rId7"/><Relationship Type="http://schemas.openxmlformats.org/officeDocument/2006/relationships/hyperlink" Target="https://www.seton.net.au/signs-labels/road-signs/regulatory-signs-no-bikes-picto-r6-10-3-450-x-450mm-class-1-aluminium.html" TargetMode="External" Id="rId8"/><Relationship Type="http://schemas.openxmlformats.org/officeDocument/2006/relationships/hyperlink" Target="https://www.seton.net.au/mms-no-left-turn-rm2-6a-l.html" TargetMode="Externa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62" customWidth="1" style="178" min="1" max="1"/>
    <col width="18" customWidth="1" style="178" min="2" max="2"/>
    <col width="22" customWidth="1" style="178" min="3" max="3"/>
    <col width="18" customWidth="1" style="178" min="4" max="4"/>
    <col width="18" customWidth="1" style="178" min="5" max="5"/>
    <col width="18" customWidth="1" style="178" min="6" max="6"/>
    <col width="18" customWidth="1" style="178" min="7" max="7"/>
    <col width="18" customWidth="1" style="178" min="8" max="8"/>
  </cols>
  <sheetData>
    <row r="1">
      <c r="A1" s="179" t="inlineStr">
        <is>
          <t>Whitelaw Avenue Shared Path - Wayfinding Sign Panels &amp; Fixings (supply &amp; delivery)</t>
        </is>
      </c>
    </row>
    <row r="2">
      <c r="A2" t="inlineStr">
        <is>
          <t>Excludes 125mm WPC bollards (supplied by others) and installation. Source: 26-27-58 Wayfinding Plan. Yellow cells = assumptions to confirm.</t>
        </is>
      </c>
    </row>
    <row r="4">
      <c r="A4" s="180" t="inlineStr">
        <is>
          <t>Sign</t>
        </is>
      </c>
      <c r="B4" s="180" t="inlineStr">
        <is>
          <t>Width (mm)</t>
        </is>
      </c>
      <c r="C4" s="180" t="inlineStr">
        <is>
          <t>Length (mm)</t>
        </is>
      </c>
      <c r="D4" s="180" t="inlineStr">
        <is>
          <t>Qty</t>
        </is>
      </c>
      <c r="E4" s="180" t="inlineStr">
        <is>
          <t>Area each (m2)</t>
        </is>
      </c>
      <c r="F4" s="180" t="inlineStr">
        <is>
          <t>Perimeter each (m)</t>
        </is>
      </c>
      <c r="G4" s="180" t="inlineStr">
        <is>
          <t>Total area (m2)</t>
        </is>
      </c>
      <c r="H4" s="180" t="inlineStr">
        <is>
          <t>Total perimeter (m)</t>
        </is>
      </c>
    </row>
    <row r="5">
      <c r="A5" t="inlineStr">
        <is>
          <t>1E</t>
        </is>
      </c>
      <c r="B5" t="n">
        <v>105</v>
      </c>
      <c r="C5" t="n">
        <v>395</v>
      </c>
      <c r="D5" t="n">
        <v>1</v>
      </c>
      <c r="E5" s="181">
        <f>B5*C5/1000000</f>
        <v/>
      </c>
      <c r="F5" s="181">
        <f>2*(B5+C5)/1000</f>
        <v/>
      </c>
      <c r="G5" s="181">
        <f>E5*D5</f>
        <v/>
      </c>
      <c r="H5" s="181">
        <f>F5*D5</f>
        <v/>
      </c>
    </row>
    <row r="6">
      <c r="A6" t="inlineStr">
        <is>
          <t>1W</t>
        </is>
      </c>
      <c r="B6" t="n">
        <v>105</v>
      </c>
      <c r="C6" t="n">
        <v>395</v>
      </c>
      <c r="D6" t="n">
        <v>1</v>
      </c>
      <c r="E6" s="181">
        <f>B6*C6/1000000</f>
        <v/>
      </c>
      <c r="F6" s="181">
        <f>2*(B6+C6)/1000</f>
        <v/>
      </c>
      <c r="G6" s="181">
        <f>E6*D6</f>
        <v/>
      </c>
      <c r="H6" s="181">
        <f>F6*D6</f>
        <v/>
      </c>
    </row>
    <row r="7">
      <c r="A7" t="inlineStr">
        <is>
          <t>2E</t>
        </is>
      </c>
      <c r="B7" t="n">
        <v>105</v>
      </c>
      <c r="C7" t="n">
        <v>250</v>
      </c>
      <c r="D7" t="n">
        <v>1</v>
      </c>
      <c r="E7" s="181">
        <f>B7*C7/1000000</f>
        <v/>
      </c>
      <c r="F7" s="181">
        <f>2*(B7+C7)/1000</f>
        <v/>
      </c>
      <c r="G7" s="181">
        <f>E7*D7</f>
        <v/>
      </c>
      <c r="H7" s="181">
        <f>F7*D7</f>
        <v/>
      </c>
    </row>
    <row r="8">
      <c r="A8" t="inlineStr">
        <is>
          <t>2W</t>
        </is>
      </c>
      <c r="B8" t="n">
        <v>105</v>
      </c>
      <c r="C8" t="n">
        <v>250</v>
      </c>
      <c r="D8" t="n">
        <v>1</v>
      </c>
      <c r="E8" s="181">
        <f>B8*C8/1000000</f>
        <v/>
      </c>
      <c r="F8" s="181">
        <f>2*(B8+C8)/1000</f>
        <v/>
      </c>
      <c r="G8" s="181">
        <f>E8*D8</f>
        <v/>
      </c>
      <c r="H8" s="181">
        <f>F8*D8</f>
        <v/>
      </c>
    </row>
    <row r="9">
      <c r="A9" t="inlineStr">
        <is>
          <t>3E</t>
        </is>
      </c>
      <c r="B9" t="n">
        <v>105</v>
      </c>
      <c r="C9" t="n">
        <v>360</v>
      </c>
      <c r="D9" t="n">
        <v>1</v>
      </c>
      <c r="E9" s="181">
        <f>B9*C9/1000000</f>
        <v/>
      </c>
      <c r="F9" s="181">
        <f>2*(B9+C9)/1000</f>
        <v/>
      </c>
      <c r="G9" s="181">
        <f>E9*D9</f>
        <v/>
      </c>
      <c r="H9" s="181">
        <f>F9*D9</f>
        <v/>
      </c>
    </row>
    <row r="10">
      <c r="A10" t="inlineStr">
        <is>
          <t>3W</t>
        </is>
      </c>
      <c r="B10" t="n">
        <v>105</v>
      </c>
      <c r="C10" t="n">
        <v>360</v>
      </c>
      <c r="D10" t="n">
        <v>1</v>
      </c>
      <c r="E10" s="181">
        <f>B10*C10/1000000</f>
        <v/>
      </c>
      <c r="F10" s="181">
        <f>2*(B10+C10)/1000</f>
        <v/>
      </c>
      <c r="G10" s="181">
        <f>E10*D10</f>
        <v/>
      </c>
      <c r="H10" s="181">
        <f>F10*D10</f>
        <v/>
      </c>
    </row>
    <row r="11">
      <c r="A11" t="inlineStr">
        <is>
          <t>4E</t>
        </is>
      </c>
      <c r="B11" t="n">
        <v>105</v>
      </c>
      <c r="C11" t="n">
        <v>360</v>
      </c>
      <c r="D11" t="n">
        <v>1</v>
      </c>
      <c r="E11" s="181">
        <f>B11*C11/1000000</f>
        <v/>
      </c>
      <c r="F11" s="181">
        <f>2*(B11+C11)/1000</f>
        <v/>
      </c>
      <c r="G11" s="181">
        <f>E11*D11</f>
        <v/>
      </c>
      <c r="H11" s="181">
        <f>F11*D11</f>
        <v/>
      </c>
    </row>
    <row r="12">
      <c r="A12" t="inlineStr">
        <is>
          <t>4W</t>
        </is>
      </c>
      <c r="B12" t="n">
        <v>105</v>
      </c>
      <c r="C12" t="n">
        <v>250</v>
      </c>
      <c r="D12" t="n">
        <v>1</v>
      </c>
      <c r="E12" s="181">
        <f>B12*C12/1000000</f>
        <v/>
      </c>
      <c r="F12" s="181">
        <f>2*(B12+C12)/1000</f>
        <v/>
      </c>
      <c r="G12" s="181">
        <f>E12*D12</f>
        <v/>
      </c>
      <c r="H12" s="181">
        <f>F12*D12</f>
        <v/>
      </c>
    </row>
    <row r="13">
      <c r="A13" t="inlineStr">
        <is>
          <t>5E</t>
        </is>
      </c>
      <c r="B13" t="n">
        <v>105</v>
      </c>
      <c r="C13" t="n">
        <v>250</v>
      </c>
      <c r="D13" t="n">
        <v>1</v>
      </c>
      <c r="E13" s="181">
        <f>B13*C13/1000000</f>
        <v/>
      </c>
      <c r="F13" s="181">
        <f>2*(B13+C13)/1000</f>
        <v/>
      </c>
      <c r="G13" s="181">
        <f>E13*D13</f>
        <v/>
      </c>
      <c r="H13" s="181">
        <f>F13*D13</f>
        <v/>
      </c>
    </row>
    <row r="14">
      <c r="A14" t="inlineStr">
        <is>
          <t>5W</t>
        </is>
      </c>
      <c r="B14" t="n">
        <v>105</v>
      </c>
      <c r="C14" t="n">
        <v>250</v>
      </c>
      <c r="D14" t="n">
        <v>1</v>
      </c>
      <c r="E14" s="181">
        <f>B14*C14/1000000</f>
        <v/>
      </c>
      <c r="F14" s="181">
        <f>2*(B14+C14)/1000</f>
        <v/>
      </c>
      <c r="G14" s="181">
        <f>E14*D14</f>
        <v/>
      </c>
      <c r="H14" s="181">
        <f>F14*D14</f>
        <v/>
      </c>
    </row>
    <row r="15">
      <c r="A15" t="inlineStr">
        <is>
          <t>6E</t>
        </is>
      </c>
      <c r="B15" t="n">
        <v>105</v>
      </c>
      <c r="C15" t="n">
        <v>250</v>
      </c>
      <c r="D15" t="n">
        <v>1</v>
      </c>
      <c r="E15" s="181">
        <f>B15*C15/1000000</f>
        <v/>
      </c>
      <c r="F15" s="181">
        <f>2*(B15+C15)/1000</f>
        <v/>
      </c>
      <c r="G15" s="181">
        <f>E15*D15</f>
        <v/>
      </c>
      <c r="H15" s="181">
        <f>F15*D15</f>
        <v/>
      </c>
    </row>
    <row r="16">
      <c r="A16" t="inlineStr">
        <is>
          <t>6W</t>
        </is>
      </c>
      <c r="B16" t="n">
        <v>105</v>
      </c>
      <c r="C16" t="n">
        <v>360</v>
      </c>
      <c r="D16" t="n">
        <v>1</v>
      </c>
      <c r="E16" s="181">
        <f>B16*C16/1000000</f>
        <v/>
      </c>
      <c r="F16" s="181">
        <f>2*(B16+C16)/1000</f>
        <v/>
      </c>
      <c r="G16" s="181">
        <f>E16*D16</f>
        <v/>
      </c>
      <c r="H16" s="181">
        <f>F16*D16</f>
        <v/>
      </c>
    </row>
    <row r="17">
      <c r="A17" t="inlineStr">
        <is>
          <t>7W</t>
        </is>
      </c>
      <c r="B17" t="n">
        <v>105</v>
      </c>
      <c r="C17" t="n">
        <v>395</v>
      </c>
      <c r="D17" t="n">
        <v>1</v>
      </c>
      <c r="E17" s="181">
        <f>B17*C17/1000000</f>
        <v/>
      </c>
      <c r="F17" s="181">
        <f>2*(B17+C17)/1000</f>
        <v/>
      </c>
      <c r="G17" s="181">
        <f>E17*D17</f>
        <v/>
      </c>
      <c r="H17" s="181">
        <f>F17*D17</f>
        <v/>
      </c>
    </row>
    <row r="18">
      <c r="A18" s="182" t="inlineStr">
        <is>
          <t>TOTAL</t>
        </is>
      </c>
      <c r="D18" s="182">
        <f>SUM(D5:D17)</f>
        <v/>
      </c>
      <c r="E18" s="181" t="n"/>
      <c r="F18" s="181" t="n"/>
      <c r="G18" s="183">
        <f>SUM(G5:G17)</f>
        <v/>
      </c>
      <c r="H18" s="183">
        <f>SUM(H5:H17)</f>
        <v/>
      </c>
    </row>
    <row r="20">
      <c r="A20" s="182" t="inlineStr">
        <is>
          <t>RATES / ASSUMPTIONS</t>
        </is>
      </c>
    </row>
    <row r="21">
      <c r="A21" t="inlineStr">
        <is>
          <t>Sheet cost 1.6mm 5052 aluminium, 1200x2400 ($)</t>
        </is>
      </c>
      <c r="B21" s="184" t="n">
        <v>90</v>
      </c>
      <c r="C21" t="inlineStr">
        <is>
          <t>STOCK tab (APEX)</t>
        </is>
      </c>
    </row>
    <row r="22">
      <c r="A22" t="inlineStr">
        <is>
          <t>Sheet supply mark-up</t>
        </is>
      </c>
      <c r="B22" s="184" t="n">
        <v>1.15</v>
      </c>
      <c r="C22" t="inlineStr">
        <is>
          <t>STOCK tab convention</t>
        </is>
      </c>
    </row>
    <row r="23">
      <c r="A23" t="inlineStr">
        <is>
          <t>Sheet area (m2)</t>
        </is>
      </c>
      <c r="B23" s="184">
        <f>1.2*2.4</f>
        <v/>
      </c>
      <c r="C23" t="inlineStr"/>
    </row>
    <row r="24">
      <c r="A24" t="inlineStr">
        <is>
          <t>Anodised finish premium ($/m2 of sheet used)</t>
        </is>
      </c>
      <c r="B24" s="184" t="n">
        <v>25</v>
      </c>
      <c r="C24" t="inlineStr">
        <is>
          <t>ASSUMPTION - confirm with anodiser</t>
        </is>
      </c>
    </row>
    <row r="25">
      <c r="A25" t="inlineStr">
        <is>
          <t>Nesting / offcut yield factor</t>
        </is>
      </c>
      <c r="B25" s="184" t="n">
        <v>1.3</v>
      </c>
      <c r="C25" t="inlineStr">
        <is>
          <t>ASSUMPTION - small panels, partial sheet</t>
        </is>
      </c>
    </row>
    <row r="26">
      <c r="A26" t="inlineStr">
        <is>
          <t>Print vinyl + laminate material ($/m2)</t>
        </is>
      </c>
      <c r="B26" s="184" t="n">
        <v>13</v>
      </c>
      <c r="C26" t="inlineStr">
        <is>
          <t>QUICK QUOTE rate (2105 / 2000)</t>
        </is>
      </c>
    </row>
    <row r="27">
      <c r="A27" t="inlineStr">
        <is>
          <t>Ink ($/m2)</t>
        </is>
      </c>
      <c r="B27" s="184" t="n">
        <v>3.5</v>
      </c>
      <c r="C27" t="inlineStr">
        <is>
          <t>STOCK tab</t>
        </is>
      </c>
    </row>
    <row r="28">
      <c r="A28" t="inlineStr">
        <is>
          <t>2-pac clear automotive duco ($/m2)</t>
        </is>
      </c>
      <c r="B28" s="184" t="n">
        <v>60</v>
      </c>
      <c r="C28" t="inlineStr">
        <is>
          <t>ASSUMPTION - confirm with sprayer</t>
        </is>
      </c>
    </row>
    <row r="29">
      <c r="A29" t="inlineStr">
        <is>
          <t>2-pac set-up / batch ($)</t>
        </is>
      </c>
      <c r="B29" s="184" t="n">
        <v>85</v>
      </c>
      <c r="C29" t="inlineStr">
        <is>
          <t>ASSUMPTION</t>
        </is>
      </c>
    </row>
    <row r="30">
      <c r="A30" t="inlineStr">
        <is>
          <t>Art / file set-up ($/hr)</t>
        </is>
      </c>
      <c r="B30" s="184" t="n">
        <v>85</v>
      </c>
      <c r="C30" t="inlineStr">
        <is>
          <t>QUOTE tab</t>
        </is>
      </c>
    </row>
    <row r="31">
      <c r="A31" t="inlineStr">
        <is>
          <t>Art hours (13 custom layouts)</t>
        </is>
      </c>
      <c r="B31" s="184" t="n">
        <v>3</v>
      </c>
      <c r="C31" t="inlineStr">
        <is>
          <t>ASSUMPTION</t>
        </is>
      </c>
    </row>
    <row r="32">
      <c r="A32" t="inlineStr">
        <is>
          <t>Print set-up ($)</t>
        </is>
      </c>
      <c r="B32" s="184" t="n">
        <v>125</v>
      </c>
      <c r="C32" t="inlineStr">
        <is>
          <t>QUOTE tab</t>
        </is>
      </c>
    </row>
    <row r="33">
      <c r="A33" t="inlineStr">
        <is>
          <t>Print run ($/hr)</t>
        </is>
      </c>
      <c r="B33" s="184" t="n">
        <v>90</v>
      </c>
      <c r="C33" t="inlineStr">
        <is>
          <t>QUOTE tab</t>
        </is>
      </c>
    </row>
    <row r="34">
      <c r="A34" t="inlineStr">
        <is>
          <t>Print speed (m/hr, linear)</t>
        </is>
      </c>
      <c r="B34" s="184" t="n">
        <v>30</v>
      </c>
      <c r="C34" t="inlineStr">
        <is>
          <t>QUOTE tab</t>
        </is>
      </c>
    </row>
    <row r="35">
      <c r="A35" t="inlineStr">
        <is>
          <t>Laminate + mounting ($/hr)</t>
        </is>
      </c>
      <c r="B35" s="184" t="n">
        <v>65</v>
      </c>
      <c r="C35" t="inlineStr">
        <is>
          <t>QUOTE tab</t>
        </is>
      </c>
    </row>
    <row r="36">
      <c r="A36" t="inlineStr">
        <is>
          <t>Zund cut/drill set-up ($)</t>
        </is>
      </c>
      <c r="B36" s="184" t="n">
        <v>45</v>
      </c>
      <c r="C36" t="inlineStr">
        <is>
          <t>QUOTE tab</t>
        </is>
      </c>
    </row>
    <row r="37">
      <c r="A37" t="inlineStr">
        <is>
          <t>Zund router ($/hr)</t>
        </is>
      </c>
      <c r="B37" s="184" t="n">
        <v>105</v>
      </c>
      <c r="C37" t="inlineStr">
        <is>
          <t>QUOTE tab</t>
        </is>
      </c>
    </row>
    <row r="38">
      <c r="A38" t="inlineStr">
        <is>
          <t>Zund speed (m/hr of perimeter)</t>
        </is>
      </c>
      <c r="B38" s="184" t="n">
        <v>6</v>
      </c>
      <c r="C38" t="inlineStr">
        <is>
          <t>QUOTE tab</t>
        </is>
      </c>
    </row>
    <row r="39">
      <c r="A39" t="inlineStr">
        <is>
          <t>Pre-drill + radius corners + buff (min per sign)</t>
        </is>
      </c>
      <c r="B39" s="184" t="n">
        <v>6</v>
      </c>
      <c r="C39" t="inlineStr">
        <is>
          <t>ASSUMPTION</t>
        </is>
      </c>
    </row>
    <row r="40">
      <c r="A40" t="inlineStr">
        <is>
          <t>Anti-vandal SS fixings per sign</t>
        </is>
      </c>
      <c r="B40" s="184" t="n">
        <v>4</v>
      </c>
      <c r="C40" t="inlineStr">
        <is>
          <t>Spec: minimum 4</t>
        </is>
      </c>
    </row>
    <row r="41">
      <c r="A41" t="inlineStr">
        <is>
          <t>Spare fixings allowance</t>
        </is>
      </c>
      <c r="B41" s="184" t="n">
        <v>1.1</v>
      </c>
      <c r="C41" t="inlineStr">
        <is>
          <t>ASSUMPTION - 10% spares</t>
        </is>
      </c>
    </row>
    <row r="42">
      <c r="A42" t="inlineStr">
        <is>
          <t>Fixing cost each ($) (SS pan sq self-tapping 6G x 3/4")</t>
        </is>
      </c>
      <c r="B42" s="184" t="n">
        <v>1.5</v>
      </c>
      <c r="C42" t="inlineStr">
        <is>
          <t>ASSUMPTION - confirm</t>
        </is>
      </c>
    </row>
    <row r="43">
      <c r="A43" t="inlineStr">
        <is>
          <t>Delivery allowance ($)</t>
        </is>
      </c>
      <c r="B43" s="184" t="n">
        <v>80</v>
      </c>
      <c r="C43" t="inlineStr">
        <is>
          <t>ASSUMPTION - boxed, &lt;5kg, destination Ballarat VIC</t>
        </is>
      </c>
    </row>
    <row r="44">
      <c r="A44" t="inlineStr">
        <is>
          <t>Mark-up</t>
        </is>
      </c>
      <c r="B44" s="184" t="n">
        <v>0.45</v>
      </c>
      <c r="C44" t="inlineStr">
        <is>
          <t>QUOTE tab (45%)</t>
        </is>
      </c>
    </row>
    <row r="45">
      <c r="A45" t="inlineStr">
        <is>
          <t>GST</t>
        </is>
      </c>
      <c r="B45" s="184" t="n">
        <v>0.1</v>
      </c>
      <c r="C45" t="inlineStr"/>
    </row>
    <row r="47">
      <c r="A47" s="182" t="inlineStr">
        <is>
          <t>COST BUILD (ex GST)</t>
        </is>
      </c>
    </row>
    <row r="48">
      <c r="A48" t="inlineStr">
        <is>
          <t>Aluminium 1.6mm sheet (area x yield / sheet area x sheet cost)</t>
        </is>
      </c>
      <c r="B48" s="185">
        <f>$G$18*$B$25/$B$23*$B$21*$B$22</f>
        <v/>
      </c>
    </row>
    <row r="49">
      <c r="A49" t="inlineStr">
        <is>
          <t>Anodising premium</t>
        </is>
      </c>
      <c r="B49" s="185">
        <f>$G$18*$B$25*$B$24</f>
        <v/>
      </c>
    </row>
    <row r="50">
      <c r="A50" t="inlineStr">
        <is>
          <t>Art / file set-up</t>
        </is>
      </c>
      <c r="B50" s="185">
        <f>$B$30*$B$31</f>
        <v/>
      </c>
    </row>
    <row r="51">
      <c r="A51" t="inlineStr">
        <is>
          <t>Print set-up</t>
        </is>
      </c>
      <c r="B51" s="185">
        <f>$B$32</f>
        <v/>
      </c>
    </row>
    <row r="52">
      <c r="A52" t="inlineStr">
        <is>
          <t>Print run (area / 0.105m strip approximated as linear length)</t>
        </is>
      </c>
      <c r="B52" s="185">
        <f>($G$18/0.105)/$B$34*$B$33</f>
        <v/>
      </c>
    </row>
    <row r="53">
      <c r="A53" t="inlineStr">
        <is>
          <t>Vinyl + laminate material</t>
        </is>
      </c>
      <c r="B53" s="185">
        <f>$G$18*$B$26</f>
        <v/>
      </c>
    </row>
    <row r="54">
      <c r="A54" t="inlineStr">
        <is>
          <t>Ink</t>
        </is>
      </c>
      <c r="B54" s="185">
        <f>$G$18*$B$27</f>
        <v/>
      </c>
    </row>
    <row r="55">
      <c r="A55" t="inlineStr">
        <is>
          <t>Laminate + mounting labour (15 m/hr)</t>
        </is>
      </c>
      <c r="B55" s="185">
        <f>($G$18/0.105)/15*$B$35</f>
        <v/>
      </c>
    </row>
    <row r="56">
      <c r="A56" t="inlineStr">
        <is>
          <t>2-pac clear duco (material + set-up)</t>
        </is>
      </c>
      <c r="B56" s="185">
        <f>$G$18*$B$28+$B$29</f>
        <v/>
      </c>
    </row>
    <row r="57">
      <c r="A57" t="inlineStr">
        <is>
          <t>Zund set-up</t>
        </is>
      </c>
      <c r="B57" s="185">
        <f>$B$36</f>
        <v/>
      </c>
    </row>
    <row r="58">
      <c r="A58" t="inlineStr">
        <is>
          <t>Zund cut (perimeter)</t>
        </is>
      </c>
      <c r="B58" s="185">
        <f>$H$18/$B$38*$B$37</f>
        <v/>
      </c>
    </row>
    <row r="59">
      <c r="A59" t="inlineStr">
        <is>
          <t>Pre-drill / radius / buff labour</t>
        </is>
      </c>
      <c r="B59" s="185">
        <f>$D$18*$B$39/60*$B$35</f>
        <v/>
      </c>
    </row>
    <row r="60">
      <c r="A60" t="inlineStr">
        <is>
          <t>Anti-vandal SS fixings</t>
        </is>
      </c>
      <c r="B60" s="185">
        <f>$D$18*$B$40*$B$41*$B$42</f>
        <v/>
      </c>
    </row>
    <row r="61">
      <c r="A61" t="inlineStr">
        <is>
          <t>Delivery</t>
        </is>
      </c>
      <c r="B61" s="185">
        <f>$B$43</f>
        <v/>
      </c>
    </row>
    <row r="62">
      <c r="A62" s="182" t="inlineStr">
        <is>
          <t>Sub total</t>
        </is>
      </c>
      <c r="B62" s="185">
        <f>SUM(B48:B61)</f>
        <v/>
      </c>
    </row>
    <row r="63">
      <c r="A63" t="inlineStr">
        <is>
          <t>Mark-up</t>
        </is>
      </c>
      <c r="B63" s="185">
        <f>(B62-B61)*$B$44</f>
        <v/>
      </c>
    </row>
    <row r="64">
      <c r="A64" s="182" t="inlineStr">
        <is>
          <t>TOTAL ex GST</t>
        </is>
      </c>
      <c r="B64" s="186">
        <f>B62+B63</f>
        <v/>
      </c>
    </row>
    <row r="65">
      <c r="A65" t="inlineStr">
        <is>
          <t>GST</t>
        </is>
      </c>
      <c r="B65" s="185">
        <f>B64*$B$45</f>
        <v/>
      </c>
    </row>
    <row r="66">
      <c r="A66" s="182" t="inlineStr">
        <is>
          <t>TOTAL inc GST</t>
        </is>
      </c>
      <c r="B66" s="186">
        <f>B64+B65</f>
        <v/>
      </c>
    </row>
    <row r="67">
      <c r="A67" t="inlineStr">
        <is>
          <t>Average per panel (ex GST)</t>
        </is>
      </c>
      <c r="B67" s="185">
        <f>B64/$D$18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5:G9"/>
  <sheetViews>
    <sheetView showFormulas="0" showGridLines="1" showRowColHeaders="1" showZeros="1" rightToLeft="0" tabSelected="0" showOutlineSymbols="1" defaultGridColor="1" view="normal" topLeftCell="A1" colorId="64" zoomScale="125" zoomScaleNormal="125" zoomScalePageLayoutView="100" workbookViewId="0">
      <selection pane="topLeft" activeCell="C14" activeCellId="0" sqref="C14"/>
    </sheetView>
  </sheetViews>
  <sheetFormatPr baseColWidth="8" defaultColWidth="11.00390625" defaultRowHeight="15.75" zeroHeight="0" outlineLevelRow="0"/>
  <cols>
    <col width="15.12" customWidth="1" style="187" min="1" max="7"/>
  </cols>
  <sheetData>
    <row r="5" ht="45.75" customHeight="1" s="178">
      <c r="A5" s="188" t="n"/>
      <c r="B5" s="189" t="inlineStr">
        <is>
          <t>Nathan's Price</t>
        </is>
      </c>
      <c r="C5" s="190" t="inlineStr">
        <is>
          <t>Hours - person (worked out by $128 per hour)</t>
        </is>
      </c>
      <c r="D5" s="191" t="inlineStr">
        <is>
          <t>30% m/up</t>
        </is>
      </c>
      <c r="E5" s="190" t="inlineStr">
        <is>
          <t>Hours - person (worked out by $128 per hour)</t>
        </is>
      </c>
      <c r="F5" s="191" t="inlineStr">
        <is>
          <t>40% m/up</t>
        </is>
      </c>
      <c r="G5" s="190" t="inlineStr">
        <is>
          <t>Hours - person (worked out by $128 per hour)</t>
        </is>
      </c>
    </row>
    <row r="6" ht="18.75" customHeight="1" s="178">
      <c r="A6" s="189" t="inlineStr">
        <is>
          <t>Yaris</t>
        </is>
      </c>
      <c r="B6" s="192" t="n">
        <v>1710</v>
      </c>
      <c r="C6" s="193">
        <f>B6/128</f>
        <v/>
      </c>
      <c r="D6" s="192">
        <f>B6*1.3</f>
        <v/>
      </c>
      <c r="E6" s="193">
        <f>D6/128</f>
        <v/>
      </c>
      <c r="F6" s="192">
        <f>B6*1.4</f>
        <v/>
      </c>
      <c r="G6" s="193">
        <f>F6/128</f>
        <v/>
      </c>
    </row>
    <row r="7" ht="18.75" customHeight="1" s="178">
      <c r="A7" s="189" t="inlineStr">
        <is>
          <t>Carolla</t>
        </is>
      </c>
      <c r="B7" s="192" t="n">
        <v>1710</v>
      </c>
      <c r="C7" s="193">
        <f>B7/128</f>
        <v/>
      </c>
      <c r="D7" s="192">
        <f>B7*1.3</f>
        <v/>
      </c>
      <c r="E7" s="193">
        <f>D7/128</f>
        <v/>
      </c>
      <c r="F7" s="192">
        <f>B7*1.4</f>
        <v/>
      </c>
      <c r="G7" s="193">
        <f>F7/128</f>
        <v/>
      </c>
    </row>
    <row r="8" ht="18.75" customHeight="1" s="178">
      <c r="A8" s="189" t="inlineStr">
        <is>
          <t>Commuter</t>
        </is>
      </c>
      <c r="B8" s="192" t="n">
        <v>1890</v>
      </c>
      <c r="C8" s="193">
        <f>B8/128</f>
        <v/>
      </c>
      <c r="D8" s="192">
        <f>B8*1.3</f>
        <v/>
      </c>
      <c r="E8" s="193">
        <f>D8/128</f>
        <v/>
      </c>
      <c r="F8" s="192">
        <f>B8*1.4</f>
        <v/>
      </c>
      <c r="G8" s="193">
        <f>F8/128</f>
        <v/>
      </c>
    </row>
    <row r="9" ht="18.75" customHeight="1" s="178">
      <c r="A9" s="189" t="inlineStr">
        <is>
          <t>Coaster</t>
        </is>
      </c>
      <c r="B9" s="192" t="n">
        <v>2295</v>
      </c>
      <c r="C9" s="193">
        <f>B9/128</f>
        <v/>
      </c>
      <c r="D9" s="192">
        <f>B9*1.3</f>
        <v/>
      </c>
      <c r="E9" s="193">
        <f>D9/128</f>
        <v/>
      </c>
      <c r="F9" s="192">
        <f>B9*1.4</f>
        <v/>
      </c>
      <c r="G9" s="193">
        <f>F9/128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17"/>
  <sheetViews>
    <sheetView showFormulas="0" showGridLines="1" showRowColHeaders="1" showZeros="1" rightToLeft="0" tabSelected="0" showOutlineSymbols="1" defaultGridColor="1" view="normal" topLeftCell="A1" colorId="64" zoomScale="125" zoomScaleNormal="125" zoomScalePageLayoutView="100" workbookViewId="0">
      <selection pane="topLeft" activeCell="B5" activeCellId="0" sqref="B5"/>
    </sheetView>
  </sheetViews>
  <sheetFormatPr baseColWidth="8" defaultColWidth="10.87890625" defaultRowHeight="21" zeroHeight="0" outlineLevelRow="0"/>
  <cols>
    <col width="34.5" customWidth="1" style="194" min="1" max="1"/>
    <col width="10.87" customWidth="1" style="194" min="2" max="16384"/>
  </cols>
  <sheetData>
    <row r="1" ht="21" customHeight="1" s="178">
      <c r="A1" s="194" t="inlineStr">
        <is>
          <t>TOLL PRICES</t>
        </is>
      </c>
    </row>
    <row r="2" ht="21" customHeight="1" s="178">
      <c r="A2" s="194" t="inlineStr">
        <is>
          <t>1 box of 45.7m of Vinyl = 24kg</t>
        </is>
      </c>
    </row>
    <row r="3" ht="21" customHeight="1" s="178">
      <c r="A3" s="194" t="inlineStr">
        <is>
          <t>(0.7 kg per metre)</t>
        </is>
      </c>
    </row>
    <row r="5" ht="21" customHeight="1" s="178">
      <c r="A5" s="194" t="inlineStr">
        <is>
          <t>Consignment - $11</t>
        </is>
      </c>
    </row>
    <row r="6" ht="21" customHeight="1" s="178">
      <c r="A6" s="194" t="inlineStr">
        <is>
          <t>Plus 15% surcharge</t>
        </is>
      </c>
    </row>
    <row r="9" ht="21" customHeight="1" s="178">
      <c r="A9" s="194" t="inlineStr">
        <is>
          <t>OFF PEAK</t>
        </is>
      </c>
    </row>
    <row r="10" ht="21" customHeight="1" s="178">
      <c r="A10" s="194" t="inlineStr">
        <is>
          <t>Sydney Area - $1.38 / kg</t>
        </is>
      </c>
    </row>
    <row r="11" ht="21" customHeight="1" s="178">
      <c r="A11" s="194" t="inlineStr">
        <is>
          <t>Brisbane Area - $3.40 / kg</t>
        </is>
      </c>
    </row>
    <row r="12" ht="21" customHeight="1" s="178">
      <c r="A12" s="194" t="inlineStr">
        <is>
          <t>Perth Area - $2.95 / kg</t>
        </is>
      </c>
    </row>
    <row r="14" ht="21" customHeight="1" s="178">
      <c r="A14" s="194" t="inlineStr">
        <is>
          <t>OVERNIGHT</t>
        </is>
      </c>
    </row>
    <row r="15" ht="21" customHeight="1" s="178">
      <c r="A15" s="194" t="inlineStr">
        <is>
          <t>Sydney Area - $3.68 / kg</t>
        </is>
      </c>
    </row>
    <row r="16" ht="21" customHeight="1" s="178">
      <c r="A16" s="194" t="inlineStr">
        <is>
          <t>Brisbane Area - $8.70 / kg</t>
        </is>
      </c>
    </row>
    <row r="17" ht="21" customHeight="1" s="178">
      <c r="A17" s="194" t="inlineStr">
        <is>
          <t>Perth Area - $12.78 / kg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65"/>
  <sheetViews>
    <sheetView showFormulas="0" showGridLines="1" showRowColHeaders="1" showZeros="1" rightToLeft="0" tabSelected="0" showOutlineSymbols="1" defaultGridColor="1" view="normal" topLeftCell="A12" colorId="64" zoomScale="125" zoomScaleNormal="125" zoomScalePageLayoutView="100" workbookViewId="0">
      <selection pane="topLeft" activeCell="H41" activeCellId="0" sqref="H41"/>
    </sheetView>
  </sheetViews>
  <sheetFormatPr baseColWidth="8" defaultColWidth="8.87890625" defaultRowHeight="15.75" zeroHeight="0" outlineLevelRow="0"/>
  <cols>
    <col width="29.37" customWidth="1" style="187" min="2" max="2"/>
    <col width="5.51" customWidth="1" style="187" min="3" max="3"/>
    <col width="8.5" customWidth="1" style="187" min="4" max="4"/>
    <col width="9.630000000000001" customWidth="1" style="187" min="6" max="6"/>
    <col width="6.37" customWidth="1" style="187" min="15" max="15"/>
  </cols>
  <sheetData>
    <row r="1" ht="15.75" customHeight="1" s="178">
      <c r="A1" s="195" t="inlineStr">
        <is>
          <t>Name</t>
        </is>
      </c>
      <c r="B1" s="196" t="inlineStr">
        <is>
          <t>LABEL CONCEPTS P/L(90Days) - TELSTRA</t>
        </is>
      </c>
      <c r="C1" s="197" t="n"/>
      <c r="D1" s="195" t="n"/>
      <c r="E1" s="195" t="n"/>
      <c r="F1" s="195" t="n"/>
      <c r="G1" s="195" t="n"/>
      <c r="H1" s="195" t="n"/>
      <c r="I1" s="195" t="n"/>
      <c r="J1" s="195" t="n"/>
      <c r="K1" s="195" t="n"/>
      <c r="L1" s="195" t="n"/>
      <c r="M1" s="195" t="n"/>
      <c r="N1" s="195" t="n"/>
    </row>
    <row r="2" ht="15.75" customHeight="1" s="178">
      <c r="A2" s="195" t="n"/>
      <c r="B2" s="195" t="n"/>
      <c r="C2" s="195" t="n"/>
      <c r="D2" s="195" t="n"/>
      <c r="E2" s="195" t="n"/>
      <c r="F2" s="195" t="n"/>
      <c r="G2" s="198" t="n"/>
      <c r="H2" s="195" t="n"/>
      <c r="I2" s="195" t="n"/>
      <c r="J2" s="195" t="n"/>
      <c r="K2" s="195" t="n"/>
      <c r="L2" s="198" t="inlineStr">
        <is>
          <t>Increased Pricing</t>
        </is>
      </c>
      <c r="M2" s="195" t="n"/>
      <c r="N2" s="195" t="n"/>
    </row>
    <row r="3" ht="31.5" customHeight="1" s="178">
      <c r="A3" s="199" t="inlineStr">
        <is>
          <t>Row Labels</t>
        </is>
      </c>
      <c r="B3" s="199" t="inlineStr">
        <is>
          <t>Description</t>
        </is>
      </c>
      <c r="C3" s="199" t="inlineStr">
        <is>
          <t>UM</t>
        </is>
      </c>
      <c r="D3" s="199" t="inlineStr">
        <is>
          <t>Width (m)</t>
        </is>
      </c>
      <c r="E3" s="199" t="inlineStr">
        <is>
          <t>Length (m)</t>
        </is>
      </c>
      <c r="F3" s="200" t="inlineStr">
        <is>
          <t>Current price</t>
        </is>
      </c>
      <c r="G3" s="199" t="inlineStr">
        <is>
          <t>Increase %</t>
        </is>
      </c>
      <c r="H3" s="201" t="inlineStr">
        <is>
          <t>New price</t>
        </is>
      </c>
    </row>
    <row r="4" ht="15.75" customHeight="1" s="178">
      <c r="A4" s="202" t="inlineStr">
        <is>
          <t>M5332</t>
        </is>
      </c>
      <c r="B4" s="203" t="inlineStr">
        <is>
          <t>MPI 1005 SC EA RS GW REM</t>
        </is>
      </c>
      <c r="C4" s="195" t="inlineStr">
        <is>
          <t>M2</t>
        </is>
      </c>
      <c r="D4" s="195" t="n">
        <v>1.372</v>
      </c>
      <c r="E4" s="195" t="n">
        <v>45.7</v>
      </c>
      <c r="F4" s="204" t="n">
        <v>8.42</v>
      </c>
      <c r="G4" s="205" t="n">
        <v>0</v>
      </c>
      <c r="H4" s="206" t="n">
        <v>8.42</v>
      </c>
    </row>
    <row r="5" ht="15.75" customHeight="1" s="178">
      <c r="A5" s="202" t="inlineStr">
        <is>
          <t>M5046</t>
        </is>
      </c>
      <c r="B5" s="203" t="inlineStr">
        <is>
          <t>DOL 1460 GL CL PER PET</t>
        </is>
      </c>
      <c r="C5" s="195" t="inlineStr">
        <is>
          <t>M2</t>
        </is>
      </c>
      <c r="D5" s="195" t="n">
        <v>1.372</v>
      </c>
      <c r="E5" s="195" t="n">
        <v>45.7</v>
      </c>
      <c r="F5" s="204" t="n">
        <v>8.42</v>
      </c>
      <c r="G5" s="205" t="n">
        <v>0.025</v>
      </c>
      <c r="H5" s="206" t="n">
        <v>8.630000000000001</v>
      </c>
    </row>
    <row r="6" ht="15.75" customHeight="1" s="178">
      <c r="A6" s="202" t="inlineStr">
        <is>
          <t>TC1934</t>
        </is>
      </c>
      <c r="B6" s="203" t="inlineStr">
        <is>
          <t>DOL 1360 GL TRANS PER KR</t>
        </is>
      </c>
      <c r="C6" s="195" t="inlineStr">
        <is>
          <t>M2</t>
        </is>
      </c>
      <c r="D6" s="195" t="n">
        <v>1.372</v>
      </c>
      <c r="E6" s="195" t="n">
        <v>45.7</v>
      </c>
      <c r="F6" s="204" t="n">
        <v>8.44</v>
      </c>
      <c r="G6" s="205" t="n">
        <v>0.045</v>
      </c>
      <c r="H6" s="206" t="n">
        <v>8.82</v>
      </c>
    </row>
    <row r="7" ht="15.75" customHeight="1" s="178">
      <c r="A7" s="202" t="inlineStr">
        <is>
          <t>M3511</t>
        </is>
      </c>
      <c r="B7" s="203" t="inlineStr">
        <is>
          <t>MPI 1005 SC GO LTR PE</t>
        </is>
      </c>
      <c r="C7" s="195" t="inlineStr">
        <is>
          <t>M2</t>
        </is>
      </c>
      <c r="D7" s="195" t="n">
        <v>1.372</v>
      </c>
      <c r="E7" s="195" t="n">
        <v>45.7</v>
      </c>
      <c r="F7" s="204" t="n">
        <v>8.42</v>
      </c>
      <c r="G7" s="205" t="n">
        <v>0</v>
      </c>
      <c r="H7" s="206" t="n">
        <v>8.42</v>
      </c>
    </row>
    <row r="8" ht="15.75" customHeight="1" s="178">
      <c r="A8" s="195" t="n"/>
      <c r="B8" s="195" t="n"/>
      <c r="C8" s="195" t="n"/>
      <c r="D8" s="195" t="n"/>
      <c r="E8" s="195" t="n"/>
      <c r="F8" s="195" t="n"/>
      <c r="G8" s="195" t="n"/>
      <c r="H8" s="195" t="n"/>
      <c r="I8" s="195" t="n"/>
      <c r="J8" s="195" t="n"/>
      <c r="K8" s="195" t="n"/>
      <c r="L8" s="195" t="n"/>
      <c r="M8" s="195" t="n"/>
      <c r="N8" s="195" t="n"/>
    </row>
    <row r="9" ht="15.75" customHeight="1" s="178">
      <c r="G9" s="207" t="inlineStr">
        <is>
          <t xml:space="preserve">Current Pack pricing = $1055.86 </t>
        </is>
      </c>
      <c r="H9" s="207" t="n"/>
      <c r="I9" s="207" t="n"/>
    </row>
    <row r="10" ht="15.75" customHeight="1" s="178">
      <c r="G10" s="208" t="inlineStr">
        <is>
          <t>New pack pricing = $1069.03 ($13.17)</t>
        </is>
      </c>
      <c r="H10" s="208" t="n"/>
      <c r="I10" s="208" t="n"/>
      <c r="J10" s="208" t="n"/>
    </row>
    <row r="13" ht="15.75" customHeight="1" s="178">
      <c r="A13" s="195" t="inlineStr">
        <is>
          <t>Name</t>
        </is>
      </c>
      <c r="B13" s="196" t="inlineStr">
        <is>
          <t>LABEL CONCEPTS PTY LTD (STANDARD ACCOUNT)</t>
        </is>
      </c>
      <c r="C13" s="197" t="n"/>
      <c r="D13" s="197" t="n"/>
      <c r="E13" s="195" t="n"/>
      <c r="F13" s="195" t="n"/>
      <c r="G13" s="195" t="n"/>
      <c r="H13" s="195" t="n"/>
      <c r="I13" s="195" t="n"/>
      <c r="J13" s="195" t="n"/>
      <c r="K13" s="195" t="n"/>
      <c r="L13" s="195" t="n"/>
      <c r="M13" s="195" t="n"/>
      <c r="N13" s="195" t="n"/>
    </row>
    <row r="14" ht="15.75" customHeight="1" s="178">
      <c r="A14" s="195" t="n"/>
      <c r="B14" s="195" t="n"/>
      <c r="C14" s="195" t="n"/>
      <c r="D14" s="195" t="n"/>
      <c r="E14" s="195" t="n"/>
      <c r="F14" s="195" t="n"/>
      <c r="G14" s="198" t="n"/>
      <c r="H14" s="195" t="n"/>
      <c r="I14" s="195" t="n"/>
      <c r="J14" s="195" t="n"/>
      <c r="K14" s="195" t="n"/>
      <c r="L14" s="198" t="n"/>
      <c r="M14" s="195" t="n"/>
      <c r="N14" s="195" t="n"/>
    </row>
    <row r="15" ht="31.5" customHeight="1" s="178">
      <c r="A15" s="199" t="inlineStr">
        <is>
          <t>Row Labels</t>
        </is>
      </c>
      <c r="B15" s="199" t="inlineStr">
        <is>
          <t>Description</t>
        </is>
      </c>
      <c r="C15" s="199" t="inlineStr">
        <is>
          <t>UM</t>
        </is>
      </c>
      <c r="D15" s="199" t="inlineStr">
        <is>
          <t>Width (m)</t>
        </is>
      </c>
      <c r="E15" s="199" t="inlineStr">
        <is>
          <t>Length (m)</t>
        </is>
      </c>
      <c r="F15" s="200" t="inlineStr">
        <is>
          <t>Current price</t>
        </is>
      </c>
      <c r="G15" s="199" t="inlineStr">
        <is>
          <t>Increase %</t>
        </is>
      </c>
      <c r="H15" s="201" t="inlineStr">
        <is>
          <t>New price</t>
        </is>
      </c>
      <c r="I15" s="199" t="n"/>
      <c r="J15" s="199" t="n"/>
    </row>
    <row r="16" ht="15.75" customHeight="1" s="178">
      <c r="A16" s="202" t="inlineStr">
        <is>
          <t>AR9250001</t>
        </is>
      </c>
      <c r="B16" s="203" t="inlineStr">
        <is>
          <t>2700/337A GUN GREY JAYCO</t>
        </is>
      </c>
      <c r="C16" s="195" t="inlineStr">
        <is>
          <t>M2</t>
        </is>
      </c>
      <c r="D16" s="195" t="n">
        <v>1.23</v>
      </c>
      <c r="E16" s="195" t="n">
        <v>50</v>
      </c>
      <c r="F16" s="203" t="n">
        <v>9.449999999999999</v>
      </c>
      <c r="G16" s="205" t="n">
        <v>0.015</v>
      </c>
      <c r="H16" s="209" t="n">
        <v>9.59</v>
      </c>
      <c r="I16" s="195">
        <f>(1.23*50)*H16</f>
        <v/>
      </c>
      <c r="J16" s="195" t="n"/>
    </row>
    <row r="17" ht="15.75" customHeight="1" s="178">
      <c r="A17" s="202" t="inlineStr">
        <is>
          <t>MSY5106</t>
        </is>
      </c>
      <c r="B17" s="203" t="inlineStr">
        <is>
          <t>2700/277B SILVER JAYCO 1</t>
        </is>
      </c>
      <c r="C17" s="195" t="inlineStr">
        <is>
          <t>M2</t>
        </is>
      </c>
      <c r="D17" s="195" t="n">
        <v>1.23</v>
      </c>
      <c r="E17" s="195" t="n">
        <v>50</v>
      </c>
      <c r="F17" s="203" t="n">
        <v>9.449999999999999</v>
      </c>
      <c r="G17" s="205" t="n">
        <v>0.015</v>
      </c>
      <c r="H17" s="209" t="n">
        <v>9.59</v>
      </c>
      <c r="I17" s="195" t="n"/>
      <c r="J17" s="195" t="n"/>
    </row>
    <row r="18" ht="15.75" customHeight="1" s="178">
      <c r="A18" s="202" t="inlineStr">
        <is>
          <t>MSY5130</t>
        </is>
      </c>
      <c r="B18" s="203" t="inlineStr">
        <is>
          <t>2700/280B CHARCL JAYCO</t>
        </is>
      </c>
      <c r="C18" s="195" t="inlineStr">
        <is>
          <t>M2</t>
        </is>
      </c>
      <c r="D18" s="195" t="n">
        <v>1.23</v>
      </c>
      <c r="E18" s="195" t="n">
        <v>50</v>
      </c>
      <c r="F18" s="203" t="n">
        <v>9.449999999999999</v>
      </c>
      <c r="G18" s="205" t="n">
        <v>0.015</v>
      </c>
      <c r="H18" s="209" t="n">
        <v>9.59</v>
      </c>
      <c r="I18" s="195" t="n"/>
      <c r="J18" s="195" t="n"/>
    </row>
    <row r="19" ht="15.75" customHeight="1" s="178">
      <c r="A19" s="202" t="inlineStr">
        <is>
          <t>M5332</t>
        </is>
      </c>
      <c r="B19" s="195" t="inlineStr">
        <is>
          <t>MPI 1005 SC EA RS GW REM</t>
        </is>
      </c>
      <c r="C19" s="195" t="inlineStr">
        <is>
          <t>M2</t>
        </is>
      </c>
      <c r="D19" s="195" t="n">
        <v>1.372</v>
      </c>
      <c r="E19" s="195" t="n">
        <v>45.7</v>
      </c>
      <c r="F19" s="203" t="n">
        <v>8.42</v>
      </c>
      <c r="G19" s="205" t="n">
        <v>0</v>
      </c>
      <c r="H19" s="209" t="n">
        <v>8.42</v>
      </c>
      <c r="I19" s="195" t="n"/>
      <c r="J19" s="195" t="n"/>
    </row>
    <row r="20" ht="15.75" customHeight="1" s="178">
      <c r="A20" s="202" t="inlineStr">
        <is>
          <t>M3511</t>
        </is>
      </c>
      <c r="B20" s="195" t="inlineStr">
        <is>
          <t>MPI 1005 SC GO LTR PE</t>
        </is>
      </c>
      <c r="C20" s="195" t="inlineStr">
        <is>
          <t>M2</t>
        </is>
      </c>
      <c r="D20" s="195" t="n">
        <v>1.372</v>
      </c>
      <c r="E20" s="195" t="n">
        <v>45.7</v>
      </c>
      <c r="F20" s="203" t="n">
        <v>8.42</v>
      </c>
      <c r="G20" s="205" t="n">
        <v>0</v>
      </c>
      <c r="H20" s="209" t="n">
        <v>8.42</v>
      </c>
      <c r="I20" s="195" t="n"/>
      <c r="J20" s="195" t="n"/>
    </row>
    <row r="21" ht="15.75" customHeight="1" s="178">
      <c r="A21" s="202" t="inlineStr">
        <is>
          <t>MUC8754</t>
        </is>
      </c>
      <c r="B21" s="195" t="inlineStr">
        <is>
          <t>DOL 4300 GL A/GRF PER KR</t>
        </is>
      </c>
      <c r="C21" s="195" t="inlineStr">
        <is>
          <t>M2</t>
        </is>
      </c>
      <c r="D21" s="195" t="n">
        <v>1.37</v>
      </c>
      <c r="E21" s="195" t="n">
        <v>50</v>
      </c>
      <c r="F21" s="203" t="n">
        <v>10.49</v>
      </c>
      <c r="G21" s="205" t="n">
        <v>0.035</v>
      </c>
      <c r="H21" s="209" t="n">
        <v>10.86</v>
      </c>
      <c r="I21" s="195" t="n"/>
      <c r="J21" s="195" t="n"/>
    </row>
    <row r="22" ht="15.75" customHeight="1" s="178">
      <c r="A22" s="202" t="inlineStr">
        <is>
          <t>MSY5155</t>
        </is>
      </c>
      <c r="B22" s="203" t="inlineStr">
        <is>
          <t>2700/276B RYLBLU JAYCO</t>
        </is>
      </c>
      <c r="C22" s="195" t="inlineStr">
        <is>
          <t>M2</t>
        </is>
      </c>
      <c r="D22" s="195" t="n">
        <v>1.23</v>
      </c>
      <c r="E22" s="195" t="n">
        <v>50</v>
      </c>
      <c r="F22" s="203" t="n">
        <v>9.449999999999999</v>
      </c>
      <c r="G22" s="205" t="n">
        <v>0.015</v>
      </c>
      <c r="H22" s="209" t="n">
        <v>9.59</v>
      </c>
      <c r="I22" s="195" t="n"/>
      <c r="J22" s="195" t="n"/>
    </row>
    <row r="23" ht="15.75" customHeight="1" s="178">
      <c r="A23" s="202" t="inlineStr">
        <is>
          <t>AS1280001</t>
        </is>
      </c>
      <c r="B23" s="203" t="inlineStr">
        <is>
          <t>2700/339A GOLD</t>
        </is>
      </c>
      <c r="C23" s="195" t="inlineStr">
        <is>
          <t>M2</t>
        </is>
      </c>
      <c r="D23" s="195" t="n">
        <v>1.23</v>
      </c>
      <c r="E23" s="195" t="n">
        <v>50</v>
      </c>
      <c r="F23" s="203" t="n">
        <v>9.449999999999999</v>
      </c>
      <c r="G23" s="205" t="n">
        <v>0.015</v>
      </c>
      <c r="H23" s="209" t="n">
        <v>9.59</v>
      </c>
      <c r="I23" s="195" t="n"/>
      <c r="J23" s="195" t="n"/>
    </row>
    <row r="24" ht="15.75" customHeight="1" s="178">
      <c r="A24" s="202" t="inlineStr">
        <is>
          <t>413747A60R</t>
        </is>
      </c>
      <c r="B24" s="195" t="inlineStr">
        <is>
          <t>DOL 1480 MATT CL PER KR</t>
        </is>
      </c>
      <c r="C24" s="195" t="inlineStr">
        <is>
          <t>M2</t>
        </is>
      </c>
      <c r="D24" s="195" t="n">
        <v>1.372</v>
      </c>
      <c r="E24" s="195" t="n">
        <v>45.7</v>
      </c>
      <c r="F24" s="203" t="n">
        <v>12.77</v>
      </c>
      <c r="G24" s="205" t="n">
        <v>0.045</v>
      </c>
      <c r="H24" s="209" t="n">
        <v>13.34</v>
      </c>
      <c r="I24" s="195" t="n"/>
      <c r="J24" s="195" t="n"/>
    </row>
    <row r="25" ht="15.75" customHeight="1" s="178">
      <c r="A25" s="202" t="inlineStr">
        <is>
          <t>TC3054</t>
        </is>
      </c>
      <c r="B25" s="203" t="inlineStr">
        <is>
          <t>2600/460A ORANGE JAYCO</t>
        </is>
      </c>
      <c r="C25" s="195" t="inlineStr">
        <is>
          <t>M2</t>
        </is>
      </c>
      <c r="D25" s="195" t="n">
        <v>1.23</v>
      </c>
      <c r="E25" s="195" t="n">
        <v>50</v>
      </c>
      <c r="F25" s="203" t="n">
        <v>9.449999999999999</v>
      </c>
      <c r="G25" s="205" t="n">
        <v>0.015</v>
      </c>
      <c r="H25" s="209" t="n">
        <v>9.59</v>
      </c>
      <c r="I25" s="195" t="n"/>
      <c r="J25" s="195" t="n"/>
    </row>
    <row r="26" ht="15.75" customHeight="1" s="178">
      <c r="A26" s="202" t="n">
        <v>41084</v>
      </c>
      <c r="B26" s="195" t="inlineStr">
        <is>
          <t>MPI 2105 GL WH EA RS LTR</t>
        </is>
      </c>
      <c r="C26" s="195" t="inlineStr">
        <is>
          <t>M2</t>
        </is>
      </c>
      <c r="D26" s="195" t="n">
        <v>1.372</v>
      </c>
      <c r="E26" s="195" t="n">
        <v>45.7</v>
      </c>
      <c r="F26" s="203" t="n">
        <v>6.08</v>
      </c>
      <c r="G26" s="205" t="n">
        <v>0.035</v>
      </c>
      <c r="H26" s="209" t="n">
        <v>6.29</v>
      </c>
      <c r="I26" s="195" t="n"/>
      <c r="J26" s="195" t="n"/>
    </row>
    <row r="27" ht="15.75" customHeight="1" s="178">
      <c r="A27" s="202" t="inlineStr">
        <is>
          <t>M5046</t>
        </is>
      </c>
      <c r="B27" s="195" t="inlineStr">
        <is>
          <t>DOL 1460 GL CL PER PET</t>
        </is>
      </c>
      <c r="C27" s="195" t="inlineStr">
        <is>
          <t>M2</t>
        </is>
      </c>
      <c r="D27" s="195" t="n">
        <v>1.372</v>
      </c>
      <c r="E27" s="195" t="n">
        <v>45.7</v>
      </c>
      <c r="F27" s="203" t="n">
        <v>12.77</v>
      </c>
      <c r="G27" s="205" t="n">
        <v>0.045</v>
      </c>
      <c r="H27" s="209" t="n">
        <v>13.34</v>
      </c>
      <c r="I27" s="195" t="n"/>
      <c r="J27" s="195" t="n"/>
    </row>
    <row r="28" ht="15.75" customHeight="1" s="178">
      <c r="A28" s="202" t="inlineStr">
        <is>
          <t>AV9390001</t>
        </is>
      </c>
      <c r="B28" s="203" t="inlineStr">
        <is>
          <t>2600/504A GREEN JAYCO</t>
        </is>
      </c>
      <c r="C28" s="195" t="inlineStr">
        <is>
          <t>M2</t>
        </is>
      </c>
      <c r="D28" s="195" t="n">
        <v>1.23</v>
      </c>
      <c r="E28" s="195" t="n">
        <v>50</v>
      </c>
      <c r="F28" s="203" t="n">
        <v>9.449999999999999</v>
      </c>
      <c r="G28" s="205" t="n">
        <v>0.015</v>
      </c>
      <c r="H28" s="209" t="n">
        <v>9.59</v>
      </c>
      <c r="I28" s="195" t="n"/>
      <c r="J28" s="195" t="n"/>
    </row>
    <row r="29" ht="15.75" customHeight="1" s="178">
      <c r="A29" s="202" t="inlineStr">
        <is>
          <t>MUB9308</t>
        </is>
      </c>
      <c r="B29" s="195" t="inlineStr">
        <is>
          <t>FASFITI GL CLR PER KR</t>
        </is>
      </c>
      <c r="C29" s="195" t="inlineStr">
        <is>
          <t>M2</t>
        </is>
      </c>
      <c r="D29" s="195" t="n">
        <v>1.23</v>
      </c>
      <c r="E29" s="195" t="n">
        <v>50</v>
      </c>
      <c r="F29" s="203" t="n">
        <v>9.69</v>
      </c>
      <c r="G29" s="205" t="n">
        <v>0.035</v>
      </c>
      <c r="H29" s="209" t="n">
        <v>10.03</v>
      </c>
      <c r="I29" s="195" t="n"/>
      <c r="J29" s="195" t="n"/>
    </row>
    <row r="30" ht="15.75" customHeight="1" s="178">
      <c r="A30" s="202" t="inlineStr">
        <is>
          <t>AS3280001</t>
        </is>
      </c>
      <c r="B30" s="203" t="inlineStr">
        <is>
          <t>2700/342A COPPER M JAYCO</t>
        </is>
      </c>
      <c r="C30" s="195" t="inlineStr">
        <is>
          <t>M2</t>
        </is>
      </c>
      <c r="D30" s="195" t="n">
        <v>1.23</v>
      </c>
      <c r="E30" s="195" t="n">
        <v>50</v>
      </c>
      <c r="F30" s="203" t="n">
        <v>9.449999999999999</v>
      </c>
      <c r="G30" s="205" t="n">
        <v>0.015</v>
      </c>
      <c r="H30" s="209" t="n">
        <v>9.59</v>
      </c>
      <c r="I30" s="195" t="n"/>
      <c r="J30" s="195" t="n"/>
    </row>
    <row r="31" ht="15.75" customHeight="1" s="178">
      <c r="A31" s="202" t="inlineStr">
        <is>
          <t>M3790</t>
        </is>
      </c>
      <c r="B31" s="195" t="inlineStr">
        <is>
          <t>400 GLOSS WHITE PERM PE</t>
        </is>
      </c>
      <c r="C31" s="195" t="inlineStr">
        <is>
          <t>EA</t>
        </is>
      </c>
      <c r="D31" s="195" t="n">
        <v>1</v>
      </c>
      <c r="E31" s="195" t="n">
        <v>760</v>
      </c>
      <c r="F31" s="203" t="n">
        <v>1.92</v>
      </c>
      <c r="G31" s="205" t="n">
        <v>0.02</v>
      </c>
      <c r="H31" s="209" t="n">
        <v>1.96</v>
      </c>
      <c r="I31" s="195" t="n"/>
      <c r="J31" s="195" t="n"/>
    </row>
    <row r="32" ht="15.75" customHeight="1" s="178">
      <c r="A32" s="202" t="inlineStr">
        <is>
          <t>TC1934</t>
        </is>
      </c>
      <c r="B32" s="195" t="inlineStr">
        <is>
          <t>DOL 1360 GL TRANS PER KR</t>
        </is>
      </c>
      <c r="C32" s="195" t="inlineStr">
        <is>
          <t>M2</t>
        </is>
      </c>
      <c r="D32" s="195" t="n">
        <v>1.372</v>
      </c>
      <c r="E32" s="195" t="n">
        <v>45.7</v>
      </c>
      <c r="F32" s="203" t="n">
        <v>11.61</v>
      </c>
      <c r="G32" s="205" t="n">
        <v>0.045</v>
      </c>
      <c r="H32" s="209" t="n">
        <v>12.13</v>
      </c>
      <c r="I32" s="195" t="n"/>
      <c r="J32" s="195" t="n"/>
    </row>
    <row r="33" ht="15.75" customHeight="1" s="178">
      <c r="A33" s="202" t="inlineStr">
        <is>
          <t>BB4320001</t>
        </is>
      </c>
      <c r="B33" s="203" t="inlineStr">
        <is>
          <t>2700/381A BLACK M JAYCO</t>
        </is>
      </c>
      <c r="C33" s="195" t="inlineStr">
        <is>
          <t>M2</t>
        </is>
      </c>
      <c r="D33" s="195" t="n">
        <v>1.23</v>
      </c>
      <c r="E33" s="195" t="n">
        <v>50</v>
      </c>
      <c r="F33" s="203" t="n">
        <v>9.449999999999999</v>
      </c>
      <c r="G33" s="205" t="n">
        <v>0.015</v>
      </c>
      <c r="H33" s="209" t="n">
        <v>9.59</v>
      </c>
      <c r="I33" s="195" t="n"/>
      <c r="J33" s="195" t="n"/>
    </row>
    <row r="34" ht="15.75" customHeight="1" s="178">
      <c r="A34" s="202" t="n">
        <v>3790</v>
      </c>
      <c r="B34" s="195" t="inlineStr">
        <is>
          <t>SERILUX 72100 GW PER PE</t>
        </is>
      </c>
      <c r="C34" s="195" t="inlineStr">
        <is>
          <t>EA</t>
        </is>
      </c>
      <c r="D34" s="195" t="n">
        <v>1</v>
      </c>
      <c r="E34" s="195" t="n">
        <v>760</v>
      </c>
      <c r="F34" s="203" t="n">
        <v>1.92</v>
      </c>
      <c r="G34" s="205" t="n">
        <v>0.02</v>
      </c>
      <c r="H34" s="209" t="n">
        <v>1.96</v>
      </c>
      <c r="I34" s="195" t="n"/>
      <c r="J34" s="195" t="n"/>
    </row>
    <row r="35" ht="15.75" customHeight="1" s="178">
      <c r="A35" s="202" t="inlineStr">
        <is>
          <t>TC1942</t>
        </is>
      </c>
      <c r="B35" s="195" t="inlineStr">
        <is>
          <t>DOL 1060 GL TRANS PER KR</t>
        </is>
      </c>
      <c r="C35" s="195" t="inlineStr">
        <is>
          <t>M2</t>
        </is>
      </c>
      <c r="D35" s="195" t="n">
        <v>1.372</v>
      </c>
      <c r="E35" s="195" t="n">
        <v>45.7</v>
      </c>
      <c r="F35" s="203" t="n">
        <v>10.63</v>
      </c>
      <c r="G35" s="205" t="n">
        <v>0.045</v>
      </c>
      <c r="H35" s="209" t="n">
        <v>11.11</v>
      </c>
      <c r="I35" s="195" t="n"/>
      <c r="J35" s="195" t="n"/>
    </row>
    <row r="36" ht="15.75" customHeight="1" s="178">
      <c r="A36" s="202" t="n">
        <v>1226</v>
      </c>
      <c r="B36" s="195" t="inlineStr">
        <is>
          <t>SERILUX 72101 MW REM KR</t>
        </is>
      </c>
      <c r="C36" s="195" t="inlineStr">
        <is>
          <t>EA</t>
        </is>
      </c>
      <c r="D36" s="195" t="n">
        <v>1</v>
      </c>
      <c r="E36" s="195" t="n">
        <v>760</v>
      </c>
      <c r="F36" s="203" t="n">
        <v>2.22</v>
      </c>
      <c r="G36" s="205" t="n">
        <v>0.02</v>
      </c>
      <c r="H36" s="209" t="n">
        <v>2.26</v>
      </c>
      <c r="I36" s="195" t="n"/>
      <c r="J36" s="195" t="n"/>
    </row>
    <row r="37" ht="15.75" customHeight="1" s="178">
      <c r="A37" s="202" t="inlineStr">
        <is>
          <t>M41027</t>
        </is>
      </c>
      <c r="B37" s="195" t="inlineStr">
        <is>
          <t>DOL 1360 GL TRAN PER PET</t>
        </is>
      </c>
      <c r="C37" s="195" t="inlineStr">
        <is>
          <t>M2</t>
        </is>
      </c>
      <c r="D37" s="195" t="n">
        <v>1.372</v>
      </c>
      <c r="E37" s="195" t="n">
        <v>45.7</v>
      </c>
      <c r="F37" s="203" t="n">
        <v>11.61</v>
      </c>
      <c r="G37" s="205" t="n">
        <v>0.045</v>
      </c>
      <c r="H37" s="209" t="n">
        <v>12.13</v>
      </c>
      <c r="I37" s="195" t="n"/>
      <c r="J37" s="195" t="n"/>
    </row>
    <row r="38" ht="15.75" customHeight="1" s="178">
      <c r="A38" s="202" t="n">
        <v>41121</v>
      </c>
      <c r="B38" s="195" t="inlineStr">
        <is>
          <t>MPI 2105 GL WH EA RS LTR</t>
        </is>
      </c>
      <c r="C38" s="195" t="inlineStr">
        <is>
          <t>M2</t>
        </is>
      </c>
      <c r="D38" s="195" t="n">
        <v>1.524</v>
      </c>
      <c r="E38" s="195" t="n">
        <v>45.7</v>
      </c>
      <c r="F38" s="203" t="n">
        <v>6.08</v>
      </c>
      <c r="G38" s="205" t="n">
        <v>0.035</v>
      </c>
      <c r="H38" s="209" t="n">
        <v>6.29</v>
      </c>
      <c r="I38" s="195" t="n"/>
      <c r="J38" s="195" t="n"/>
    </row>
    <row r="39" ht="15.75" customHeight="1" s="178">
      <c r="A39" s="202" t="inlineStr">
        <is>
          <t>MUC9505</t>
        </is>
      </c>
      <c r="B39" s="195" t="inlineStr">
        <is>
          <t>DOL 2000 GL TRANS PER KR</t>
        </is>
      </c>
      <c r="C39" s="195" t="inlineStr">
        <is>
          <t>M2</t>
        </is>
      </c>
      <c r="D39" s="195" t="n">
        <v>1.37</v>
      </c>
      <c r="E39" s="195" t="n">
        <v>50</v>
      </c>
      <c r="F39" s="203" t="n">
        <v>5.39</v>
      </c>
      <c r="G39" s="205" t="n">
        <v>0.04</v>
      </c>
      <c r="H39" s="209" t="n">
        <v>5.61</v>
      </c>
      <c r="I39" s="195" t="n"/>
      <c r="J39" s="195" t="n"/>
    </row>
    <row r="40" ht="15.75" customHeight="1" s="178">
      <c r="A40" s="202" t="inlineStr">
        <is>
          <t>MYB2882</t>
        </is>
      </c>
      <c r="B40" s="195" t="inlineStr">
        <is>
          <t>DOL 3100 MT TRANS PER KR</t>
        </is>
      </c>
      <c r="C40" s="195" t="inlineStr">
        <is>
          <t>M2</t>
        </is>
      </c>
      <c r="D40" s="195" t="n">
        <v>1.37</v>
      </c>
      <c r="E40" s="195" t="n">
        <v>50</v>
      </c>
      <c r="F40" s="203" t="n">
        <v>2.35</v>
      </c>
      <c r="G40" s="205" t="n">
        <v>0.045</v>
      </c>
      <c r="H40" s="209" t="n">
        <v>2.46</v>
      </c>
      <c r="I40" s="195" t="n"/>
      <c r="J40" s="195" t="n"/>
    </row>
    <row r="41" ht="15.75" customHeight="1" s="178">
      <c r="A41" s="202" t="inlineStr">
        <is>
          <t>M29304</t>
        </is>
      </c>
      <c r="B41" s="195" t="inlineStr">
        <is>
          <t>DOL 1060 GL TRAN PER PET</t>
        </is>
      </c>
      <c r="C41" s="195" t="inlineStr">
        <is>
          <t>M2</t>
        </is>
      </c>
      <c r="D41" s="195" t="n">
        <v>1.524</v>
      </c>
      <c r="E41" s="195" t="n">
        <v>45.7</v>
      </c>
      <c r="F41" s="203" t="n">
        <v>10.63</v>
      </c>
      <c r="G41" s="205" t="n">
        <v>0.045</v>
      </c>
      <c r="H41" s="209" t="n">
        <v>11.11</v>
      </c>
      <c r="I41" s="195" t="n"/>
      <c r="J41" s="195" t="n"/>
    </row>
    <row r="42" ht="15.75" customHeight="1" s="178">
      <c r="A42" s="202" t="inlineStr">
        <is>
          <t>AV6850001</t>
        </is>
      </c>
      <c r="B42" s="203" t="inlineStr">
        <is>
          <t>2700/357A BR BLU M JAYCO</t>
        </is>
      </c>
      <c r="C42" s="195" t="inlineStr">
        <is>
          <t>M2</t>
        </is>
      </c>
      <c r="D42" s="195" t="n">
        <v>1.23</v>
      </c>
      <c r="E42" s="195" t="n">
        <v>50</v>
      </c>
      <c r="F42" s="203" t="n">
        <v>9.449999999999999</v>
      </c>
      <c r="G42" s="205" t="n">
        <v>0.015</v>
      </c>
      <c r="H42" s="209" t="n">
        <v>9.59</v>
      </c>
      <c r="I42" s="195" t="n"/>
      <c r="J42" s="195" t="n"/>
    </row>
    <row r="43" ht="15.75" customHeight="1" s="178">
      <c r="A43" s="202" t="inlineStr">
        <is>
          <t>M2797</t>
        </is>
      </c>
      <c r="B43" s="195" t="inlineStr">
        <is>
          <t>440 GLOSS TRANSP PERM PE</t>
        </is>
      </c>
      <c r="C43" s="195" t="inlineStr">
        <is>
          <t>EA</t>
        </is>
      </c>
      <c r="D43" s="195" t="n">
        <v>1</v>
      </c>
      <c r="E43" s="195" t="n">
        <v>760</v>
      </c>
      <c r="F43" s="203" t="n">
        <v>1.87</v>
      </c>
      <c r="G43" s="205" t="n">
        <v>0.02</v>
      </c>
      <c r="H43" s="209" t="n">
        <v>1.91</v>
      </c>
      <c r="I43" s="195" t="n"/>
      <c r="J43" s="195" t="n"/>
    </row>
    <row r="44" ht="15.75" customHeight="1" s="178">
      <c r="A44" s="202" t="inlineStr">
        <is>
          <t>MUD2806</t>
        </is>
      </c>
      <c r="B44" s="195" t="inlineStr">
        <is>
          <t>DOL 2100 MT TRANS PER KR</t>
        </is>
      </c>
      <c r="C44" s="195" t="inlineStr">
        <is>
          <t>M2</t>
        </is>
      </c>
      <c r="D44" s="195" t="n">
        <v>1.37</v>
      </c>
      <c r="E44" s="195" t="n">
        <v>50</v>
      </c>
      <c r="F44" s="203" t="n">
        <v>5.39</v>
      </c>
      <c r="G44" s="205" t="n">
        <v>0.04</v>
      </c>
      <c r="H44" s="209" t="n">
        <v>5.61</v>
      </c>
      <c r="I44" s="195" t="n"/>
      <c r="J44" s="195" t="n"/>
    </row>
    <row r="45" ht="15.75" customHeight="1" s="178">
      <c r="A45" s="202" t="n">
        <v>2797</v>
      </c>
      <c r="B45" s="195" t="inlineStr">
        <is>
          <t>SERILUX 70100 GC PER PE</t>
        </is>
      </c>
      <c r="C45" s="195" t="inlineStr">
        <is>
          <t>EA</t>
        </is>
      </c>
      <c r="D45" s="195" t="n">
        <v>1</v>
      </c>
      <c r="E45" s="195" t="n">
        <v>760</v>
      </c>
      <c r="F45" s="203" t="n">
        <v>1.87</v>
      </c>
      <c r="G45" s="205" t="n">
        <v>0.02</v>
      </c>
      <c r="H45" s="209" t="n">
        <v>1.91</v>
      </c>
      <c r="I45" s="195" t="n"/>
      <c r="J45" s="195" t="n"/>
    </row>
    <row r="46" ht="15.75" customHeight="1" s="178">
      <c r="A46" s="202" t="n">
        <v>1223</v>
      </c>
      <c r="B46" s="195" t="inlineStr">
        <is>
          <t>SERILUX 72101 MW PER KR</t>
        </is>
      </c>
      <c r="C46" s="195" t="inlineStr">
        <is>
          <t>EA</t>
        </is>
      </c>
      <c r="D46" s="195" t="n">
        <v>1</v>
      </c>
      <c r="E46" s="195" t="n">
        <v>760</v>
      </c>
      <c r="F46" s="203" t="n">
        <v>2.1</v>
      </c>
      <c r="G46" s="205" t="n">
        <v>0.02</v>
      </c>
      <c r="H46" s="209" t="n">
        <v>2.14</v>
      </c>
      <c r="I46" s="195" t="n"/>
      <c r="J46" s="195" t="n"/>
    </row>
    <row r="47" ht="15.75" customHeight="1" s="178">
      <c r="A47" s="202" t="inlineStr">
        <is>
          <t>M3601</t>
        </is>
      </c>
      <c r="B47" s="195" t="inlineStr">
        <is>
          <t>DOL 1080 MT TRANS PER KR</t>
        </is>
      </c>
      <c r="C47" s="195" t="inlineStr">
        <is>
          <t>M2</t>
        </is>
      </c>
      <c r="D47" s="195" t="n">
        <v>1.372</v>
      </c>
      <c r="E47" s="195" t="n">
        <v>45.7</v>
      </c>
      <c r="F47" s="203" t="n">
        <v>10.63</v>
      </c>
      <c r="G47" s="205" t="n">
        <v>0.045</v>
      </c>
      <c r="H47" s="209" t="n">
        <v>11.11</v>
      </c>
      <c r="I47" s="195" t="n"/>
      <c r="J47" s="195" t="n"/>
    </row>
    <row r="48" ht="15.75" customHeight="1" s="178">
      <c r="A48" s="202" t="inlineStr">
        <is>
          <t>MFA3315</t>
        </is>
      </c>
      <c r="B48" s="195" t="inlineStr">
        <is>
          <t>900 SCREEN GL WH PER PE</t>
        </is>
      </c>
      <c r="C48" s="195" t="inlineStr">
        <is>
          <t>M2</t>
        </is>
      </c>
      <c r="D48" s="195" t="n">
        <v>1.23</v>
      </c>
      <c r="E48" s="195" t="n">
        <v>50</v>
      </c>
      <c r="F48" s="203" t="n">
        <v>12.2</v>
      </c>
      <c r="G48" s="205" t="n">
        <v>0.035</v>
      </c>
      <c r="H48" s="209" t="n">
        <v>12.63</v>
      </c>
      <c r="I48" s="195" t="n"/>
      <c r="J48" s="195" t="n"/>
    </row>
    <row r="49" ht="15.75" customHeight="1" s="178">
      <c r="A49" s="202" t="inlineStr">
        <is>
          <t>MSY5148</t>
        </is>
      </c>
      <c r="B49" s="203" t="inlineStr">
        <is>
          <t>2700/278B SATGLD JAYCO 1</t>
        </is>
      </c>
      <c r="C49" s="195" t="inlineStr">
        <is>
          <t>M2</t>
        </is>
      </c>
      <c r="D49" s="195" t="n">
        <v>1.23</v>
      </c>
      <c r="E49" s="195" t="n">
        <v>50</v>
      </c>
      <c r="F49" s="203" t="n">
        <v>9.449999999999999</v>
      </c>
      <c r="G49" s="205" t="n">
        <v>0.015</v>
      </c>
      <c r="H49" s="209" t="n">
        <v>9.59</v>
      </c>
      <c r="I49" s="195" t="n"/>
      <c r="J49" s="195" t="n"/>
    </row>
    <row r="50" ht="15.75" customHeight="1" s="178">
      <c r="A50" s="202" t="inlineStr">
        <is>
          <t>SE00306.762</t>
        </is>
      </c>
      <c r="B50" s="195" t="inlineStr">
        <is>
          <t>400 SUPERTAK GW PER KR</t>
        </is>
      </c>
      <c r="C50" s="195" t="inlineStr">
        <is>
          <t>EA</t>
        </is>
      </c>
      <c r="D50" s="195" t="n">
        <v>1</v>
      </c>
      <c r="E50" s="195" t="n">
        <v>760</v>
      </c>
      <c r="F50" s="203" t="n">
        <v>2.25</v>
      </c>
      <c r="G50" s="205" t="n">
        <v>0.02</v>
      </c>
      <c r="H50" s="209" t="n">
        <v>2.3</v>
      </c>
      <c r="I50" s="195" t="n"/>
      <c r="J50" s="195" t="n"/>
    </row>
    <row r="51" ht="15.75" customHeight="1" s="178">
      <c r="A51" s="202" t="inlineStr">
        <is>
          <t>CB8690002</t>
        </is>
      </c>
      <c r="B51" s="195" t="inlineStr">
        <is>
          <t>MPI 2040 GC PER PE</t>
        </is>
      </c>
      <c r="C51" s="195" t="inlineStr">
        <is>
          <t>M2</t>
        </is>
      </c>
      <c r="D51" s="195" t="n">
        <v>1.37</v>
      </c>
      <c r="E51" s="195" t="n">
        <v>50</v>
      </c>
      <c r="F51" s="203" t="n">
        <v>4.85</v>
      </c>
      <c r="G51" s="205" t="n">
        <v>0.035</v>
      </c>
      <c r="H51" s="209" t="n">
        <v>5.02</v>
      </c>
      <c r="I51" s="195" t="n"/>
      <c r="J51" s="195" t="n"/>
    </row>
    <row r="52" ht="15.75" customHeight="1" s="178">
      <c r="A52" s="202" t="inlineStr">
        <is>
          <t>MXD9374</t>
        </is>
      </c>
      <c r="B52" s="195" t="inlineStr">
        <is>
          <t>MPI DUSTED GLASS EA RS</t>
        </is>
      </c>
      <c r="C52" s="195" t="inlineStr">
        <is>
          <t>M2</t>
        </is>
      </c>
      <c r="D52" s="195" t="n">
        <v>1.37</v>
      </c>
      <c r="E52" s="195" t="n">
        <v>50</v>
      </c>
      <c r="F52" s="203" t="n">
        <v>8.16</v>
      </c>
      <c r="G52" s="205" t="n">
        <v>0.035</v>
      </c>
      <c r="H52" s="209" t="n">
        <v>8.449999999999999</v>
      </c>
      <c r="I52" s="195" t="n"/>
      <c r="J52" s="195" t="n"/>
    </row>
    <row r="53" ht="15.75" customHeight="1" s="178">
      <c r="A53" s="202" t="inlineStr">
        <is>
          <t>M41240</t>
        </is>
      </c>
      <c r="B53" s="195" t="inlineStr">
        <is>
          <t>MPI 2923 EA MW G/PER PE</t>
        </is>
      </c>
      <c r="C53" s="195" t="inlineStr">
        <is>
          <t>M2</t>
        </is>
      </c>
      <c r="D53" s="195" t="n">
        <v>1.372</v>
      </c>
      <c r="E53" s="195" t="n">
        <v>45.7</v>
      </c>
      <c r="F53" s="203" t="n">
        <v>5.28</v>
      </c>
      <c r="G53" s="205" t="n">
        <v>0.025</v>
      </c>
      <c r="H53" s="209" t="n">
        <v>5.41</v>
      </c>
      <c r="I53" s="195" t="n"/>
      <c r="J53" s="195" t="n"/>
    </row>
    <row r="54" ht="15.75" customHeight="1" s="178">
      <c r="A54" s="202" t="inlineStr">
        <is>
          <t>MFA3398</t>
        </is>
      </c>
      <c r="B54" s="195" t="inlineStr">
        <is>
          <t>6905 SUPRTK GL WH PER KR</t>
        </is>
      </c>
      <c r="C54" s="195" t="inlineStr">
        <is>
          <t>M2</t>
        </is>
      </c>
      <c r="D54" s="195" t="n">
        <v>1</v>
      </c>
      <c r="E54" s="195" t="n">
        <v>50</v>
      </c>
      <c r="F54" s="203" t="n">
        <v>14.91</v>
      </c>
      <c r="G54" s="205" t="n">
        <v>0</v>
      </c>
      <c r="H54" s="209" t="n">
        <v>14.91</v>
      </c>
      <c r="I54" s="195" t="n"/>
      <c r="J54" s="195" t="n"/>
    </row>
    <row r="55" ht="15.75" customHeight="1" s="178">
      <c r="A55" s="202" t="inlineStr">
        <is>
          <t>MZA1040</t>
        </is>
      </c>
      <c r="B55" s="195" t="inlineStr">
        <is>
          <t>BLUE FELT SQUEEGEE</t>
        </is>
      </c>
      <c r="C55" s="195" t="inlineStr">
        <is>
          <t>BX</t>
        </is>
      </c>
      <c r="D55" s="195" t="n">
        <v>0</v>
      </c>
      <c r="E55" s="195" t="n">
        <v>0</v>
      </c>
      <c r="F55" s="203" t="n">
        <v>36.48</v>
      </c>
      <c r="G55" s="205" t="n">
        <v>0.045</v>
      </c>
      <c r="H55" s="209" t="n">
        <v>38.12</v>
      </c>
      <c r="I55" s="195" t="n"/>
      <c r="J55" s="195" t="n"/>
    </row>
    <row r="56" ht="15.75" customHeight="1" s="178">
      <c r="A56" s="202" t="inlineStr">
        <is>
          <t>MZA1206</t>
        </is>
      </c>
      <c r="B56" s="195" t="inlineStr">
        <is>
          <t>AVERY CLEANER 1LT(EACH)</t>
        </is>
      </c>
      <c r="C56" s="195" t="inlineStr">
        <is>
          <t>EA</t>
        </is>
      </c>
      <c r="D56" s="195" t="n">
        <v>0</v>
      </c>
      <c r="E56" s="195" t="n">
        <v>0</v>
      </c>
      <c r="F56" s="203" t="n">
        <v>9.76</v>
      </c>
      <c r="G56" s="205" t="n">
        <v>0.055</v>
      </c>
      <c r="H56" s="209" t="n">
        <v>10.3</v>
      </c>
      <c r="I56" s="195" t="n"/>
      <c r="J56" s="195" t="n"/>
    </row>
    <row r="57" ht="15.75" customHeight="1" s="178">
      <c r="A57" s="202" t="inlineStr">
        <is>
          <t>MZA1164</t>
        </is>
      </c>
      <c r="B57" s="195" t="inlineStr">
        <is>
          <t>APPLICATION GLOVE (ea)</t>
        </is>
      </c>
      <c r="C57" s="195" t="inlineStr">
        <is>
          <t>EA</t>
        </is>
      </c>
      <c r="D57" s="195" t="n">
        <v>0</v>
      </c>
      <c r="E57" s="195" t="n">
        <v>0</v>
      </c>
      <c r="F57" s="203" t="n">
        <v>4.49</v>
      </c>
      <c r="G57" s="205" t="n">
        <v>0.045</v>
      </c>
      <c r="H57" s="209" t="n">
        <v>4.69</v>
      </c>
      <c r="I57" s="195" t="n"/>
      <c r="J57" s="195" t="n"/>
    </row>
    <row r="58" ht="15.75" customHeight="1" s="178">
      <c r="A58" s="202" t="inlineStr">
        <is>
          <t>DI8840012</t>
        </is>
      </c>
      <c r="B58" s="195" t="inlineStr">
        <is>
          <t>MPI 2006 HI-TACK</t>
        </is>
      </c>
      <c r="C58" s="195" t="inlineStr">
        <is>
          <t>M2</t>
        </is>
      </c>
      <c r="D58" s="195" t="n">
        <v>1.37</v>
      </c>
      <c r="E58" s="195" t="n">
        <v>25</v>
      </c>
      <c r="F58" s="203" t="n">
        <v>7.25</v>
      </c>
      <c r="G58" s="205" t="n">
        <v>0.035</v>
      </c>
      <c r="H58" s="209" t="n">
        <v>7.5</v>
      </c>
      <c r="I58" s="195" t="n"/>
      <c r="J58" s="195" t="n"/>
    </row>
    <row r="59" ht="15.75" customHeight="1" s="178">
      <c r="A59" s="202" t="inlineStr">
        <is>
          <t>XE1040</t>
        </is>
      </c>
      <c r="B59" s="195" t="inlineStr">
        <is>
          <t>SPARE BLADES 45 PER PACK</t>
        </is>
      </c>
      <c r="C59" s="195" t="inlineStr">
        <is>
          <t>PK</t>
        </is>
      </c>
      <c r="D59" s="195" t="n">
        <v>0</v>
      </c>
      <c r="E59" s="195" t="n">
        <v>0</v>
      </c>
      <c r="F59" s="203" t="n">
        <v>34</v>
      </c>
      <c r="G59" s="205" t="n">
        <v>0.045</v>
      </c>
      <c r="H59" s="209" t="n">
        <v>35.53</v>
      </c>
      <c r="I59" s="195" t="n"/>
      <c r="J59" s="195" t="n"/>
    </row>
    <row r="60" ht="15.75" customHeight="1" s="178">
      <c r="A60" s="202" t="inlineStr">
        <is>
          <t>CA3750002</t>
        </is>
      </c>
      <c r="B60" s="195" t="inlineStr">
        <is>
          <t>AVERY CLEANER 5L (EACH)</t>
        </is>
      </c>
      <c r="C60" s="195" t="inlineStr">
        <is>
          <t>EA</t>
        </is>
      </c>
      <c r="D60" s="195" t="n">
        <v>0</v>
      </c>
      <c r="E60" s="195" t="n">
        <v>0</v>
      </c>
      <c r="F60" s="203" t="n">
        <v>45.66</v>
      </c>
      <c r="G60" s="205" t="n">
        <v>0</v>
      </c>
      <c r="H60" s="209" t="n">
        <v>45.66</v>
      </c>
      <c r="I60" s="195" t="n"/>
      <c r="J60" s="195" t="n"/>
    </row>
    <row r="61" ht="15.75" customHeight="1" s="178">
      <c r="A61" s="202" t="inlineStr">
        <is>
          <t>MXD5984</t>
        </is>
      </c>
      <c r="B61" s="195" t="inlineStr">
        <is>
          <t>AVERY MAGNET (EACH)</t>
        </is>
      </c>
      <c r="C61" s="195" t="inlineStr">
        <is>
          <t>EA</t>
        </is>
      </c>
      <c r="D61" s="195" t="n">
        <v>0</v>
      </c>
      <c r="E61" s="195" t="n">
        <v>0</v>
      </c>
      <c r="F61" s="203" t="n">
        <v>11.33</v>
      </c>
      <c r="G61" s="205" t="n">
        <v>0.045</v>
      </c>
      <c r="H61" s="209" t="n">
        <v>11.84</v>
      </c>
      <c r="I61" s="195" t="n"/>
      <c r="J61" s="195" t="n"/>
    </row>
    <row r="62" ht="15.75" customHeight="1" s="178">
      <c r="A62" s="202" t="inlineStr">
        <is>
          <t>XD9275</t>
        </is>
      </c>
      <c r="B62" s="195" t="inlineStr">
        <is>
          <t>AVERY CUTTER (EACH)</t>
        </is>
      </c>
      <c r="C62" s="195" t="inlineStr">
        <is>
          <t>EA</t>
        </is>
      </c>
      <c r="D62" s="195" t="n">
        <v>0</v>
      </c>
      <c r="E62" s="195" t="n">
        <v>0</v>
      </c>
      <c r="F62" s="203" t="n">
        <v>9.710000000000001</v>
      </c>
      <c r="G62" s="205" t="n">
        <v>0.045</v>
      </c>
      <c r="H62" s="209" t="n">
        <v>10.15</v>
      </c>
      <c r="I62" s="195" t="n"/>
      <c r="J62" s="195" t="n"/>
    </row>
    <row r="64" ht="15.75" customHeight="1" s="178">
      <c r="H64" s="207" t="inlineStr">
        <is>
          <t>Current Jayco pricing = $581.18 per roll</t>
        </is>
      </c>
      <c r="I64" s="207" t="n"/>
      <c r="J64" s="207" t="n"/>
      <c r="K64" s="207" t="n"/>
    </row>
    <row r="65" ht="15.75" customHeight="1" s="178">
      <c r="H65" s="208" t="inlineStr">
        <is>
          <t>New Jayco pricing = $589.78 ($8.60)</t>
        </is>
      </c>
      <c r="I65" s="208" t="n"/>
      <c r="J65" s="208" t="n"/>
      <c r="K65" s="20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6" activeCellId="0" sqref="B6"/>
    </sheetView>
  </sheetViews>
  <sheetFormatPr baseColWidth="8" defaultColWidth="15.125" defaultRowHeight="24" zeroHeight="0" outlineLevelRow="0"/>
  <cols>
    <col width="17.13" customWidth="1" style="210" min="1" max="1"/>
    <col width="45.63" customWidth="1" style="211" min="2" max="2"/>
    <col width="18.12" customWidth="1" style="211" min="3" max="3"/>
    <col width="18.12" customWidth="1" style="212" min="4" max="4"/>
    <col width="65.12" customWidth="1" style="188" min="5" max="5"/>
    <col width="23.51" customWidth="1" style="188" min="6" max="6"/>
    <col width="15.12" customWidth="1" style="188" min="7" max="16384"/>
  </cols>
  <sheetData>
    <row r="1" ht="43.5" customFormat="1" customHeight="1" s="213">
      <c r="A1" s="214" t="inlineStr">
        <is>
          <t>STOCK CODE</t>
        </is>
      </c>
      <c r="B1" s="215" t="inlineStr">
        <is>
          <t>DESCRIPTION</t>
        </is>
      </c>
      <c r="C1" s="216" t="inlineStr">
        <is>
          <t>SIZE</t>
        </is>
      </c>
      <c r="D1" s="217" t="inlineStr">
        <is>
          <t>PRICE M2            (inc M/Up)</t>
        </is>
      </c>
      <c r="E1" s="215" t="inlineStr">
        <is>
          <t>NOTES</t>
        </is>
      </c>
      <c r="F1" s="215" t="inlineStr">
        <is>
          <t>SUPPLIER</t>
        </is>
      </c>
    </row>
    <row r="2" ht="39.75" customFormat="1" customHeight="1" s="213">
      <c r="A2" s="218" t="inlineStr">
        <is>
          <t xml:space="preserve">MPI1005629   </t>
        </is>
      </c>
      <c r="B2" s="189" t="inlineStr">
        <is>
          <t>MPI 1105 Easy Apply (NEW)</t>
        </is>
      </c>
      <c r="C2" s="219" t="inlineStr">
        <is>
          <t>1370mm or 1520mm x 45.7m</t>
        </is>
      </c>
      <c r="D2" s="220" t="n"/>
      <c r="E2" s="189" t="inlineStr">
        <is>
          <t>An Easy Apply stock used on vehicle wraps</t>
        </is>
      </c>
      <c r="F2" s="189" t="inlineStr">
        <is>
          <t>Avery</t>
        </is>
      </c>
    </row>
    <row r="3" ht="39.75" customFormat="1" customHeight="1" s="213">
      <c r="A3" s="218" t="inlineStr">
        <is>
          <t>DOLPOLY</t>
        </is>
      </c>
      <c r="B3" s="189" t="inlineStr">
        <is>
          <t>DOL 6460 Polyyurethane Overlaminate</t>
        </is>
      </c>
      <c r="C3" s="219" t="inlineStr">
        <is>
          <t>1370mm or 1520mm x 45.7m</t>
        </is>
      </c>
      <c r="D3" s="220" t="n"/>
      <c r="E3" s="189" t="inlineStr">
        <is>
          <t>Gloss conformable lamiante to suit MPI 1105</t>
        </is>
      </c>
      <c r="F3" s="189" t="inlineStr">
        <is>
          <t>Avery</t>
        </is>
      </c>
    </row>
    <row r="4" ht="27" customHeight="1" s="178">
      <c r="A4" s="218" t="inlineStr">
        <is>
          <t>6460PAC</t>
        </is>
      </c>
      <c r="B4" s="219" t="inlineStr">
        <is>
          <t>MPI 1105 EARS &amp; 6460 Laminate</t>
        </is>
      </c>
      <c r="C4" s="219" t="inlineStr">
        <is>
          <t>As above</t>
        </is>
      </c>
      <c r="D4" s="220" t="n">
        <v>21</v>
      </c>
      <c r="E4" s="189" t="inlineStr">
        <is>
          <t>Pack Special - Telstra</t>
        </is>
      </c>
      <c r="F4" s="189" t="inlineStr">
        <is>
          <t>Avery</t>
        </is>
      </c>
    </row>
    <row r="5" ht="27" customHeight="1" s="178">
      <c r="A5" s="218" t="inlineStr">
        <is>
          <t>2105EA</t>
        </is>
      </c>
      <c r="B5" s="219" t="inlineStr">
        <is>
          <t>MPI 2105 Easy Apply Gloss Permanent</t>
        </is>
      </c>
      <c r="C5" s="219" t="inlineStr">
        <is>
          <t>1370mm x 45.7m</t>
        </is>
      </c>
      <c r="D5" s="220" t="n"/>
      <c r="E5" s="189" t="inlineStr">
        <is>
          <t xml:space="preserve">An Easy Apply stock used on flat areas </t>
        </is>
      </c>
      <c r="F5" s="189" t="inlineStr">
        <is>
          <t>Avery</t>
        </is>
      </c>
    </row>
    <row r="6" ht="27" customHeight="1" s="178">
      <c r="A6" s="218" t="inlineStr">
        <is>
          <t>DOL2000</t>
        </is>
      </c>
      <c r="B6" s="219" t="inlineStr">
        <is>
          <t>DOL 2000 Budget Clear Laminate</t>
        </is>
      </c>
      <c r="C6" s="219" t="inlineStr">
        <is>
          <t>1370mm x 45.7m</t>
        </is>
      </c>
      <c r="D6" s="220" t="n"/>
      <c r="E6" s="189" t="inlineStr">
        <is>
          <t>Gloss Laminate to suit MPI 2105</t>
        </is>
      </c>
      <c r="F6" s="189" t="inlineStr">
        <is>
          <t>Avery</t>
        </is>
      </c>
    </row>
    <row r="7" ht="27" customHeight="1" s="178">
      <c r="A7" s="218" t="inlineStr">
        <is>
          <t>DOL2100</t>
        </is>
      </c>
      <c r="B7" s="219" t="inlineStr">
        <is>
          <t xml:space="preserve">DOL 2100 Matte Laminate </t>
        </is>
      </c>
      <c r="C7" s="219" t="inlineStr">
        <is>
          <t>1370mm x 45.7m</t>
        </is>
      </c>
      <c r="D7" s="220" t="n"/>
      <c r="E7" s="189" t="inlineStr">
        <is>
          <t>Matt Laminate to suit MPI 2105</t>
        </is>
      </c>
      <c r="F7" s="189" t="inlineStr">
        <is>
          <t>Avery</t>
        </is>
      </c>
    </row>
    <row r="8" ht="39.75" customHeight="1" s="178">
      <c r="A8" s="221" t="inlineStr">
        <is>
          <t>MPI2006</t>
        </is>
      </c>
      <c r="B8" s="219" t="inlineStr">
        <is>
          <t>MPI2006 Gloss Permanent High Tack</t>
        </is>
      </c>
      <c r="C8" s="219" t="inlineStr">
        <is>
          <t>1370mm x 25m or 45.7m</t>
        </is>
      </c>
      <c r="D8" s="220" t="n"/>
      <c r="E8" s="189" t="inlineStr">
        <is>
          <t>Gloss White Vinyl with an aggressive adhesive</t>
        </is>
      </c>
      <c r="F8" s="189" t="n"/>
    </row>
    <row r="9" ht="27" customHeight="1" s="178">
      <c r="A9" s="222" t="inlineStr">
        <is>
          <t xml:space="preserve">DOL1060        </t>
        </is>
      </c>
      <c r="B9" s="219" t="inlineStr">
        <is>
          <t>DOL 1060  Gloss Overlaminate</t>
        </is>
      </c>
      <c r="C9" s="219" t="inlineStr">
        <is>
          <t>1370mm x 45.7m</t>
        </is>
      </c>
      <c r="D9" s="220" t="n"/>
      <c r="E9" s="189" t="inlineStr">
        <is>
          <t>Only to be used with MPI 1005 Easy Apply (OLD)</t>
        </is>
      </c>
      <c r="F9" s="189" t="n"/>
    </row>
    <row r="10" ht="27" customHeight="1" s="178">
      <c r="A10" s="222" t="inlineStr">
        <is>
          <t xml:space="preserve">DOL1080        </t>
        </is>
      </c>
      <c r="B10" s="219" t="inlineStr">
        <is>
          <t>DOL 1080 Matte Laminate</t>
        </is>
      </c>
      <c r="C10" s="219" t="inlineStr">
        <is>
          <t>1370mm x 45.7m</t>
        </is>
      </c>
      <c r="D10" s="220" t="n"/>
      <c r="E10" s="189" t="inlineStr">
        <is>
          <t>Only to be used with MPI 1005 Easy Apply (OLD)</t>
        </is>
      </c>
      <c r="F10" s="189" t="n"/>
    </row>
    <row r="11" ht="27" customHeight="1" s="178">
      <c r="A11" s="222" t="inlineStr">
        <is>
          <t xml:space="preserve">DOL1360        </t>
        </is>
      </c>
      <c r="B11" s="219" t="inlineStr">
        <is>
          <t>DOL 1360 3D Clear Laminate</t>
        </is>
      </c>
      <c r="C11" s="219" t="inlineStr">
        <is>
          <t>1370mm x 45.7m</t>
        </is>
      </c>
      <c r="D11" s="220" t="n"/>
      <c r="E11" s="189" t="inlineStr">
        <is>
          <t>Only to be used with MPI 1005 Easy Apply (OLD)</t>
        </is>
      </c>
      <c r="F11" s="189" t="n"/>
    </row>
    <row r="12" ht="27" customHeight="1" s="178">
      <c r="A12" s="222" t="inlineStr">
        <is>
          <t xml:space="preserve">DOL1460        </t>
        </is>
      </c>
      <c r="B12" s="219" t="inlineStr">
        <is>
          <t>DOL 1460 3D High Gloss Super Conformable</t>
        </is>
      </c>
      <c r="C12" s="219" t="inlineStr">
        <is>
          <t>1370mm x 45.7m</t>
        </is>
      </c>
      <c r="D12" s="220" t="n"/>
      <c r="E12" s="189" t="inlineStr">
        <is>
          <t>Only to be used with MPI 1005 Easy Apply (OLD)</t>
        </is>
      </c>
      <c r="F12" s="189" t="n"/>
    </row>
    <row r="13" ht="27" customHeight="1" s="178">
      <c r="A13" s="222" t="inlineStr">
        <is>
          <t xml:space="preserve">DOL1480     </t>
        </is>
      </c>
      <c r="B13" s="219" t="inlineStr">
        <is>
          <t>DOL 1480 3D Matt Super Conformable</t>
        </is>
      </c>
      <c r="C13" s="219" t="inlineStr">
        <is>
          <t>1370mm x 45.7m</t>
        </is>
      </c>
      <c r="D13" s="220" t="n"/>
      <c r="E13" s="189" t="inlineStr">
        <is>
          <t>Only to be used with MPI 1005 Easy Apply (OLD)</t>
        </is>
      </c>
      <c r="F13" s="189" t="n"/>
    </row>
    <row r="14" ht="27" customHeight="1" s="178">
      <c r="A14" s="218" t="inlineStr">
        <is>
          <t>DOL43001</t>
        </is>
      </c>
      <c r="B14" s="222" t="inlineStr">
        <is>
          <t xml:space="preserve"> DOL 4300 Overlaminate</t>
        </is>
      </c>
      <c r="C14" s="219" t="inlineStr">
        <is>
          <t>1370mm x 45.7m</t>
        </is>
      </c>
      <c r="D14" s="220" t="n"/>
      <c r="E14" s="189" t="inlineStr">
        <is>
          <t xml:space="preserve">Anti Graffiti Laminate (BP / Rear of PTV Bus) </t>
        </is>
      </c>
      <c r="F14" s="189" t="n"/>
    </row>
    <row r="15" ht="27" customHeight="1" s="178">
      <c r="A15" s="218" t="inlineStr">
        <is>
          <t xml:space="preserve">FASFITI </t>
        </is>
      </c>
      <c r="B15" s="222" t="inlineStr">
        <is>
          <t xml:space="preserve">Fasfiti Laminate </t>
        </is>
      </c>
      <c r="C15" s="219" t="inlineStr">
        <is>
          <t>1220mm x 45.7m</t>
        </is>
      </c>
      <c r="D15" s="220" t="n"/>
      <c r="E15" s="189" t="inlineStr">
        <is>
          <t xml:space="preserve">Anti Graffiti Laminate (BP) - can be slit </t>
        </is>
      </c>
      <c r="F15" s="189" t="n"/>
    </row>
    <row r="16" ht="27" customHeight="1" s="178">
      <c r="A16" s="218" t="inlineStr">
        <is>
          <t>680CR-10</t>
        </is>
      </c>
      <c r="B16" s="219" t="inlineStr">
        <is>
          <t>3M 680CR White Reflective</t>
        </is>
      </c>
      <c r="C16" s="219" t="inlineStr">
        <is>
          <t>1220mm x 45.7m</t>
        </is>
      </c>
      <c r="D16" s="220" t="n"/>
      <c r="E16" s="189" t="inlineStr">
        <is>
          <t xml:space="preserve">Conformable white reflective stock - Warranty </t>
        </is>
      </c>
      <c r="F16" s="189" t="inlineStr">
        <is>
          <t>Halifax Vogal</t>
        </is>
      </c>
    </row>
    <row r="17" ht="39.75" customHeight="1" s="178">
      <c r="A17" s="218" t="inlineStr">
        <is>
          <t>8519LUSTRE</t>
        </is>
      </c>
      <c r="B17" s="219" t="inlineStr">
        <is>
          <t>3M 8519 Lustre Laminate</t>
        </is>
      </c>
      <c r="C17" s="219" t="inlineStr">
        <is>
          <t>1370mm x 45.7m</t>
        </is>
      </c>
      <c r="D17" s="220" t="n"/>
      <c r="E17" s="219" t="inlineStr">
        <is>
          <t>Laminate to suit 680CR - Satin finish - when ordering slit to 1210mm wide</t>
        </is>
      </c>
      <c r="F17" s="189" t="inlineStr">
        <is>
          <t>Halifax Vogal</t>
        </is>
      </c>
    </row>
    <row r="18" ht="39.75" customHeight="1" s="178">
      <c r="A18" s="218" t="inlineStr">
        <is>
          <t>3MIJ180</t>
        </is>
      </c>
      <c r="B18" s="219" t="inlineStr">
        <is>
          <t>3M 180CV3 Cast Gloss White with Comply</t>
        </is>
      </c>
      <c r="C18" s="219" t="inlineStr">
        <is>
          <t>1370mm x 45.7m</t>
        </is>
      </c>
      <c r="D18" s="220" t="n"/>
      <c r="E18" s="219" t="inlineStr">
        <is>
          <t>An Easy Apply stock used on vehicle wraps - not suitable during cold weather (3M's alternative to Avery's MPI)1105</t>
        </is>
      </c>
      <c r="F18" s="189" t="n"/>
    </row>
    <row r="19" ht="27" customHeight="1" s="178">
      <c r="A19" s="223" t="inlineStr">
        <is>
          <t>8518GLOSS</t>
        </is>
      </c>
      <c r="B19" s="211" t="inlineStr">
        <is>
          <t>3M 8518 Gloss Laminate</t>
        </is>
      </c>
      <c r="C19" s="219" t="inlineStr">
        <is>
          <t>1370mm x 45.7m</t>
        </is>
      </c>
      <c r="D19" s="220" t="n"/>
      <c r="E19" s="189" t="inlineStr">
        <is>
          <t>Gloss conformable lamiante to suit 3M180C</t>
        </is>
      </c>
      <c r="F19" s="189" t="n"/>
    </row>
    <row r="20" ht="27" customHeight="1" s="178">
      <c r="A20" s="224" t="inlineStr">
        <is>
          <t>ONEWAYAUTO</t>
        </is>
      </c>
      <c r="B20" s="222" t="inlineStr">
        <is>
          <t xml:space="preserve">Oneway Vision Autoview </t>
        </is>
      </c>
      <c r="C20" s="219" t="inlineStr">
        <is>
          <t>1370mm x 50m</t>
        </is>
      </c>
      <c r="D20" s="220" t="n"/>
      <c r="E20" s="189" t="inlineStr">
        <is>
          <t>Perforated Window Vinyl</t>
        </is>
      </c>
      <c r="F20" s="189" t="n"/>
    </row>
    <row r="21" ht="27" customHeight="1" s="178">
      <c r="A21" s="224" t="inlineStr">
        <is>
          <t>ONEWAYLAM</t>
        </is>
      </c>
      <c r="B21" s="224" t="inlineStr">
        <is>
          <t xml:space="preserve">Oneway Vision CurvaLam  </t>
        </is>
      </c>
      <c r="C21" s="219" t="inlineStr">
        <is>
          <t>1370mm x 30m</t>
        </is>
      </c>
      <c r="D21" s="220" t="n"/>
      <c r="E21" s="189" t="inlineStr">
        <is>
          <t>Gloss Laminate to suit Autoview</t>
        </is>
      </c>
      <c r="F21" s="189" t="n"/>
    </row>
    <row r="22" ht="27" customHeight="1" s="178">
      <c r="A22" s="218" t="inlineStr">
        <is>
          <t>APPTAPE</t>
        </is>
      </c>
      <c r="B22" s="219" t="inlineStr">
        <is>
          <t>NT100 Application Tape</t>
        </is>
      </c>
      <c r="C22" s="219" t="inlineStr">
        <is>
          <t>1220mm x 90m</t>
        </is>
      </c>
      <c r="D22" s="220" t="n">
        <v>1.8</v>
      </c>
      <c r="E22" s="189" t="inlineStr">
        <is>
          <t>Standard Application Tape</t>
        </is>
      </c>
      <c r="F22" s="189" t="n"/>
    </row>
    <row r="23" ht="27" customHeight="1" s="178">
      <c r="A23" s="225" t="inlineStr">
        <is>
          <t>APPTAPECLRNT210</t>
        </is>
      </c>
      <c r="B23" s="219" t="inlineStr">
        <is>
          <t xml:space="preserve"> Transparent Application Tape @1220</t>
        </is>
      </c>
      <c r="C23" s="219" t="inlineStr">
        <is>
          <t xml:space="preserve">1220mm x </t>
        </is>
      </c>
      <c r="D23" s="220" t="n"/>
      <c r="E23" s="189" t="inlineStr">
        <is>
          <t>Clear Application Tape</t>
        </is>
      </c>
      <c r="F23" s="189" t="n"/>
    </row>
    <row r="24" ht="27" customHeight="1" s="178">
      <c r="A24" s="222" t="inlineStr">
        <is>
          <t>MAGNET.9</t>
        </is>
      </c>
      <c r="B24" s="219" t="inlineStr">
        <is>
          <t>Magnetic 0.9mm Gloss White</t>
        </is>
      </c>
      <c r="C24" s="219" t="n"/>
      <c r="D24" s="220" t="n"/>
      <c r="E24" s="189" t="inlineStr">
        <is>
          <t>Used for Car decals - Can screen print direct or mount a digital print</t>
        </is>
      </c>
      <c r="F24" s="189" t="n"/>
    </row>
    <row r="25" ht="27" customHeight="1" s="178">
      <c r="A25" s="226" t="inlineStr">
        <is>
          <t>GLOSSCLEAR2797</t>
        </is>
      </c>
      <c r="B25" s="219" t="inlineStr">
        <is>
          <t>Serilux 70100 Gloss Clear Pemanent</t>
        </is>
      </c>
      <c r="C25" s="219" t="inlineStr">
        <is>
          <t>760 x 1000mm</t>
        </is>
      </c>
      <c r="D25" s="220" t="n"/>
      <c r="E25" s="189" t="inlineStr">
        <is>
          <t>3 year Vinyl used for Screen Printing</t>
        </is>
      </c>
      <c r="F25" s="189" t="n"/>
    </row>
    <row r="26" ht="27" customHeight="1" s="178">
      <c r="A26" s="225" t="inlineStr">
        <is>
          <t xml:space="preserve">GLWHPERA </t>
        </is>
      </c>
      <c r="B26" s="219" t="inlineStr">
        <is>
          <t>Serilux 72100 Gloss White Pemanent</t>
        </is>
      </c>
      <c r="C26" s="219" t="inlineStr">
        <is>
          <t>760 x 1000mm</t>
        </is>
      </c>
      <c r="D26" s="220" t="n"/>
      <c r="E26" s="189" t="inlineStr">
        <is>
          <t>3 year Vinyl used for Screen Printing</t>
        </is>
      </c>
      <c r="F26" s="189" t="n"/>
    </row>
    <row r="27" ht="27" customHeight="1" s="178">
      <c r="A27" s="225" t="inlineStr">
        <is>
          <t>MATWHIPERM</t>
        </is>
      </c>
      <c r="B27" s="219" t="inlineStr">
        <is>
          <t>Serilux 72101 Matt White Pemanent</t>
        </is>
      </c>
      <c r="C27" s="219" t="inlineStr">
        <is>
          <t>760 x 1000mm</t>
        </is>
      </c>
      <c r="D27" s="220" t="n"/>
      <c r="E27" s="189" t="inlineStr">
        <is>
          <t>3 year Vinyl used for Screen Printing</t>
        </is>
      </c>
      <c r="F27" s="189" t="n"/>
    </row>
    <row r="28" ht="27" customHeight="1" s="178">
      <c r="A28" s="225" t="inlineStr">
        <is>
          <t xml:space="preserve">MATWHREM  </t>
        </is>
      </c>
      <c r="B28" s="219" t="inlineStr">
        <is>
          <t>Serilux 7201 Matt White Removeable</t>
        </is>
      </c>
      <c r="C28" s="219" t="inlineStr">
        <is>
          <t>760 x 1000mm</t>
        </is>
      </c>
      <c r="D28" s="220" t="n"/>
      <c r="E28" s="189" t="inlineStr">
        <is>
          <t>3 year Vinyl used for Screen Printing</t>
        </is>
      </c>
      <c r="F28" s="189" t="n"/>
    </row>
    <row r="29" ht="27" customHeight="1" s="178">
      <c r="A29" s="227" t="n"/>
    </row>
    <row r="30" ht="18.75" customHeight="1" s="178">
      <c r="A30" s="228" t="n"/>
    </row>
    <row r="31" ht="18.75" customHeight="1" s="178">
      <c r="A31" s="228" t="n"/>
    </row>
    <row r="32" ht="18.75" customHeight="1" s="178">
      <c r="A32" s="228" t="n"/>
    </row>
    <row r="33" ht="18.75" customFormat="1" customHeight="1" s="188">
      <c r="A33" s="229" t="n"/>
      <c r="B33" s="228" t="n"/>
      <c r="D33" s="23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1" showRowColHeaders="1" showZeros="1" rightToLeft="0" tabSelected="1" showOutlineSymbols="1" defaultGridColor="1" view="normal" topLeftCell="A1" colorId="64" zoomScale="140" zoomScaleNormal="140" zoomScalePageLayoutView="100" workbookViewId="0">
      <selection pane="topLeft" activeCell="B3" activeCellId="0" sqref="B3"/>
    </sheetView>
  </sheetViews>
  <sheetFormatPr baseColWidth="8" defaultColWidth="11.00390625" defaultRowHeight="15.75" zeroHeight="0" outlineLevelRow="0"/>
  <cols>
    <col width="28.37" customWidth="1" style="187" min="1" max="1"/>
    <col width="18.88" customWidth="1" style="187" min="2" max="10"/>
    <col width="36.63" customWidth="1" style="187" min="11" max="11"/>
  </cols>
  <sheetData>
    <row r="1" ht="15.75" customHeight="1" s="178">
      <c r="A1" s="207" t="n"/>
      <c r="B1" s="231" t="inlineStr">
        <is>
          <t>Full Reflective - 1.6</t>
        </is>
      </c>
      <c r="C1" s="231" t="inlineStr">
        <is>
          <t>NON REF - 1.6</t>
        </is>
      </c>
      <c r="D1" s="231" t="inlineStr">
        <is>
          <t>Corflute White</t>
        </is>
      </c>
      <c r="E1" s="231" t="inlineStr">
        <is>
          <t>Corflute Yellow</t>
        </is>
      </c>
      <c r="F1" s="231" t="inlineStr">
        <is>
          <t>Corlfute FL Orange</t>
        </is>
      </c>
      <c r="G1" s="231" t="inlineStr">
        <is>
          <t>POLY</t>
        </is>
      </c>
      <c r="H1" s="231" t="inlineStr">
        <is>
          <t>Spare Line</t>
        </is>
      </c>
      <c r="I1" s="231" t="inlineStr">
        <is>
          <t>Spare Line</t>
        </is>
      </c>
      <c r="J1" s="231" t="inlineStr">
        <is>
          <t>Spare Line</t>
        </is>
      </c>
    </row>
    <row r="2" ht="15.75" customHeight="1" s="178">
      <c r="A2" s="232" t="inlineStr">
        <is>
          <t>Length</t>
        </is>
      </c>
      <c r="B2" s="233" t="n">
        <v>1.8</v>
      </c>
      <c r="C2" s="233" t="n">
        <v>0.225</v>
      </c>
      <c r="D2" s="233" t="n">
        <v>1.2</v>
      </c>
      <c r="E2" s="233" t="n">
        <v>0.6</v>
      </c>
      <c r="F2" s="233" t="n">
        <v>1.2</v>
      </c>
      <c r="G2" s="233" t="n">
        <v>0.35</v>
      </c>
      <c r="H2" s="233" t="n"/>
      <c r="I2" s="233" t="n"/>
      <c r="J2" s="233" t="n"/>
      <c r="K2" s="233" t="inlineStr">
        <is>
          <t>Manually Enter this in</t>
        </is>
      </c>
    </row>
    <row r="3" ht="15.75" customHeight="1" s="178">
      <c r="A3" s="232" t="inlineStr">
        <is>
          <t>Width</t>
        </is>
      </c>
      <c r="B3" s="233" t="n">
        <v>0.3</v>
      </c>
      <c r="C3" s="233" t="n">
        <v>0.45</v>
      </c>
      <c r="D3" s="233" t="n">
        <v>0.6</v>
      </c>
      <c r="E3" s="233" t="n">
        <v>0.6</v>
      </c>
      <c r="F3" s="233" t="n">
        <v>0.3</v>
      </c>
      <c r="G3" s="233" t="n">
        <v>0.14</v>
      </c>
      <c r="H3" s="233" t="n"/>
      <c r="I3" s="233" t="n"/>
      <c r="J3" s="233" t="n"/>
      <c r="K3" s="233" t="inlineStr">
        <is>
          <t>Manually Enter this in</t>
        </is>
      </c>
    </row>
    <row r="4" ht="15.75" customHeight="1" s="178">
      <c r="A4" s="232" t="inlineStr">
        <is>
          <t>Length * Width</t>
        </is>
      </c>
      <c r="B4" s="234">
        <f>B2*B3</f>
        <v/>
      </c>
      <c r="C4" s="234">
        <f>C2*C3</f>
        <v/>
      </c>
      <c r="D4" s="234">
        <f>D2*D3</f>
        <v/>
      </c>
      <c r="E4" s="234">
        <f>E2*E3</f>
        <v/>
      </c>
      <c r="F4" s="234">
        <f>F2*F3</f>
        <v/>
      </c>
      <c r="G4" s="234">
        <f>G2*G3</f>
        <v/>
      </c>
      <c r="H4" s="234">
        <f>H2*H3</f>
        <v/>
      </c>
      <c r="I4" s="234">
        <f>I2*I3</f>
        <v/>
      </c>
      <c r="J4" s="234">
        <f>J2*J3</f>
        <v/>
      </c>
      <c r="K4" s="234" t="inlineStr">
        <is>
          <t>Automatically Calculated</t>
        </is>
      </c>
    </row>
    <row r="5" ht="95.25" customHeight="1" s="178">
      <c r="A5" s="235" t="inlineStr">
        <is>
          <t>m2 * VINYL Price
Full Reflective $35 
2105 / 2000 $13
Temp - Yellow Reflective - $14
Temp - Orange Reflective - $20
Temp - White Reflective - $20</t>
        </is>
      </c>
      <c r="B5" s="236">
        <f>B4*35</f>
        <v/>
      </c>
      <c r="C5" s="236">
        <f>C4*13</f>
        <v/>
      </c>
      <c r="D5" s="236">
        <f>D4*14</f>
        <v/>
      </c>
      <c r="E5" s="236">
        <f>E4*14</f>
        <v/>
      </c>
      <c r="F5" s="236">
        <f>F4*20</f>
        <v/>
      </c>
      <c r="G5" s="236">
        <f>G4*13</f>
        <v/>
      </c>
      <c r="H5" s="236">
        <f>H4*0</f>
        <v/>
      </c>
      <c r="I5" s="236">
        <f>I4*0</f>
        <v/>
      </c>
      <c r="J5" s="236">
        <f>J4*0</f>
        <v/>
      </c>
      <c r="K5" s="234" t="inlineStr">
        <is>
          <t>Automatically Calculated</t>
        </is>
      </c>
    </row>
    <row r="6" ht="48.75" customHeight="1" s="178">
      <c r="A6" s="237" t="inlineStr">
        <is>
          <t>ACM $40 Per Sqr Mt / Coreflute - $7Per Sqr MT / POLY $11 Per Sqr mt (Has a 15% Mark UP)</t>
        </is>
      </c>
      <c r="B6" s="236">
        <f>B4*(40)</f>
        <v/>
      </c>
      <c r="C6" s="236">
        <f>C4*(40)</f>
        <v/>
      </c>
      <c r="D6" s="236">
        <f>D4*(7)</f>
        <v/>
      </c>
      <c r="E6" s="236">
        <f>E4*(7)</f>
        <v/>
      </c>
      <c r="F6" s="236">
        <f>F4*(7)</f>
        <v/>
      </c>
      <c r="G6" s="236">
        <f>G4*(11)</f>
        <v/>
      </c>
      <c r="H6" s="236">
        <f>H4*(0)</f>
        <v/>
      </c>
      <c r="I6" s="236">
        <f>I4*(0)</f>
        <v/>
      </c>
      <c r="J6" s="236">
        <f>J4*(0)</f>
        <v/>
      </c>
      <c r="K6" s="234" t="inlineStr">
        <is>
          <t>Automatically Calculated</t>
        </is>
      </c>
    </row>
    <row r="7" ht="15.75" customHeight="1" s="178">
      <c r="A7" s="232" t="inlineStr">
        <is>
          <t>SUB TOTAL</t>
        </is>
      </c>
      <c r="B7" s="234">
        <f>B5+B6</f>
        <v/>
      </c>
      <c r="C7" s="234">
        <f>C5+C6</f>
        <v/>
      </c>
      <c r="D7" s="234">
        <f>D5+D6</f>
        <v/>
      </c>
      <c r="E7" s="234">
        <f>E5+E6</f>
        <v/>
      </c>
      <c r="F7" s="234">
        <f>F5+F6</f>
        <v/>
      </c>
      <c r="G7" s="234">
        <f>G5+G6</f>
        <v/>
      </c>
      <c r="H7" s="234" t="n"/>
      <c r="I7" s="234" t="n"/>
      <c r="J7" s="234" t="n"/>
      <c r="K7" s="234" t="inlineStr">
        <is>
          <t>Automatically Calculated</t>
        </is>
      </c>
    </row>
    <row r="8" ht="15.75" customHeight="1" s="178">
      <c r="A8" s="238" t="inlineStr">
        <is>
          <t>SIZE</t>
        </is>
      </c>
      <c r="B8" s="239">
        <f>TEXT(B2*1000,"0")&amp;" x "&amp;TEXT(B3*1000,"0")</f>
        <v/>
      </c>
      <c r="C8" s="239">
        <f>TEXT(C2*1000,"0")&amp;" x "&amp;TEXT(C3*1000,"0")</f>
        <v/>
      </c>
      <c r="D8" s="239">
        <f>TEXT(D2*1000,"0")&amp;" x "&amp;TEXT(D3*1000,"0")</f>
        <v/>
      </c>
      <c r="E8" s="239">
        <f>TEXT(E2*1000,"0")&amp;" x "&amp;TEXT(E3*1000,"0")</f>
        <v/>
      </c>
      <c r="F8" s="239">
        <f>TEXT(F2*1000,"0")&amp;" x "&amp;TEXT(F3*1000,"0")</f>
        <v/>
      </c>
      <c r="G8" s="239">
        <f>TEXT(G2*1000,"0")&amp;" x "&amp;TEXT(G3*1000,"0")</f>
        <v/>
      </c>
      <c r="H8" s="239">
        <f>TEXT(H2*1000,"0")&amp;" x "&amp;TEXT(H3*1000,"0")</f>
        <v/>
      </c>
      <c r="I8" s="239">
        <f>TEXT(I2*1000,"0")&amp;" x "&amp;TEXT(I3*1000,"0")</f>
        <v/>
      </c>
      <c r="J8" s="239">
        <f>TEXT(J2*1000,"0")&amp;" x "&amp;TEXT(J3*1000,"0")</f>
        <v/>
      </c>
      <c r="K8" s="234" t="inlineStr">
        <is>
          <t>Automatically Calculated</t>
        </is>
      </c>
    </row>
    <row r="9" ht="15.75" customHeight="1" s="178">
      <c r="A9" s="232" t="inlineStr">
        <is>
          <t>Total (65% mark up)</t>
        </is>
      </c>
      <c r="B9" s="240">
        <f>B7*1.65</f>
        <v/>
      </c>
      <c r="C9" s="240">
        <f>C7*1.65</f>
        <v/>
      </c>
      <c r="D9" s="240">
        <f>D7*1.65</f>
        <v/>
      </c>
      <c r="E9" s="240">
        <f>E7*1.65</f>
        <v/>
      </c>
      <c r="F9" s="240">
        <f>F7*1.65</f>
        <v/>
      </c>
      <c r="G9" s="240">
        <f>G7*1.65</f>
        <v/>
      </c>
      <c r="H9" s="240">
        <f>H7*1.65</f>
        <v/>
      </c>
      <c r="I9" s="240">
        <f>I7*1.65</f>
        <v/>
      </c>
      <c r="J9" s="240">
        <f>J7*1.65</f>
        <v/>
      </c>
      <c r="K9" s="234" t="inlineStr">
        <is>
          <t>Automatically Calculated</t>
        </is>
      </c>
    </row>
    <row r="10" ht="15.75" customHeight="1" s="178">
      <c r="A10" s="232" t="inlineStr">
        <is>
          <t>Final Price (Add extra mark up if needed</t>
        </is>
      </c>
    </row>
    <row r="11" ht="15.75" customHeight="1" s="178">
      <c r="E11" s="241" t="n"/>
      <c r="F11" s="242" t="n"/>
      <c r="G11" s="242" t="n"/>
      <c r="H11" s="242" t="n"/>
      <c r="I11" s="242" t="n"/>
      <c r="J11" s="242" t="n"/>
    </row>
    <row r="12" ht="15.75" customFormat="1" customHeight="1" s="243">
      <c r="A12" s="243" t="inlineStr">
        <is>
          <t>ARTCRAFT (Comparing Price Price)</t>
        </is>
      </c>
    </row>
    <row r="17" ht="15.75" customHeight="1" s="178">
      <c r="B17" s="241" t="n"/>
    </row>
    <row r="18" ht="15.75" customHeight="1" s="178">
      <c r="B18" s="241" t="n"/>
    </row>
    <row r="19" ht="15.75" customHeight="1" s="178">
      <c r="B19" s="241" t="n"/>
    </row>
    <row r="20" ht="15.75" customHeight="1" s="178">
      <c r="B20" s="241" t="n"/>
    </row>
    <row r="21" ht="15.75" customHeight="1" s="178">
      <c r="B21" s="241" t="n"/>
    </row>
    <row r="22" ht="15.75" customHeight="1" s="178">
      <c r="B22" s="241" t="n"/>
    </row>
    <row r="23" ht="15.75" customHeight="1" s="178">
      <c r="B23" s="241" t="n"/>
    </row>
    <row r="24" ht="15.75" customHeight="1" s="178">
      <c r="B24" s="241" t="n"/>
    </row>
    <row r="25" ht="15.75" customHeight="1" s="178">
      <c r="B25" s="241" t="n"/>
    </row>
    <row r="26" ht="15.75" customHeight="1" s="178">
      <c r="B26" s="241" t="n"/>
    </row>
    <row r="27" ht="15.75" customHeight="1" s="178">
      <c r="B27" s="241" t="n"/>
    </row>
    <row r="28" ht="15.75" customHeight="1" s="178">
      <c r="B28" s="241" t="n"/>
    </row>
    <row r="29" ht="15.75" customHeight="1" s="178">
      <c r="B29" s="241" t="n"/>
    </row>
    <row r="30" ht="15.75" customHeight="1" s="178">
      <c r="B30" s="241" t="n"/>
    </row>
    <row r="31" ht="15.75" customHeight="1" s="178">
      <c r="B31" s="241" t="n"/>
    </row>
    <row r="32" ht="15.75" customHeight="1" s="178">
      <c r="B32" s="241" t="n"/>
    </row>
    <row r="33" ht="15.75" customHeight="1" s="178">
      <c r="B33" s="241" t="n"/>
    </row>
    <row r="34" ht="15.75" customHeight="1" s="178">
      <c r="B34" s="241" t="n"/>
    </row>
    <row r="35" ht="15.75" customHeight="1" s="178">
      <c r="B35" s="241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00390625" defaultRowHeight="15.75" zeroHeight="0" outlineLevelRow="0"/>
  <cols>
    <col width="28.37" customWidth="1" style="187" min="1" max="1"/>
    <col width="18.88" customWidth="1" style="187" min="2" max="10"/>
    <col width="36.63" customWidth="1" style="187" min="11" max="11"/>
  </cols>
  <sheetData>
    <row r="1" ht="15.75" customHeight="1" s="178">
      <c r="A1" s="207" t="n"/>
      <c r="B1" s="231" t="inlineStr">
        <is>
          <t>Full Reflective - 1.6</t>
        </is>
      </c>
      <c r="C1" s="231" t="inlineStr">
        <is>
          <t>NON REF - 1.6</t>
        </is>
      </c>
      <c r="D1" s="231" t="inlineStr">
        <is>
          <t>Corflute White</t>
        </is>
      </c>
      <c r="E1" s="231" t="inlineStr">
        <is>
          <t>Corflute Yellow</t>
        </is>
      </c>
      <c r="F1" s="231" t="inlineStr">
        <is>
          <t>Corlfute FL Orange</t>
        </is>
      </c>
      <c r="G1" s="231" t="inlineStr">
        <is>
          <t>POLY</t>
        </is>
      </c>
      <c r="H1" s="231" t="inlineStr">
        <is>
          <t>Spare Line</t>
        </is>
      </c>
      <c r="I1" s="231" t="inlineStr">
        <is>
          <t>Spare Line</t>
        </is>
      </c>
      <c r="J1" s="231" t="inlineStr">
        <is>
          <t>Spare Line</t>
        </is>
      </c>
    </row>
    <row r="2" ht="15.75" customHeight="1" s="178">
      <c r="A2" s="232" t="inlineStr">
        <is>
          <t>Length</t>
        </is>
      </c>
      <c r="B2" s="233" t="n">
        <v>1.8</v>
      </c>
      <c r="C2" s="233" t="n">
        <v>0.225</v>
      </c>
      <c r="D2" s="233" t="n">
        <v>1.2</v>
      </c>
      <c r="E2" s="233" t="n">
        <v>0.6</v>
      </c>
      <c r="F2" s="233" t="n">
        <v>1.2</v>
      </c>
      <c r="G2" s="233" t="n">
        <v>0.35</v>
      </c>
      <c r="H2" s="233" t="n"/>
      <c r="I2" s="233" t="n"/>
      <c r="J2" s="233" t="n"/>
      <c r="K2" s="233" t="inlineStr">
        <is>
          <t>Manually Enter this in</t>
        </is>
      </c>
    </row>
    <row r="3" ht="15.75" customHeight="1" s="178">
      <c r="A3" s="232" t="inlineStr">
        <is>
          <t>Width</t>
        </is>
      </c>
      <c r="B3" s="233" t="n">
        <v>0.3</v>
      </c>
      <c r="C3" s="233" t="n">
        <v>0.45</v>
      </c>
      <c r="D3" s="233" t="n">
        <v>0.6</v>
      </c>
      <c r="E3" s="233" t="n">
        <v>0.6</v>
      </c>
      <c r="F3" s="233" t="n">
        <v>0.3</v>
      </c>
      <c r="G3" s="233" t="n">
        <v>0.14</v>
      </c>
      <c r="H3" s="233" t="n"/>
      <c r="I3" s="233" t="n"/>
      <c r="J3" s="233" t="n"/>
      <c r="K3" s="233" t="inlineStr">
        <is>
          <t>Manually Enter this in</t>
        </is>
      </c>
    </row>
    <row r="4" ht="15.75" customHeight="1" s="178">
      <c r="A4" s="232" t="inlineStr">
        <is>
          <t>Length * Width</t>
        </is>
      </c>
      <c r="B4" s="234">
        <f>B2*B3</f>
        <v/>
      </c>
      <c r="C4" s="234">
        <f>C2*C3</f>
        <v/>
      </c>
      <c r="D4" s="234">
        <f>D2*D3</f>
        <v/>
      </c>
      <c r="E4" s="234">
        <f>E2*E3</f>
        <v/>
      </c>
      <c r="F4" s="234">
        <f>F2*F3</f>
        <v/>
      </c>
      <c r="G4" s="234">
        <f>G2*G3</f>
        <v/>
      </c>
      <c r="H4" s="234">
        <f>H2*H3</f>
        <v/>
      </c>
      <c r="I4" s="234">
        <f>I2*I3</f>
        <v/>
      </c>
      <c r="J4" s="234">
        <f>J2*J3</f>
        <v/>
      </c>
      <c r="K4" s="234" t="inlineStr">
        <is>
          <t>Automatically Calculated</t>
        </is>
      </c>
    </row>
    <row r="5" ht="95.25" customHeight="1" s="178">
      <c r="A5" s="235" t="inlineStr">
        <is>
          <t>m2 * VINYL Price
Full Reflective $35 
2105 / 2000 $13
Temp - Yellow Reflective - $14
Temp - Orange Reflective - $20
Temp - White Reflective - $20</t>
        </is>
      </c>
      <c r="B5" s="236">
        <f>B4*35</f>
        <v/>
      </c>
      <c r="C5" s="236">
        <f>C4*13</f>
        <v/>
      </c>
      <c r="D5" s="236">
        <f>D4*14</f>
        <v/>
      </c>
      <c r="E5" s="236">
        <f>E4*14</f>
        <v/>
      </c>
      <c r="F5" s="236">
        <f>F4*20</f>
        <v/>
      </c>
      <c r="G5" s="236">
        <f>G4*13</f>
        <v/>
      </c>
      <c r="H5" s="236">
        <f>H4*0</f>
        <v/>
      </c>
      <c r="I5" s="236">
        <f>I4*0</f>
        <v/>
      </c>
      <c r="J5" s="236">
        <f>J4*0</f>
        <v/>
      </c>
      <c r="K5" s="234" t="inlineStr">
        <is>
          <t>Automatically Calculated</t>
        </is>
      </c>
    </row>
    <row r="6" ht="48.75" customHeight="1" s="178">
      <c r="A6" s="237" t="inlineStr">
        <is>
          <t>ACM $41 Per Sqr Mt / Coreflute - $7Per Sqr MT / POLY $11 Per Sqr mt (Has a 15% Mark UP)</t>
        </is>
      </c>
      <c r="B6" s="236">
        <f>B4*(41)</f>
        <v/>
      </c>
      <c r="C6" s="236">
        <f>C4*(41)</f>
        <v/>
      </c>
      <c r="D6" s="236">
        <f>D4*(7)</f>
        <v/>
      </c>
      <c r="E6" s="236">
        <f>E4*(7)</f>
        <v/>
      </c>
      <c r="F6" s="236">
        <f>F4*(7)</f>
        <v/>
      </c>
      <c r="G6" s="236">
        <f>G4*(11)</f>
        <v/>
      </c>
      <c r="H6" s="236">
        <f>H4*(0)</f>
        <v/>
      </c>
      <c r="I6" s="236">
        <f>I4*(0)</f>
        <v/>
      </c>
      <c r="J6" s="236">
        <f>J4*(0)</f>
        <v/>
      </c>
      <c r="K6" s="234" t="inlineStr">
        <is>
          <t>Automatically Calculated</t>
        </is>
      </c>
    </row>
    <row r="7" ht="15.75" customHeight="1" s="178">
      <c r="A7" s="232" t="inlineStr">
        <is>
          <t>SUB TOTAL</t>
        </is>
      </c>
      <c r="B7" s="234">
        <f>B5+B6</f>
        <v/>
      </c>
      <c r="C7" s="234">
        <f>C5+C6</f>
        <v/>
      </c>
      <c r="D7" s="234">
        <f>D5+D6</f>
        <v/>
      </c>
      <c r="E7" s="234">
        <f>E5+E6</f>
        <v/>
      </c>
      <c r="F7" s="234">
        <f>F5+F6</f>
        <v/>
      </c>
      <c r="G7" s="234">
        <f>G5+G6</f>
        <v/>
      </c>
      <c r="H7" s="234" t="n"/>
      <c r="I7" s="234" t="n"/>
      <c r="J7" s="234" t="n"/>
      <c r="K7" s="234" t="inlineStr">
        <is>
          <t>Automatically Calculated</t>
        </is>
      </c>
    </row>
    <row r="8" ht="15.75" customHeight="1" s="178">
      <c r="A8" s="238" t="inlineStr">
        <is>
          <t>SIZE</t>
        </is>
      </c>
      <c r="B8" s="239">
        <f>TEXT(B2*1000,"0")&amp;" x "&amp;TEXT(B3*1000,"0")</f>
        <v/>
      </c>
      <c r="C8" s="239">
        <f>TEXT(C2*1000,"0")&amp;" x "&amp;TEXT(C3*1000,"0")</f>
        <v/>
      </c>
      <c r="D8" s="239">
        <f>TEXT(D2*1000,"0")&amp;" x "&amp;TEXT(D3*1000,"0")</f>
        <v/>
      </c>
      <c r="E8" s="239">
        <f>TEXT(E2*1000,"0")&amp;" x "&amp;TEXT(E3*1000,"0")</f>
        <v/>
      </c>
      <c r="F8" s="239">
        <f>TEXT(F2*1000,"0")&amp;" x "&amp;TEXT(F3*1000,"0")</f>
        <v/>
      </c>
      <c r="G8" s="239">
        <f>TEXT(G2*1000,"0")&amp;" x "&amp;TEXT(G3*1000,"0")</f>
        <v/>
      </c>
      <c r="H8" s="239">
        <f>TEXT(H2*1000,"0")&amp;" x "&amp;TEXT(H3*1000,"0")</f>
        <v/>
      </c>
      <c r="I8" s="239">
        <f>TEXT(I2*1000,"0")&amp;" x "&amp;TEXT(I3*1000,"0")</f>
        <v/>
      </c>
      <c r="J8" s="239">
        <f>TEXT(J2*1000,"0")&amp;" x "&amp;TEXT(J3*1000,"0")</f>
        <v/>
      </c>
      <c r="K8" s="234" t="inlineStr">
        <is>
          <t>Automatically Calculated</t>
        </is>
      </c>
    </row>
    <row r="9" ht="15.75" customHeight="1" s="178">
      <c r="A9" s="232" t="inlineStr">
        <is>
          <t>Total (65% mark up)</t>
        </is>
      </c>
      <c r="B9" s="240">
        <f>B7*1.65</f>
        <v/>
      </c>
      <c r="C9" s="240">
        <f>C7*1.65</f>
        <v/>
      </c>
      <c r="D9" s="240">
        <f>D7*1.65</f>
        <v/>
      </c>
      <c r="E9" s="240">
        <f>E7*1.65</f>
        <v/>
      </c>
      <c r="F9" s="240">
        <f>F7*1.65</f>
        <v/>
      </c>
      <c r="G9" s="240">
        <f>G7*1.65</f>
        <v/>
      </c>
      <c r="H9" s="240">
        <f>H7*1.65</f>
        <v/>
      </c>
      <c r="I9" s="240">
        <f>I7*1.65</f>
        <v/>
      </c>
      <c r="J9" s="240">
        <f>J7*1.65</f>
        <v/>
      </c>
      <c r="K9" s="234" t="inlineStr">
        <is>
          <t>Automatically Calculated</t>
        </is>
      </c>
    </row>
    <row r="10" ht="15.75" customHeight="1" s="178">
      <c r="A10" s="232" t="inlineStr">
        <is>
          <t>Final Price (Add extra mark up if needed</t>
        </is>
      </c>
    </row>
    <row r="11" ht="48" customHeight="1" s="178">
      <c r="A11" s="244" t="inlineStr">
        <is>
          <t>This tab = 1220 x 2440mm sheet stock, $105/sheet ($41/m² ACM rate). See 'QUICK QUOTE' for the original 1200 x 2400mm / $99/sheet / $40/m² version. All other rates, reflective pricing and the 65% markup are unchanged.</t>
        </is>
      </c>
      <c r="E11" s="241" t="n"/>
      <c r="F11" s="242" t="n"/>
      <c r="G11" s="242" t="n"/>
      <c r="H11" s="242" t="n"/>
      <c r="I11" s="242" t="n"/>
      <c r="J11" s="242" t="n"/>
    </row>
    <row r="12" ht="15.75" customFormat="1" customHeight="1" s="243">
      <c r="A12" s="243" t="inlineStr">
        <is>
          <t>ARTCRAFT (Comparing Price Price)</t>
        </is>
      </c>
    </row>
    <row r="17" ht="15.75" customHeight="1" s="178">
      <c r="B17" s="241" t="n"/>
    </row>
    <row r="18" ht="15.75" customHeight="1" s="178">
      <c r="B18" s="241" t="n"/>
    </row>
    <row r="19" ht="15.75" customHeight="1" s="178">
      <c r="B19" s="241" t="n"/>
    </row>
    <row r="20" ht="15.75" customHeight="1" s="178">
      <c r="B20" s="241" t="n"/>
    </row>
    <row r="21" ht="15.75" customHeight="1" s="178">
      <c r="B21" s="241" t="n"/>
    </row>
    <row r="22" ht="15.75" customHeight="1" s="178">
      <c r="B22" s="241" t="n"/>
    </row>
    <row r="23" ht="15.75" customHeight="1" s="178">
      <c r="B23" s="241" t="n"/>
    </row>
    <row r="24" ht="15.75" customHeight="1" s="178">
      <c r="B24" s="241" t="n"/>
    </row>
    <row r="25" ht="15.75" customHeight="1" s="178">
      <c r="B25" s="241" t="n"/>
    </row>
    <row r="26" ht="15.75" customHeight="1" s="178">
      <c r="B26" s="241" t="n"/>
    </row>
    <row r="27" ht="15.75" customHeight="1" s="178">
      <c r="B27" s="241" t="n"/>
    </row>
    <row r="28" ht="15.75" customHeight="1" s="178">
      <c r="B28" s="241" t="n"/>
    </row>
    <row r="29" ht="15.75" customHeight="1" s="178">
      <c r="B29" s="241" t="n"/>
    </row>
    <row r="30" ht="15.75" customHeight="1" s="178">
      <c r="B30" s="241" t="n"/>
    </row>
    <row r="31" ht="15.75" customHeight="1" s="178">
      <c r="B31" s="241" t="n"/>
    </row>
    <row r="32" ht="15.75" customHeight="1" s="178">
      <c r="B32" s="241" t="n"/>
    </row>
    <row r="33" ht="15.75" customHeight="1" s="178">
      <c r="B33" s="241" t="n"/>
    </row>
    <row r="34" ht="15.75" customHeight="1" s="178">
      <c r="B34" s="241" t="n"/>
    </row>
    <row r="35" ht="15.75" customHeight="1" s="178">
      <c r="B35" s="241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2:I53"/>
  <sheetViews>
    <sheetView showFormulas="0" showGridLines="1" showRowColHeaders="1" showZeros="1" rightToLeft="0" tabSelected="0" showOutlineSymbols="1" defaultGridColor="1" view="normal" topLeftCell="A1" colorId="64" zoomScale="140" zoomScaleNormal="140" zoomScalePageLayoutView="100" workbookViewId="0">
      <selection pane="topLeft" activeCell="C30" activeCellId="0" sqref="C30"/>
    </sheetView>
  </sheetViews>
  <sheetFormatPr baseColWidth="8" defaultColWidth="11.00390625" defaultRowHeight="15.75" zeroHeight="0" outlineLevelRow="0"/>
  <cols>
    <col width="28.37" customWidth="1" style="187" min="1" max="1"/>
    <col width="18.88" customWidth="1" style="187" min="2" max="7"/>
  </cols>
  <sheetData>
    <row r="1" ht="9.75" customFormat="1" customHeight="1" s="245"/>
    <row r="2" ht="21.75" customFormat="1" customHeight="1" s="246">
      <c r="A2" s="247" t="inlineStr">
        <is>
          <t>DESCRIPTION</t>
        </is>
      </c>
      <c r="B2" s="248" t="inlineStr">
        <is>
          <t>F</t>
        </is>
      </c>
      <c r="C2" s="249" t="inlineStr">
        <is>
          <t>G</t>
        </is>
      </c>
      <c r="D2" s="249" t="inlineStr">
        <is>
          <t>H</t>
        </is>
      </c>
      <c r="E2" s="250" t="inlineStr">
        <is>
          <t>I</t>
        </is>
      </c>
      <c r="F2" s="249" t="inlineStr">
        <is>
          <t>I</t>
        </is>
      </c>
    </row>
    <row r="3" ht="42" customFormat="1" customHeight="1" s="251">
      <c r="A3" s="238" t="inlineStr">
        <is>
          <t>SIZE</t>
        </is>
      </c>
      <c r="B3" s="252" t="inlineStr">
        <is>
          <t>600x300</t>
        </is>
      </c>
      <c r="C3" s="253" t="inlineStr">
        <is>
          <t>750 X 180</t>
        </is>
      </c>
      <c r="D3" s="253" t="inlineStr">
        <is>
          <t>450 x 600</t>
        </is>
      </c>
      <c r="E3" s="254" t="inlineStr">
        <is>
          <t>225 x 450</t>
        </is>
      </c>
      <c r="F3" s="255" t="inlineStr">
        <is>
          <t>600 x 600mm</t>
        </is>
      </c>
    </row>
    <row r="4" ht="21.75" customFormat="1" customHeight="1" s="256">
      <c r="A4" s="256" t="inlineStr">
        <is>
          <t>LAYOUT - UP QTY</t>
        </is>
      </c>
      <c r="B4" s="257" t="n">
        <v>7</v>
      </c>
      <c r="C4" s="258" t="n">
        <v>12</v>
      </c>
      <c r="D4" s="258" t="n">
        <v>6</v>
      </c>
      <c r="E4" s="259" t="n">
        <v>15</v>
      </c>
      <c r="F4" s="260" t="n">
        <v>4</v>
      </c>
    </row>
    <row r="5" ht="21.75" customFormat="1" customHeight="1" s="256">
      <c r="A5" s="256" t="inlineStr">
        <is>
          <t>LENGTH</t>
        </is>
      </c>
      <c r="B5" s="257" t="n">
        <v>1.4</v>
      </c>
      <c r="C5" s="258" t="n">
        <v>1.64</v>
      </c>
      <c r="D5" s="258" t="n">
        <v>1.4</v>
      </c>
      <c r="E5" s="259" t="n">
        <v>1.4</v>
      </c>
      <c r="F5" s="260" t="n">
        <v>1.3</v>
      </c>
    </row>
    <row r="6" ht="21.75" customFormat="1" customHeight="1" s="256">
      <c r="A6" s="256" t="inlineStr">
        <is>
          <t>METRES</t>
        </is>
      </c>
      <c r="B6" s="259">
        <f>(B9/B4)*B5</f>
        <v/>
      </c>
      <c r="C6" s="258">
        <f>(C9/C4)*C5</f>
        <v/>
      </c>
      <c r="D6" s="258">
        <f>(D9/D4)*D5</f>
        <v/>
      </c>
      <c r="E6" s="259">
        <f>(E9/E4)*E5</f>
        <v/>
      </c>
      <c r="F6" s="260">
        <f>(F9/F4)*F5</f>
        <v/>
      </c>
    </row>
    <row r="7" ht="21.75" customFormat="1" customHeight="1" s="256">
      <c r="A7" s="256" t="inlineStr">
        <is>
          <t>M2</t>
        </is>
      </c>
      <c r="B7" s="259">
        <f>1.23*B6</f>
        <v/>
      </c>
      <c r="C7" s="258">
        <f>1.23*C6</f>
        <v/>
      </c>
      <c r="D7" s="258">
        <f>1.23*D6</f>
        <v/>
      </c>
      <c r="E7" s="259">
        <f>1.23*E6</f>
        <v/>
      </c>
      <c r="F7" s="260">
        <f>1.23*F6</f>
        <v/>
      </c>
    </row>
    <row r="8" ht="21.75" customFormat="1" customHeight="1" s="256">
      <c r="A8" s="261" t="inlineStr">
        <is>
          <t xml:space="preserve">HOW MANY SIGNS OUT OF AL SHEET </t>
        </is>
      </c>
      <c r="B8" s="259" t="n">
        <v>10</v>
      </c>
      <c r="C8" s="258">
        <f>C9/16</f>
        <v/>
      </c>
      <c r="D8" s="258">
        <f>D9/10</f>
        <v/>
      </c>
      <c r="E8" s="259" t="n">
        <v>1</v>
      </c>
      <c r="F8" s="260" t="n">
        <v>8</v>
      </c>
    </row>
    <row r="9" ht="21" customFormat="1" customHeight="1" s="194">
      <c r="A9" s="262" t="inlineStr">
        <is>
          <t>Quantity</t>
        </is>
      </c>
      <c r="B9" s="263" t="n">
        <v>25</v>
      </c>
      <c r="C9" s="263" t="n">
        <v>25</v>
      </c>
      <c r="D9" s="263" t="n">
        <v>25</v>
      </c>
      <c r="E9" s="264" t="n">
        <v>39</v>
      </c>
      <c r="F9" s="263" t="n">
        <v>25</v>
      </c>
    </row>
    <row r="10" ht="16.5" customHeight="1" s="178">
      <c r="A10" s="265" t="n"/>
      <c r="B10" s="265" t="n"/>
      <c r="C10" s="265" t="n"/>
      <c r="D10" s="265" t="n"/>
      <c r="E10" s="265" t="n"/>
      <c r="F10" s="265" t="n"/>
    </row>
    <row r="11" ht="16.5" customHeight="1" s="178">
      <c r="A11" s="266" t="inlineStr">
        <is>
          <t>ART</t>
        </is>
      </c>
      <c r="B11" s="266" t="n"/>
      <c r="C11" s="266" t="n"/>
      <c r="D11" s="266" t="n"/>
      <c r="E11" s="266" t="n"/>
      <c r="F11" s="266" t="n"/>
    </row>
    <row r="12" ht="16.5" customHeight="1" s="178">
      <c r="A12" s="267" t="inlineStr">
        <is>
          <t>Set Up ($85/hr)</t>
        </is>
      </c>
      <c r="B12" s="268" t="n">
        <v>85</v>
      </c>
      <c r="C12" s="268" t="n">
        <v>85</v>
      </c>
      <c r="D12" s="268" t="n">
        <v>85</v>
      </c>
      <c r="E12" s="268" t="n">
        <v>85</v>
      </c>
      <c r="F12" s="268" t="n">
        <v>85</v>
      </c>
    </row>
    <row r="13" ht="36" customHeight="1" s="178">
      <c r="A13" s="269" t="inlineStr">
        <is>
          <t xml:space="preserve">File set up/template $170 plus GST. </t>
        </is>
      </c>
      <c r="B13" s="270" t="n">
        <v>85</v>
      </c>
      <c r="C13" s="270" t="n">
        <v>85</v>
      </c>
      <c r="D13" s="270" t="n">
        <v>85</v>
      </c>
      <c r="E13" s="270" t="n">
        <v>85</v>
      </c>
      <c r="F13" s="270" t="n">
        <v>85</v>
      </c>
    </row>
    <row r="14" ht="16.5" customHeight="1" s="178">
      <c r="A14" s="271" t="inlineStr">
        <is>
          <t>MATERIAL</t>
        </is>
      </c>
      <c r="B14" s="272" t="n"/>
      <c r="C14" s="272" t="n"/>
      <c r="D14" s="272" t="n"/>
      <c r="E14" s="272" t="n"/>
      <c r="F14" s="272" t="n"/>
    </row>
    <row r="15" ht="16.5" customHeight="1" s="178">
      <c r="A15" s="273" t="inlineStr">
        <is>
          <t>REFLECTIVE</t>
        </is>
      </c>
      <c r="B15" s="274">
        <f>(13*B7)</f>
        <v/>
      </c>
      <c r="C15" s="275">
        <f>(35*C7)</f>
        <v/>
      </c>
      <c r="D15" s="275">
        <f>(35*D7)</f>
        <v/>
      </c>
      <c r="E15" s="274">
        <f>(13*E7)</f>
        <v/>
      </c>
      <c r="F15" s="276">
        <f>(35*F7)</f>
        <v/>
      </c>
    </row>
    <row r="16" ht="16.5" customHeight="1" s="178">
      <c r="A16" s="277" t="inlineStr">
        <is>
          <t>ALUMINIUM (1220X2440)</t>
        </is>
      </c>
      <c r="B16" s="278">
        <f>(90*1.15)*B8</f>
        <v/>
      </c>
      <c r="C16" s="278">
        <f>(90*1.15)*C8</f>
        <v/>
      </c>
      <c r="D16" s="278">
        <f>(90*1.15)*D8</f>
        <v/>
      </c>
      <c r="E16" s="278">
        <f>(90*1.15)*E8</f>
        <v/>
      </c>
      <c r="F16" s="278">
        <f>(90*1.15)*F8</f>
        <v/>
      </c>
      <c r="I16" s="187">
        <f>(90*1.15)</f>
        <v/>
      </c>
    </row>
    <row r="17" ht="16.5" customHeight="1" s="178">
      <c r="A17" s="279" t="inlineStr">
        <is>
          <t>4 METRES EXT</t>
        </is>
      </c>
      <c r="B17" s="280">
        <f>19*4</f>
        <v/>
      </c>
      <c r="C17" s="280">
        <f>19*4</f>
        <v/>
      </c>
      <c r="D17" s="280">
        <f>19*4</f>
        <v/>
      </c>
      <c r="E17" s="280" t="n">
        <v>76</v>
      </c>
      <c r="F17" s="280">
        <f>35*4</f>
        <v/>
      </c>
      <c r="I17" s="187">
        <f>1.22*2.44</f>
        <v/>
      </c>
    </row>
    <row r="18" ht="16.5" customHeight="1" s="178">
      <c r="A18" s="271" t="inlineStr">
        <is>
          <t>PRINT</t>
        </is>
      </c>
      <c r="B18" s="271" t="n"/>
      <c r="C18" s="271" t="n"/>
      <c r="D18" s="271" t="n"/>
      <c r="E18" s="271" t="n"/>
      <c r="F18" s="271" t="n"/>
      <c r="I18" s="187">
        <f>I16/I17</f>
        <v/>
      </c>
    </row>
    <row r="19" ht="16.5" customHeight="1" s="178">
      <c r="A19" s="281" t="inlineStr">
        <is>
          <t>Set Up ($125)</t>
        </is>
      </c>
      <c r="B19" s="282" t="n">
        <v>125</v>
      </c>
      <c r="C19" s="282" t="n">
        <v>125</v>
      </c>
      <c r="D19" s="282" t="n">
        <v>125</v>
      </c>
      <c r="E19" s="282" t="n">
        <v>125</v>
      </c>
      <c r="F19" s="282" t="n">
        <v>125</v>
      </c>
    </row>
    <row r="20" ht="36" customHeight="1" s="178">
      <c r="A20" s="283" t="inlineStr">
        <is>
          <t>Run Time              
($90/hr @ 30m per hour)</t>
        </is>
      </c>
      <c r="B20" s="284">
        <f>(B6/30)*90</f>
        <v/>
      </c>
      <c r="C20" s="284">
        <f>(C6/30)*90</f>
        <v/>
      </c>
      <c r="D20" s="284">
        <f>(D6/30)*90</f>
        <v/>
      </c>
      <c r="E20" s="284">
        <f>(E6/30)*90</f>
        <v/>
      </c>
      <c r="F20" s="284">
        <f>(F6/30)*90</f>
        <v/>
      </c>
    </row>
    <row r="21" ht="16.5" customHeight="1" s="178">
      <c r="A21" s="271" t="inlineStr">
        <is>
          <t>INK</t>
        </is>
      </c>
      <c r="B21" s="271" t="n"/>
      <c r="C21" s="271" t="n"/>
      <c r="D21" s="271" t="n"/>
      <c r="E21" s="271" t="n"/>
      <c r="F21" s="271" t="n"/>
    </row>
    <row r="22" ht="18" customHeight="1" s="178">
      <c r="A22" s="283" t="inlineStr">
        <is>
          <t>Ink Usage ($3.5 per Sq Metre)</t>
        </is>
      </c>
      <c r="B22" s="284">
        <f>(3.5*B7)</f>
        <v/>
      </c>
      <c r="C22" s="284">
        <f>(3.5*C7)</f>
        <v/>
      </c>
      <c r="D22" s="284">
        <f>(3.5*D7)</f>
        <v/>
      </c>
      <c r="E22" s="284">
        <f>(3.5*E7)</f>
        <v/>
      </c>
      <c r="F22" s="284">
        <f>(3.5*F7)</f>
        <v/>
      </c>
    </row>
    <row r="23" ht="16.5" customHeight="1" s="178">
      <c r="A23" s="271" t="inlineStr">
        <is>
          <t>FINISHING</t>
        </is>
      </c>
      <c r="B23" s="271" t="n"/>
      <c r="C23" s="271" t="n"/>
      <c r="D23" s="271" t="n"/>
      <c r="E23" s="271" t="n"/>
      <c r="F23" s="271" t="n"/>
    </row>
    <row r="24" ht="18" customHeight="1" s="178">
      <c r="A24" s="285" t="inlineStr">
        <is>
          <t>Laminate Set up $45</t>
        </is>
      </c>
      <c r="B24" s="282" t="n">
        <v>45</v>
      </c>
      <c r="C24" s="282" t="n">
        <v>45</v>
      </c>
      <c r="D24" s="282" t="n">
        <v>45</v>
      </c>
      <c r="E24" s="282" t="n">
        <v>45</v>
      </c>
      <c r="F24" s="282" t="n">
        <v>45</v>
      </c>
    </row>
    <row r="25" ht="36" customHeight="1" s="178">
      <c r="A25" s="283" t="inlineStr">
        <is>
          <t>Laminate                      ($90/hr @ 45m per hour)</t>
        </is>
      </c>
      <c r="B25" s="283">
        <f>(B6/45)*90</f>
        <v/>
      </c>
      <c r="C25" s="283">
        <f>(C6/45)*90</f>
        <v/>
      </c>
      <c r="D25" s="283">
        <f>(D6/45)*90</f>
        <v/>
      </c>
      <c r="E25" s="283">
        <f>(E6/45)*90</f>
        <v/>
      </c>
      <c r="F25" s="283">
        <f>(F6/45)*90</f>
        <v/>
      </c>
    </row>
    <row r="26" ht="18" customHeight="1" s="178">
      <c r="A26" s="285" t="inlineStr">
        <is>
          <t>MOUNTING Set up $45</t>
        </is>
      </c>
      <c r="B26" s="282" t="n">
        <v>45</v>
      </c>
      <c r="C26" s="282" t="n">
        <v>45</v>
      </c>
      <c r="D26" s="282" t="n">
        <v>45</v>
      </c>
      <c r="E26" s="282" t="n">
        <v>45</v>
      </c>
      <c r="F26" s="282" t="n">
        <v>45</v>
      </c>
    </row>
    <row r="27" ht="36" customHeight="1" s="178">
      <c r="A27" s="286" t="inlineStr">
        <is>
          <t>MOUNTING 
($65/hr @ 15m per hour)</t>
        </is>
      </c>
      <c r="B27" s="287">
        <f>(B6/15)*65</f>
        <v/>
      </c>
      <c r="C27" s="287">
        <f>(C6/15)*65</f>
        <v/>
      </c>
      <c r="D27" s="287">
        <f>(D6/15)*65</f>
        <v/>
      </c>
      <c r="E27" s="287">
        <f>(E6/15)*65</f>
        <v/>
      </c>
      <c r="F27" s="287">
        <f>(F6/15)*65</f>
        <v/>
      </c>
    </row>
    <row r="28" ht="18" customHeight="1" s="178">
      <c r="A28" s="285" t="inlineStr">
        <is>
          <t>ZUND Set up $45</t>
        </is>
      </c>
      <c r="B28" s="282" t="n">
        <v>45</v>
      </c>
      <c r="C28" s="282" t="n">
        <v>45</v>
      </c>
      <c r="D28" s="282" t="n">
        <v>45</v>
      </c>
      <c r="E28" s="282" t="n">
        <v>45</v>
      </c>
      <c r="F28" s="282" t="n">
        <v>45</v>
      </c>
    </row>
    <row r="29" ht="36" customHeight="1" s="178">
      <c r="A29" s="286" t="inlineStr">
        <is>
          <t>ZUND - ROUTER cut           ($105/hr @ 6m per hour)</t>
        </is>
      </c>
      <c r="B29" s="287">
        <f>(B6/6)*105</f>
        <v/>
      </c>
      <c r="C29" s="287">
        <f>(C6/6)*105</f>
        <v/>
      </c>
      <c r="D29" s="287">
        <f>(D6/6)*105</f>
        <v/>
      </c>
      <c r="E29" s="287">
        <f>(E6/6)*105</f>
        <v/>
      </c>
      <c r="F29" s="287">
        <f>(F6/6)*105</f>
        <v/>
      </c>
    </row>
    <row r="30" ht="16.5" customHeight="1" s="178">
      <c r="A30" s="277" t="n"/>
      <c r="B30" s="277" t="n"/>
      <c r="C30" s="277" t="n"/>
      <c r="D30" s="277" t="n"/>
      <c r="E30" s="277" t="n"/>
      <c r="F30" s="277" t="n"/>
    </row>
    <row r="31" ht="16.5" customHeight="1" s="178">
      <c r="A31" s="273" t="inlineStr">
        <is>
          <t>SUB TOTAL</t>
        </is>
      </c>
      <c r="B31" s="288">
        <f>SUM(B12:B29)</f>
        <v/>
      </c>
      <c r="C31" s="288">
        <f>SUM(C12:C29)</f>
        <v/>
      </c>
      <c r="D31" s="288">
        <f>SUM(D12:D29)</f>
        <v/>
      </c>
      <c r="E31" s="288">
        <f>SUM(E12:E29)</f>
        <v/>
      </c>
      <c r="F31" s="288">
        <f>SUM(F12:F29)</f>
        <v/>
      </c>
    </row>
    <row r="32" ht="16.5" customHeight="1" s="178">
      <c r="A32" s="273" t="inlineStr">
        <is>
          <t>45% mark up</t>
        </is>
      </c>
      <c r="B32" s="289">
        <f>B31*0.45</f>
        <v/>
      </c>
      <c r="C32" s="289">
        <f>C31*0.45</f>
        <v/>
      </c>
      <c r="D32" s="289">
        <f>D31*0.45</f>
        <v/>
      </c>
      <c r="E32" s="289">
        <f>E31*0.45</f>
        <v/>
      </c>
      <c r="F32" s="289">
        <f>F31*0.45</f>
        <v/>
      </c>
    </row>
    <row r="33" ht="16.5" customHeight="1" s="178">
      <c r="A33" s="273" t="inlineStr">
        <is>
          <t>TOTAL</t>
        </is>
      </c>
      <c r="B33" s="289">
        <f>B31+B32</f>
        <v/>
      </c>
      <c r="C33" s="289">
        <f>C31+C32</f>
        <v/>
      </c>
      <c r="D33" s="289">
        <f>D31+D32</f>
        <v/>
      </c>
      <c r="E33" s="289">
        <f>E31+E32</f>
        <v/>
      </c>
      <c r="F33" s="289">
        <f>F31+F32</f>
        <v/>
      </c>
    </row>
    <row r="34" ht="16.5" customHeight="1" s="178">
      <c r="A34" s="273" t="inlineStr">
        <is>
          <t>Unit Price</t>
        </is>
      </c>
      <c r="B34" s="290">
        <f>B33/B9</f>
        <v/>
      </c>
      <c r="C34" s="290">
        <f>C33/C9</f>
        <v/>
      </c>
      <c r="D34" s="290">
        <f>D33/D9</f>
        <v/>
      </c>
      <c r="E34" s="290">
        <f>E33/E9</f>
        <v/>
      </c>
      <c r="F34" s="290">
        <f>F33/F9</f>
        <v/>
      </c>
    </row>
    <row r="35" ht="16.5" customHeight="1" s="178">
      <c r="A35" s="238" t="inlineStr">
        <is>
          <t>SIZE</t>
        </is>
      </c>
      <c r="B35" s="291">
        <f>B3</f>
        <v/>
      </c>
      <c r="C35" s="291">
        <f>C3</f>
        <v/>
      </c>
      <c r="D35" s="291">
        <f>D3</f>
        <v/>
      </c>
      <c r="E35" s="291">
        <f>E3</f>
        <v/>
      </c>
      <c r="F35" s="291">
        <f>F3</f>
        <v/>
      </c>
    </row>
    <row r="36" ht="15.75" customHeight="1" s="178">
      <c r="B36" s="292" t="n">
        <v>100</v>
      </c>
      <c r="C36" s="292" t="n">
        <v>53.4</v>
      </c>
      <c r="D36" s="292" t="n">
        <v>69.5</v>
      </c>
      <c r="E36" s="292" t="n">
        <v>29.05</v>
      </c>
      <c r="F36" s="292" t="n">
        <v>116.05</v>
      </c>
    </row>
    <row r="37" ht="15.75" customHeight="1" s="178">
      <c r="B37" s="293" t="n"/>
      <c r="C37" s="293" t="n"/>
      <c r="D37" s="293" t="n"/>
      <c r="E37" s="293" t="n"/>
      <c r="F37" s="293" t="n"/>
    </row>
    <row r="43" ht="15.75" customHeight="1" s="178">
      <c r="A43" s="187" t="inlineStr">
        <is>
          <t>Length</t>
        </is>
      </c>
      <c r="B43" s="233" t="n">
        <v>1.4</v>
      </c>
      <c r="C43" s="187" t="n">
        <v>0.75</v>
      </c>
      <c r="D43" s="187" t="n">
        <v>0.45</v>
      </c>
      <c r="E43" s="233" t="n">
        <v>0.225</v>
      </c>
      <c r="F43" s="187" t="n">
        <v>0.6</v>
      </c>
    </row>
    <row r="44" ht="15.75" customHeight="1" s="178">
      <c r="A44" s="187" t="inlineStr">
        <is>
          <t>Width</t>
        </is>
      </c>
      <c r="B44" s="233" t="n">
        <v>0.45</v>
      </c>
      <c r="C44" s="187" t="n">
        <v>0.18</v>
      </c>
      <c r="D44" s="187" t="n">
        <v>0.6</v>
      </c>
      <c r="E44" s="233" t="n">
        <v>0.45</v>
      </c>
      <c r="F44" s="187" t="n">
        <v>0.6</v>
      </c>
    </row>
    <row r="45" ht="15.75" customHeight="1" s="178">
      <c r="A45" s="187" t="inlineStr">
        <is>
          <t>Length * Width</t>
        </is>
      </c>
      <c r="B45" s="233">
        <f>B43*B44</f>
        <v/>
      </c>
      <c r="C45" s="187">
        <f>C43*C44</f>
        <v/>
      </c>
      <c r="D45" s="187">
        <f>D43*D44</f>
        <v/>
      </c>
      <c r="E45" s="233">
        <f>E43*E44</f>
        <v/>
      </c>
      <c r="F45" s="187">
        <f>F43*F44</f>
        <v/>
      </c>
    </row>
    <row r="46" ht="15.75" customHeight="1" s="178">
      <c r="A46" s="187" t="inlineStr">
        <is>
          <t>m2 * VINYL Price ($35 or $13)</t>
        </is>
      </c>
      <c r="B46" s="233">
        <f>B45*13</f>
        <v/>
      </c>
      <c r="C46" s="187">
        <f>C45*35</f>
        <v/>
      </c>
      <c r="D46" s="187">
        <f>D45*35</f>
        <v/>
      </c>
      <c r="E46" s="233">
        <f>E45*13</f>
        <v/>
      </c>
      <c r="F46" s="187">
        <f>F45*35</f>
        <v/>
      </c>
    </row>
    <row r="47" ht="15.75" customHeight="1" s="178">
      <c r="A47" s="187" t="inlineStr">
        <is>
          <t>ACM $35 Per Sqr Mt</t>
        </is>
      </c>
      <c r="B47" s="233">
        <f>B45*(35)</f>
        <v/>
      </c>
      <c r="C47" s="187">
        <f>C45*(35)</f>
        <v/>
      </c>
      <c r="D47" s="187">
        <f>D45*(35)</f>
        <v/>
      </c>
      <c r="E47" s="233">
        <f>E45*(35)</f>
        <v/>
      </c>
      <c r="F47" s="187">
        <f>F45*(35)</f>
        <v/>
      </c>
    </row>
    <row r="48" ht="15.75" customHeight="1" s="178">
      <c r="A48" s="187" t="inlineStr">
        <is>
          <t>SUB TOTAL</t>
        </is>
      </c>
      <c r="B48" s="233">
        <f>B46+B47</f>
        <v/>
      </c>
      <c r="C48" s="187">
        <f>C46+C47</f>
        <v/>
      </c>
      <c r="D48" s="187">
        <f>D46+D47</f>
        <v/>
      </c>
      <c r="E48" s="233">
        <f>E46+E47</f>
        <v/>
      </c>
      <c r="F48" s="187">
        <f>F46+F47</f>
        <v/>
      </c>
    </row>
    <row r="49" ht="15.75" customHeight="1" s="178">
      <c r="A49" s="238" t="inlineStr">
        <is>
          <t>SIZE</t>
        </is>
      </c>
      <c r="B49" s="291" t="inlineStr">
        <is>
          <t>600 x 300</t>
        </is>
      </c>
      <c r="C49" s="291" t="inlineStr">
        <is>
          <t>750 X 180</t>
        </is>
      </c>
      <c r="D49" s="291" t="inlineStr">
        <is>
          <t>450 x 600</t>
        </is>
      </c>
      <c r="E49" s="291" t="inlineStr">
        <is>
          <t>225 x 450</t>
        </is>
      </c>
      <c r="F49" s="291" t="inlineStr">
        <is>
          <t>600 x 600mm</t>
        </is>
      </c>
    </row>
    <row r="50" ht="15.75" customHeight="1" s="178">
      <c r="A50" s="187" t="inlineStr">
        <is>
          <t>Total (65% mark up)</t>
        </is>
      </c>
      <c r="B50" s="294">
        <f>B48*1.65</f>
        <v/>
      </c>
      <c r="C50" s="295">
        <f>C48*1.65</f>
        <v/>
      </c>
      <c r="D50" s="295">
        <f>D48*1.65</f>
        <v/>
      </c>
      <c r="E50" s="294">
        <f>E48*1.65</f>
        <v/>
      </c>
      <c r="F50" s="295">
        <f>F48*1.65</f>
        <v/>
      </c>
    </row>
    <row r="53" ht="15.75" customFormat="1" customHeight="1" s="243">
      <c r="A53" s="243" t="inlineStr">
        <is>
          <t>ARTCRAFT</t>
        </is>
      </c>
      <c r="B53" s="243" t="n">
        <v>32</v>
      </c>
      <c r="E53" s="243" t="n">
        <v>21.5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K53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selection pane="topLeft" activeCell="E8" activeCellId="0" sqref="E8"/>
    </sheetView>
  </sheetViews>
  <sheetFormatPr baseColWidth="8" defaultColWidth="13.87890625" defaultRowHeight="24" zeroHeight="0" outlineLevelRow="0"/>
  <cols>
    <col width="12.63" customWidth="1" style="296" min="1" max="1"/>
    <col width="83.12" customWidth="1" style="296" min="2" max="2"/>
    <col width="6.12" customWidth="1" style="296" min="3" max="3"/>
    <col width="8.869999999999999" customWidth="1" style="296" min="4" max="4"/>
    <col width="10.13" customWidth="1" style="296" min="5" max="5"/>
    <col width="12.13" customWidth="1" style="296" min="6" max="6"/>
    <col width="13.88" customWidth="1" style="296" min="7" max="16384"/>
  </cols>
  <sheetData>
    <row r="1" ht="45" customHeight="1" s="178">
      <c r="A1" s="296" t="inlineStr">
        <is>
          <t>SUPPLIER</t>
        </is>
      </c>
      <c r="B1" s="296" t="inlineStr">
        <is>
          <t>Stock</t>
        </is>
      </c>
      <c r="D1" s="253" t="n"/>
      <c r="E1" s="297" t="inlineStr">
        <is>
          <t>Price / LM</t>
        </is>
      </c>
      <c r="F1" s="297" t="inlineStr">
        <is>
          <t>Per Roll</t>
        </is>
      </c>
      <c r="G1" s="297" t="inlineStr">
        <is>
          <t>M2 per roll</t>
        </is>
      </c>
      <c r="H1" s="297" t="inlineStr">
        <is>
          <t>M2 $ per roll</t>
        </is>
      </c>
      <c r="I1" s="296" t="inlineStr">
        <is>
          <t>Charge out $</t>
        </is>
      </c>
      <c r="J1" s="296" t="inlineStr">
        <is>
          <t>W/ Lam</t>
        </is>
      </c>
    </row>
    <row r="2" ht="24" customHeight="1" s="178">
      <c r="A2" s="296" t="inlineStr">
        <is>
          <t>Orafol</t>
        </is>
      </c>
      <c r="B2" s="298" t="inlineStr">
        <is>
          <t xml:space="preserve">ORALITE 5960 - 020 Class 400T Temporary Work Zone Reflective Sheeting – Non Fluorescent </t>
        </is>
      </c>
      <c r="C2" s="299" t="n">
        <v>1.235</v>
      </c>
      <c r="D2" s="300" t="n">
        <v>50</v>
      </c>
      <c r="E2" s="301" t="n">
        <v>16.94</v>
      </c>
      <c r="F2" s="301">
        <f>D2*E2</f>
        <v/>
      </c>
      <c r="G2" s="302">
        <f>(C2*D2)</f>
        <v/>
      </c>
      <c r="H2" s="303">
        <f>F2/G2</f>
        <v/>
      </c>
      <c r="I2" s="303">
        <f>H2*1.15</f>
        <v/>
      </c>
      <c r="J2" s="304">
        <f>I2+I6</f>
        <v/>
      </c>
    </row>
    <row r="3" ht="24" customHeight="1" s="178">
      <c r="A3" s="296" t="inlineStr">
        <is>
          <t>Orafol</t>
        </is>
      </c>
      <c r="B3" s="305" t="inlineStr">
        <is>
          <t xml:space="preserve">ORALITE 5960 - 038 Class 400T Temporary Work Zone Reflective Sheeting – Fluorescent </t>
        </is>
      </c>
      <c r="C3" s="299" t="n">
        <v>1.235</v>
      </c>
      <c r="D3" s="300" t="n">
        <v>50</v>
      </c>
      <c r="E3" s="301" t="n">
        <v>23.95</v>
      </c>
      <c r="F3" s="301">
        <f>D3*E3</f>
        <v/>
      </c>
      <c r="G3" s="302">
        <f>(C3*D3)</f>
        <v/>
      </c>
      <c r="H3" s="303">
        <f>F3/G3</f>
        <v/>
      </c>
      <c r="I3" s="303">
        <f>H3*1.15</f>
        <v/>
      </c>
      <c r="J3" s="304">
        <f>I3+I6</f>
        <v/>
      </c>
    </row>
    <row r="4" ht="24" customHeight="1" s="178">
      <c r="A4" s="296" t="inlineStr">
        <is>
          <t>Orafol</t>
        </is>
      </c>
      <c r="B4" s="305" t="inlineStr">
        <is>
          <t xml:space="preserve">ORALITE 5960 - 010 Class 400T Temporary Work Zone Reflective Sheeting – WHITE </t>
        </is>
      </c>
      <c r="C4" s="299" t="n">
        <v>1.235</v>
      </c>
      <c r="D4" s="300" t="n">
        <v>50</v>
      </c>
      <c r="E4" s="301" t="n">
        <v>23.95</v>
      </c>
      <c r="F4" s="301" t="n">
        <v>1197.5</v>
      </c>
      <c r="G4" s="302" t="n"/>
      <c r="H4" s="303" t="n"/>
      <c r="I4" s="303" t="n"/>
      <c r="J4" s="304" t="n"/>
    </row>
    <row r="5" ht="24" customHeight="1" s="178">
      <c r="A5" s="296" t="inlineStr">
        <is>
          <t>Orafol</t>
        </is>
      </c>
      <c r="B5" s="305" t="inlineStr">
        <is>
          <t xml:space="preserve">ORALITE 5910 Class 400 Permanent Reflective Sheeting – Non Fluorescent </t>
        </is>
      </c>
      <c r="C5" s="299" t="n">
        <v>1.235</v>
      </c>
      <c r="D5" s="300" t="n">
        <v>50</v>
      </c>
      <c r="E5" s="301" t="n">
        <v>23.86</v>
      </c>
      <c r="F5" s="301">
        <f>D5*E5</f>
        <v/>
      </c>
      <c r="G5" s="302">
        <f>(C5*D5)</f>
        <v/>
      </c>
      <c r="H5" s="303">
        <f>F5/G5</f>
        <v/>
      </c>
      <c r="I5" s="303">
        <f>H5*1.15</f>
        <v/>
      </c>
      <c r="J5" s="304">
        <f>I5+I6</f>
        <v/>
      </c>
    </row>
    <row r="6" ht="24" customHeight="1" s="178">
      <c r="A6" s="296" t="inlineStr">
        <is>
          <t>Orafol</t>
        </is>
      </c>
      <c r="B6" s="300" t="inlineStr">
        <is>
          <t xml:space="preserve">ORALITE 5061 Class 400 Permanent Reflective Overlay – Clear </t>
        </is>
      </c>
      <c r="C6" s="299" t="n">
        <v>1.235</v>
      </c>
      <c r="D6" s="300" t="n">
        <v>50</v>
      </c>
      <c r="E6" s="301" t="n">
        <v>13.72</v>
      </c>
      <c r="F6" s="301">
        <f>D6*E6</f>
        <v/>
      </c>
      <c r="G6" s="302">
        <f>(C6*D6)</f>
        <v/>
      </c>
      <c r="H6" s="303">
        <f>F6/G6</f>
        <v/>
      </c>
      <c r="I6" s="303">
        <f>H6*1.15</f>
        <v/>
      </c>
    </row>
    <row r="7" ht="24" customHeight="1" s="178">
      <c r="A7" s="296" t="inlineStr">
        <is>
          <t>APEX</t>
        </is>
      </c>
      <c r="B7" s="296" t="inlineStr">
        <is>
          <t>standard material is 5052 H38 1.60</t>
        </is>
      </c>
      <c r="C7" s="296" t="n">
        <v>1.2</v>
      </c>
      <c r="D7" s="296" t="n">
        <v>2.4</v>
      </c>
      <c r="F7" s="296" t="n">
        <v>90</v>
      </c>
      <c r="I7" s="306">
        <f>F7*1.15</f>
        <v/>
      </c>
    </row>
    <row r="8" ht="24" customHeight="1" s="178">
      <c r="I8" s="306" t="n"/>
    </row>
    <row r="9" ht="24" customHeight="1" s="178">
      <c r="B9" s="307" t="inlineStr">
        <is>
          <t>PRINT</t>
        </is>
      </c>
      <c r="C9" s="300" t="n"/>
      <c r="D9" s="256" t="n"/>
    </row>
    <row r="10" ht="24" customHeight="1" s="178">
      <c r="B10" s="308" t="inlineStr">
        <is>
          <t>Ink:              $3.50 per square metre</t>
        </is>
      </c>
    </row>
    <row r="11" ht="24" customHeight="1" s="178">
      <c r="B11" s="309" t="inlineStr">
        <is>
          <t xml:space="preserve">Speed:         30 metres per hour </t>
        </is>
      </c>
    </row>
    <row r="13" ht="39" customHeight="1" s="178">
      <c r="B13" s="310" t="inlineStr">
        <is>
          <t xml:space="preserve">MPI 2105 Easy Apply RS and DOL 2460 Gloss / DOL 2480 Matt  High Performace polymeric      vs   MPI 2902 Easy Apply and DOL 2960 Gloss / DOL 2980 Matt  Intermediate polymeric </t>
        </is>
      </c>
    </row>
    <row r="14" ht="39" customHeight="1" s="178">
      <c r="B14" s="310" t="inlineStr">
        <is>
          <t>The main difference is Warranty period (approx 12 months), MPI 2902 is Easy Apply only, noRS (Repo &amp; Slideability) and obviously price</t>
        </is>
      </c>
      <c r="C14" s="300" t="n"/>
    </row>
    <row r="15" ht="35.25" customFormat="1" customHeight="1" s="311">
      <c r="B15" s="312" t="inlineStr">
        <is>
          <t>AVERY DETAILS</t>
        </is>
      </c>
      <c r="C15" s="313" t="inlineStr">
        <is>
          <t>M2</t>
        </is>
      </c>
      <c r="D15" s="314" t="inlineStr">
        <is>
          <t>$</t>
        </is>
      </c>
      <c r="E15" s="314" t="inlineStr">
        <is>
          <t>$ inc M/up</t>
        </is>
      </c>
      <c r="F15" s="314" t="inlineStr">
        <is>
          <t>M2 charge out $</t>
        </is>
      </c>
      <c r="G15" s="315" t="inlineStr">
        <is>
          <t>Pack $ per M2</t>
        </is>
      </c>
    </row>
    <row r="16" ht="24" customHeight="1" s="178">
      <c r="B16" s="316" t="inlineStr">
        <is>
          <t>MPI 2105                                                 1.372 X 50m    $598.60 per roll</t>
        </is>
      </c>
      <c r="C16" s="317">
        <f>1.37*50</f>
        <v/>
      </c>
      <c r="D16" s="318" t="n">
        <v>598.6</v>
      </c>
      <c r="E16" s="318">
        <f>D16*1.15</f>
        <v/>
      </c>
      <c r="F16" s="318">
        <f>E16/C16</f>
        <v/>
      </c>
      <c r="G16" s="319">
        <f>F17+F18</f>
        <v/>
      </c>
    </row>
    <row r="17" ht="24" customHeight="1" s="178">
      <c r="B17" s="320" t="inlineStr">
        <is>
          <t>MPI 2105                                                 1.524 X 50m    $664.92 per roll</t>
        </is>
      </c>
      <c r="C17" s="317">
        <f>1.52*50</f>
        <v/>
      </c>
      <c r="D17" s="318" t="n">
        <v>664.92</v>
      </c>
      <c r="E17" s="318">
        <f>D17*1.15</f>
        <v/>
      </c>
      <c r="F17" s="318">
        <f>E17/C17</f>
        <v/>
      </c>
      <c r="G17" s="321" t="n"/>
    </row>
    <row r="18" ht="24" customHeight="1" s="178">
      <c r="B18" s="316" t="inlineStr">
        <is>
          <t>DOL 2460 Gloss / DOL 2480 Matt           1.37 x 50m      $366.68 per roll</t>
        </is>
      </c>
      <c r="C18" s="317">
        <f>1.37*50</f>
        <v/>
      </c>
      <c r="D18" s="318" t="n">
        <v>366.68</v>
      </c>
      <c r="E18" s="318">
        <f>D18*1.15</f>
        <v/>
      </c>
      <c r="F18" s="318">
        <f>E18/C18</f>
        <v/>
      </c>
      <c r="G18" s="321" t="n"/>
    </row>
    <row r="19" ht="24" customHeight="1" s="178">
      <c r="B19" s="320" t="inlineStr">
        <is>
          <t>DOL 2460 Gloss / DOL 2480 Matt           1.52 x 50m      $406.84 per roll</t>
        </is>
      </c>
      <c r="C19" s="317">
        <f>1.52*50</f>
        <v/>
      </c>
      <c r="D19" s="318" t="n">
        <v>406.84</v>
      </c>
      <c r="E19" s="318">
        <f>D19*1.15</f>
        <v/>
      </c>
      <c r="F19" s="318">
        <f>E19/C19</f>
        <v/>
      </c>
      <c r="G19" s="322" t="n"/>
    </row>
    <row r="20" ht="24" customHeight="1" s="178">
      <c r="D20" s="323" t="n"/>
      <c r="G20" s="311" t="n"/>
    </row>
    <row r="21" ht="24" customHeight="1" s="178">
      <c r="B21" s="316" t="inlineStr">
        <is>
          <t>MPI 2902                                                 1.372 X 45.7m    $378.23 per roll</t>
        </is>
      </c>
      <c r="C21" s="317">
        <f>1.37*50</f>
        <v/>
      </c>
      <c r="D21" s="318" t="n">
        <v>378.23</v>
      </c>
      <c r="E21" s="318">
        <f>D21*1.15</f>
        <v/>
      </c>
      <c r="F21" s="318">
        <f>E21/C21</f>
        <v/>
      </c>
      <c r="G21" s="319">
        <f>F22+F23</f>
        <v/>
      </c>
    </row>
    <row r="22" ht="24" customHeight="1" s="178">
      <c r="B22" s="320" t="inlineStr">
        <is>
          <t>MPI 2902                                                 1.524 X 45.7m    $420.14 per roll</t>
        </is>
      </c>
      <c r="C22" s="317">
        <f>1.52*50</f>
        <v/>
      </c>
      <c r="D22" s="318" t="n">
        <v>420.14</v>
      </c>
      <c r="E22" s="318">
        <f>D22*1.15</f>
        <v/>
      </c>
      <c r="F22" s="318">
        <f>E22/C22</f>
        <v/>
      </c>
      <c r="G22" s="321" t="n"/>
    </row>
    <row r="23" ht="24" customHeight="1" s="178">
      <c r="B23" s="316" t="inlineStr">
        <is>
          <t>DOL 2960 Gloss / DOL 2980 Matt           1.37 x 50m         $303.49 per roll</t>
        </is>
      </c>
      <c r="C23" s="317">
        <f>1.37*50</f>
        <v/>
      </c>
      <c r="D23" s="318" t="n">
        <v>303.49</v>
      </c>
      <c r="E23" s="318">
        <f>D23*1.15</f>
        <v/>
      </c>
      <c r="F23" s="318">
        <f>E23/C23</f>
        <v/>
      </c>
      <c r="G23" s="321" t="n"/>
    </row>
    <row r="24" ht="24" customHeight="1" s="178">
      <c r="B24" s="320" t="inlineStr">
        <is>
          <t>DOL 2960 Gloss / DOL 2980 Matt           1.524 x 50m       $336.73 per roll</t>
        </is>
      </c>
      <c r="C24" s="317">
        <f>1.52*50</f>
        <v/>
      </c>
      <c r="D24" s="318" t="n">
        <v>336.73</v>
      </c>
      <c r="E24" s="318">
        <f>D24*1.15</f>
        <v/>
      </c>
      <c r="F24" s="318">
        <f>E24/C24</f>
        <v/>
      </c>
      <c r="G24" s="322" t="n"/>
    </row>
    <row r="37" ht="24" customHeight="1" s="178">
      <c r="A37" s="324" t="inlineStr">
        <is>
          <t>LABEL CONCEPTS PTY L</t>
        </is>
      </c>
      <c r="B37" s="325" t="n">
        <v>333113</v>
      </c>
      <c r="C37" s="325" t="n"/>
      <c r="D37" s="324" t="inlineStr">
        <is>
          <t>A002539</t>
        </is>
      </c>
      <c r="E37" s="326" t="inlineStr">
        <is>
          <t>MPI 2105 GL WH EA RS LTR_1.372M X 45.7M</t>
        </is>
      </c>
      <c r="F37" s="326" t="n"/>
      <c r="G37" s="327" t="n">
        <v>0</v>
      </c>
      <c r="H37" s="328" t="n">
        <v>0</v>
      </c>
      <c r="I37" s="256" t="n"/>
      <c r="J37" s="329" t="n"/>
      <c r="K37" s="329" t="n"/>
    </row>
    <row r="38" ht="24" customHeight="1" s="178">
      <c r="A38" s="324" t="inlineStr">
        <is>
          <t>LABEL CONCEPTS PTY L</t>
        </is>
      </c>
      <c r="B38" s="325" t="n">
        <v>333113</v>
      </c>
      <c r="C38" s="325" t="n"/>
      <c r="D38" s="324" t="inlineStr">
        <is>
          <t>A005632</t>
        </is>
      </c>
      <c r="E38" s="326" t="inlineStr">
        <is>
          <t>DOL 6460 GC PU PER PET_1.372M X 45.7M</t>
        </is>
      </c>
      <c r="F38" s="326" t="n"/>
      <c r="G38" s="327" t="n">
        <v>1063.96</v>
      </c>
      <c r="H38" s="328" t="n">
        <v>1095.88</v>
      </c>
      <c r="I38" s="256" t="n"/>
      <c r="J38" s="329" t="n"/>
      <c r="K38" s="329" t="n"/>
    </row>
    <row r="39" ht="24" customHeight="1" s="178">
      <c r="A39" s="324" t="inlineStr">
        <is>
          <t>LABEL CONCEPTS PTY L</t>
        </is>
      </c>
      <c r="B39" s="325" t="n">
        <v>333113</v>
      </c>
      <c r="C39" s="325" t="n"/>
      <c r="D39" s="324" t="inlineStr">
        <is>
          <t>A006091</t>
        </is>
      </c>
      <c r="E39" s="326" t="inlineStr">
        <is>
          <t>MPI 1105 EA RS LTR GW PE_1.524M X 45.7M</t>
        </is>
      </c>
      <c r="F39" s="326" t="n"/>
      <c r="G39" s="327" t="n">
        <v>618.83</v>
      </c>
      <c r="H39" s="328" t="n">
        <v>637.39</v>
      </c>
      <c r="I39" s="256" t="n"/>
      <c r="J39" s="329" t="n"/>
      <c r="K39" s="329" t="n"/>
    </row>
    <row r="40" ht="24" customHeight="1" s="178">
      <c r="A40" s="324" t="inlineStr">
        <is>
          <t>LABEL CONCEPTS PTY L</t>
        </is>
      </c>
      <c r="B40" s="325" t="n">
        <v>333113</v>
      </c>
      <c r="C40" s="325" t="n"/>
      <c r="D40" s="324" t="inlineStr">
        <is>
          <t>A006094</t>
        </is>
      </c>
      <c r="E40" s="326" t="inlineStr">
        <is>
          <t>MPI 1105 EA RS LTR GW PE_1.372M X 45.7M</t>
        </is>
      </c>
      <c r="F40" s="326" t="n"/>
      <c r="G40" s="327" t="n">
        <v>553.96</v>
      </c>
      <c r="H40" s="328" t="n">
        <v>570.58</v>
      </c>
      <c r="I40" s="256" t="inlineStr">
        <is>
          <t>1460zpac2 - 1520</t>
        </is>
      </c>
      <c r="J40" s="329" t="n"/>
      <c r="K40" s="329" t="n"/>
    </row>
    <row r="41" ht="24" customHeight="1" s="178">
      <c r="A41" s="324" t="inlineStr">
        <is>
          <t>LABEL CONCEPTS PTY L</t>
        </is>
      </c>
      <c r="B41" s="325" t="n">
        <v>333113</v>
      </c>
      <c r="C41" s="325" t="n"/>
      <c r="D41" s="324" t="inlineStr">
        <is>
          <t>A006170</t>
        </is>
      </c>
      <c r="E41" s="326" t="inlineStr">
        <is>
          <t>DOL 1460Z GL TRAN PER PET_1.524M X 45.7M</t>
        </is>
      </c>
      <c r="F41" s="326" t="n"/>
      <c r="G41" s="327" t="n">
        <v>767.87</v>
      </c>
      <c r="H41" s="328" t="n">
        <v>790.91</v>
      </c>
      <c r="I41" s="330">
        <f>H41+H39</f>
        <v/>
      </c>
      <c r="J41" s="329" t="n"/>
      <c r="K41" s="329" t="n"/>
    </row>
    <row r="42" ht="24" customHeight="1" s="178">
      <c r="A42" s="324" t="inlineStr">
        <is>
          <t>LABEL CONCEPTS PTY L</t>
        </is>
      </c>
      <c r="B42" s="325" t="n">
        <v>333113</v>
      </c>
      <c r="C42" s="325" t="n"/>
      <c r="D42" s="324" t="inlineStr">
        <is>
          <t>A006171</t>
        </is>
      </c>
      <c r="E42" s="326" t="inlineStr">
        <is>
          <t>DOL 1460Z GL TRAN PER PET_1.372M X 45.7M</t>
        </is>
      </c>
      <c r="F42" s="326" t="n"/>
      <c r="G42" s="327" t="n">
        <v>693.27</v>
      </c>
      <c r="H42" s="328" t="n">
        <v>714.0700000000001</v>
      </c>
      <c r="I42" s="256" t="inlineStr">
        <is>
          <t>6460zpac2 - 1520</t>
        </is>
      </c>
      <c r="J42" s="329" t="n"/>
      <c r="K42" s="329" t="n"/>
    </row>
    <row r="43" ht="24" customHeight="1" s="178">
      <c r="A43" s="324" t="inlineStr">
        <is>
          <t>LABEL CONCEPTS PTY L</t>
        </is>
      </c>
      <c r="B43" s="325" t="n">
        <v>333113</v>
      </c>
      <c r="C43" s="325" t="n"/>
      <c r="D43" s="324" t="inlineStr">
        <is>
          <t>CE3370264</t>
        </is>
      </c>
      <c r="E43" s="326" t="inlineStr">
        <is>
          <t>SL 4530 ANTI GRAFFITI_1.37M X 50M</t>
        </is>
      </c>
      <c r="F43" s="326" t="n"/>
      <c r="G43" s="327" t="n">
        <v>752.51</v>
      </c>
      <c r="H43" s="328" t="n">
        <v>752.51</v>
      </c>
      <c r="I43" s="330" t="n">
        <v>1849</v>
      </c>
      <c r="J43" s="329">
        <f>I43*11</f>
        <v/>
      </c>
      <c r="K43" s="329">
        <f>J43*1.15</f>
        <v/>
      </c>
    </row>
    <row r="44" ht="24" customHeight="1" s="178">
      <c r="A44" s="324" t="inlineStr">
        <is>
          <t>LABEL CONCEPTS PTY L</t>
        </is>
      </c>
      <c r="B44" s="325" t="n">
        <v>333113</v>
      </c>
      <c r="C44" s="325" t="n"/>
      <c r="D44" s="324" t="inlineStr">
        <is>
          <t>CE3600012</t>
        </is>
      </c>
      <c r="E44" s="326" t="inlineStr">
        <is>
          <t>DOL 2000 GL TRANS PER KR_1.37M X 45M</t>
        </is>
      </c>
      <c r="F44" s="326" t="n"/>
      <c r="G44" s="327" t="n">
        <v>0</v>
      </c>
      <c r="H44" s="328" t="n">
        <v>0</v>
      </c>
      <c r="I44" s="256" t="n"/>
      <c r="J44" s="329" t="n"/>
      <c r="K44" s="329" t="n"/>
    </row>
    <row r="45" ht="24" customHeight="1" s="178">
      <c r="A45" s="324" t="inlineStr">
        <is>
          <t>LABEL CONCEPTS PTY L</t>
        </is>
      </c>
      <c r="B45" s="325" t="n">
        <v>333113</v>
      </c>
      <c r="C45" s="325" t="n"/>
      <c r="D45" s="324" t="inlineStr">
        <is>
          <t>CE581.760</t>
        </is>
      </c>
      <c r="E45" s="324" t="inlineStr">
        <is>
          <t>400 GLOSS WHITE PERM KR1000MM X 760MM SHEET</t>
        </is>
      </c>
      <c r="F45" s="324" t="n"/>
      <c r="G45" s="327" t="n">
        <v>0</v>
      </c>
      <c r="H45" s="328" t="n">
        <v>0</v>
      </c>
      <c r="I45" s="256" t="n"/>
      <c r="J45" s="329" t="n"/>
      <c r="K45" s="329" t="n"/>
    </row>
    <row r="47" ht="24" customHeight="1" s="178">
      <c r="I47" s="331">
        <f>(I43/1.37)*1.52</f>
        <v/>
      </c>
    </row>
    <row r="49" ht="24" customHeight="1" s="178">
      <c r="D49" s="310" t="inlineStr">
        <is>
          <t>The 3m product we recommend for anti graffiti is the 8993 hi gloss 1370x50m</t>
        </is>
      </c>
    </row>
    <row r="50" ht="24" customHeight="1" s="178">
      <c r="D50" s="256" t="n"/>
    </row>
    <row r="51" ht="24" customHeight="1" s="178">
      <c r="D51" s="310" t="inlineStr">
        <is>
          <t>Roll price is $1344.00</t>
        </is>
      </c>
    </row>
    <row r="52" ht="24" customHeight="1" s="178">
      <c r="D52" s="310" t="inlineStr">
        <is>
          <t xml:space="preserve">$26.88 per lm </t>
        </is>
      </c>
    </row>
    <row r="53" ht="24" customHeight="1" s="178">
      <c r="D53" s="310" t="inlineStr">
        <is>
          <t xml:space="preserve">Ex gst </t>
        </is>
      </c>
    </row>
  </sheetData>
  <mergeCells count="2">
    <mergeCell ref="G16:G19"/>
    <mergeCell ref="G21:G24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K8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H3" activeCellId="0" sqref="H3"/>
    </sheetView>
  </sheetViews>
  <sheetFormatPr baseColWidth="8" defaultColWidth="8.87890625" defaultRowHeight="15.75" zeroHeight="0" outlineLevelRow="0"/>
  <cols>
    <col width="77.37" customWidth="1" style="187" min="1" max="1"/>
    <col width="14" customWidth="1" style="187" min="2" max="2"/>
    <col width="17.63" customWidth="1" style="187" min="3" max="3"/>
    <col width="9" customWidth="1" style="332" min="4" max="4"/>
    <col width="11.37" customWidth="1" style="187" min="5" max="5"/>
    <col width="11.88" customWidth="1" style="187" min="6" max="6"/>
    <col width="16.12" customWidth="1" style="332" min="7" max="9"/>
    <col width="18.88" customWidth="1" style="187" min="10" max="10"/>
    <col width="16.12" customWidth="1" style="187" min="11" max="11"/>
  </cols>
  <sheetData>
    <row r="1" ht="15.75" customFormat="1" customHeight="1" s="256">
      <c r="D1" s="258" t="n"/>
      <c r="G1" s="258" t="n"/>
      <c r="H1" s="258" t="n"/>
      <c r="I1" s="258" t="n"/>
    </row>
    <row r="2" ht="15.75" customFormat="1" customHeight="1" s="256">
      <c r="B2" s="333" t="n"/>
      <c r="C2" s="334" t="inlineStr">
        <is>
          <t xml:space="preserve">LC Price </t>
        </is>
      </c>
      <c r="D2" s="258" t="n"/>
      <c r="G2" s="258" t="inlineStr">
        <is>
          <t>LENGTH</t>
        </is>
      </c>
      <c r="H2" s="258" t="inlineStr">
        <is>
          <t xml:space="preserve">Qty up </t>
        </is>
      </c>
      <c r="I2" s="258" t="inlineStr">
        <is>
          <t>WIDTH</t>
        </is>
      </c>
    </row>
    <row r="3" ht="32.25" customFormat="1" customHeight="1" s="256">
      <c r="A3" s="335" t="n"/>
      <c r="B3" s="336" t="n">
        <v>48</v>
      </c>
      <c r="C3" s="337" t="n">
        <v>103</v>
      </c>
      <c r="D3" s="338" t="n">
        <v>2</v>
      </c>
      <c r="E3" s="324" t="inlineStr">
        <is>
          <t>600 x 800</t>
        </is>
      </c>
      <c r="F3" s="324" t="inlineStr">
        <is>
          <t>CL1 White</t>
        </is>
      </c>
      <c r="G3" s="258" t="n">
        <v>1.63</v>
      </c>
      <c r="H3" s="258" t="n">
        <v>4</v>
      </c>
      <c r="I3" s="258" t="n">
        <v>1.37</v>
      </c>
    </row>
    <row r="4" ht="32.25" customFormat="1" customHeight="1" s="256">
      <c r="A4" s="339" t="inlineStr">
        <is>
          <t>R5-35L  NO STANDING (LEFT ARROW)                     4 (225x450) $27.35  (white non reflective)</t>
        </is>
      </c>
      <c r="B4" s="340" t="n">
        <v>27.35</v>
      </c>
      <c r="C4" s="341" t="n">
        <v>42</v>
      </c>
      <c r="D4" s="342" t="n">
        <v>3</v>
      </c>
      <c r="E4" s="343" t="inlineStr">
        <is>
          <t>225 x 450</t>
        </is>
      </c>
      <c r="F4" s="343" t="inlineStr">
        <is>
          <t xml:space="preserve">White </t>
        </is>
      </c>
      <c r="G4" s="344" t="n">
        <v>1.4</v>
      </c>
      <c r="H4" s="344">
        <f>5*3</f>
        <v/>
      </c>
      <c r="I4" s="258" t="n"/>
    </row>
    <row r="5" ht="32.25" customFormat="1" customHeight="1" s="256">
      <c r="A5" s="345" t="inlineStr">
        <is>
          <t xml:space="preserve">G3-V5-1B            RECTANGULAR STREET STREET BLADE      2       East Ridge Drive   1 x left arrow   1 x right arrow (2285x270)  (sign face only do not worry about it being braced) </t>
        </is>
      </c>
      <c r="B5" s="346" t="n"/>
      <c r="C5" s="347" t="n">
        <v>114.85</v>
      </c>
      <c r="D5" s="338" t="n">
        <v>2</v>
      </c>
      <c r="E5" s="324" t="inlineStr">
        <is>
          <t>2285 x 270</t>
        </is>
      </c>
      <c r="F5" s="324" t="inlineStr">
        <is>
          <t>CL1 White</t>
        </is>
      </c>
      <c r="G5" s="258" t="n">
        <v>2.3</v>
      </c>
      <c r="H5" s="258" t="n">
        <v>5</v>
      </c>
      <c r="I5" s="258" t="n"/>
    </row>
    <row r="6" ht="32.25" customFormat="1" customHeight="1" s="256">
      <c r="A6" s="339" t="inlineStr">
        <is>
          <t>R5-35L  NO STANDING (LEFT ARROW)                     4 (225x450) $27.35  (white non reflective)</t>
        </is>
      </c>
      <c r="B6" s="340" t="n">
        <v>27.35</v>
      </c>
      <c r="C6" s="341" t="n"/>
      <c r="D6" s="342" t="n">
        <v>4</v>
      </c>
      <c r="E6" s="343" t="inlineStr">
        <is>
          <t>225 x 450</t>
        </is>
      </c>
      <c r="F6" s="343" t="inlineStr">
        <is>
          <t xml:space="preserve">White </t>
        </is>
      </c>
      <c r="G6" s="344" t="n">
        <v>1.4</v>
      </c>
      <c r="H6" s="344">
        <f>5*3</f>
        <v/>
      </c>
      <c r="I6" s="258" t="n"/>
    </row>
    <row r="7" ht="32.25" customFormat="1" customHeight="1" s="256">
      <c r="A7" s="339" t="inlineStr">
        <is>
          <t>G2-V5-1A            RECTANGULAR STREET STREET BLADE      1             Manchester Rd (2997x400) (sign face only do not worry about it being braced) (cl1 white)</t>
        </is>
      </c>
      <c r="B7" s="340" t="n"/>
      <c r="C7" s="341" t="n">
        <v>362</v>
      </c>
      <c r="D7" s="338" t="n">
        <v>1</v>
      </c>
      <c r="E7" s="324" t="inlineStr">
        <is>
          <t>2997 x 400</t>
        </is>
      </c>
      <c r="F7" s="324" t="inlineStr">
        <is>
          <t>CL1 White</t>
        </is>
      </c>
      <c r="G7" s="258" t="n">
        <v>3.01</v>
      </c>
      <c r="H7" s="258" t="n">
        <v>3</v>
      </c>
      <c r="I7" s="258" t="n"/>
    </row>
    <row r="8" ht="32.25" customFormat="1" customHeight="1" s="256">
      <c r="A8" s="335" t="inlineStr">
        <is>
          <t>W3-3B  WARNING DIAMOND     2 (750x750) $148.98  (cl1 yellow)</t>
        </is>
      </c>
      <c r="B8" s="336" t="n">
        <v>148.98</v>
      </c>
      <c r="C8" s="337" t="n">
        <v>162.75</v>
      </c>
      <c r="D8" s="338" t="n">
        <v>2</v>
      </c>
      <c r="E8" s="324" t="inlineStr">
        <is>
          <t>750 x 750</t>
        </is>
      </c>
      <c r="F8" s="324" t="inlineStr">
        <is>
          <t>CL1 Yellow</t>
        </is>
      </c>
      <c r="G8" s="258" t="n">
        <v>1.55</v>
      </c>
      <c r="H8" s="258" t="n">
        <v>2</v>
      </c>
      <c r="I8" s="258" t="n"/>
    </row>
    <row r="9" ht="32.25" customFormat="1" customHeight="1" s="256">
      <c r="A9" s="345" t="inlineStr">
        <is>
          <t>R7-4A   END       450X150              1  $28 (cl1 white)</t>
        </is>
      </c>
      <c r="B9" s="346" t="n">
        <v>28</v>
      </c>
      <c r="C9" s="347" t="n">
        <v>41.35</v>
      </c>
      <c r="D9" s="338" t="n">
        <v>1</v>
      </c>
      <c r="E9" s="324" t="inlineStr">
        <is>
          <t>450 x 150</t>
        </is>
      </c>
      <c r="F9" s="324" t="inlineStr">
        <is>
          <t>CL1 White</t>
        </is>
      </c>
      <c r="G9" s="258" t="n">
        <v>1.5</v>
      </c>
      <c r="H9" s="258">
        <f>3*9</f>
        <v/>
      </c>
      <c r="I9" s="258" t="n"/>
    </row>
    <row r="10" ht="32.25" customFormat="1" customHeight="1" s="256">
      <c r="A10" s="339" t="inlineStr">
        <is>
          <t>D4-1-3             UNI DIRECTIONAL HAZ MARKER (BRACED)            1 (1800X300) (sign face only do not worry about it being braced) (cl1 white)</t>
        </is>
      </c>
      <c r="B10" s="340" t="n"/>
      <c r="C10" s="341" t="n">
        <v>116.6</v>
      </c>
      <c r="D10" s="338" t="n">
        <v>1</v>
      </c>
      <c r="E10" s="324" t="inlineStr">
        <is>
          <t>1800 x 300</t>
        </is>
      </c>
      <c r="F10" s="324" t="inlineStr">
        <is>
          <t>CL1 White</t>
        </is>
      </c>
      <c r="G10" s="258" t="n">
        <v>1.85</v>
      </c>
      <c r="H10" s="258" t="n">
        <v>4</v>
      </c>
      <c r="I10" s="258" t="n"/>
    </row>
    <row r="11" ht="32.25" customFormat="1" customHeight="1" s="256">
      <c r="A11" s="335" t="inlineStr">
        <is>
          <t>R8-2A   SHARED FOOTWAY          2 300X400 $28 (cl1 white)</t>
        </is>
      </c>
      <c r="B11" s="336" t="n">
        <v>28</v>
      </c>
      <c r="C11" s="337" t="n">
        <v>53.4</v>
      </c>
      <c r="D11" s="338" t="n">
        <v>2</v>
      </c>
      <c r="E11" s="324" t="inlineStr">
        <is>
          <t xml:space="preserve">300 x 400 </t>
        </is>
      </c>
      <c r="F11" s="324" t="inlineStr">
        <is>
          <t>CL1 White</t>
        </is>
      </c>
      <c r="G11" s="258">
        <f>0.41*4</f>
        <v/>
      </c>
      <c r="H11" s="258">
        <f>4*3</f>
        <v/>
      </c>
      <c r="I11" s="258" t="n"/>
    </row>
    <row r="12" ht="32.25" customFormat="1" customHeight="1" s="256">
      <c r="A12" s="339" t="inlineStr">
        <is>
          <t>R7-1-4B BICYCLE LANE   2 (450X600) $46 (cl1 white)</t>
        </is>
      </c>
      <c r="B12" s="340" t="n">
        <v>46</v>
      </c>
      <c r="C12" s="341" t="n">
        <v>69.2</v>
      </c>
      <c r="D12" s="338" t="n">
        <v>2</v>
      </c>
      <c r="E12" s="324" t="inlineStr">
        <is>
          <t>450 x 600</t>
        </is>
      </c>
      <c r="F12" s="324" t="inlineStr">
        <is>
          <t>CL1 White</t>
        </is>
      </c>
      <c r="G12" s="258" t="n">
        <v>1.4</v>
      </c>
      <c r="H12" s="258">
        <f>2*3</f>
        <v/>
      </c>
      <c r="I12" s="258" t="n"/>
    </row>
    <row r="13" ht="32.25" customFormat="1" customHeight="1" s="256">
      <c r="A13" s="339" t="inlineStr">
        <is>
          <t>R7-4B    END       1 (450X150) $19 (cl1 white)</t>
        </is>
      </c>
      <c r="B13" s="340" t="n">
        <v>19</v>
      </c>
      <c r="C13" s="341" t="n">
        <v>41</v>
      </c>
      <c r="D13" s="338" t="n">
        <v>1</v>
      </c>
      <c r="E13" s="324" t="inlineStr">
        <is>
          <t>450 x 150</t>
        </is>
      </c>
      <c r="F13" s="324" t="inlineStr">
        <is>
          <t>CL1 White</t>
        </is>
      </c>
      <c r="G13" s="258" t="n">
        <v>1.5</v>
      </c>
      <c r="H13" s="258">
        <f>3*9</f>
        <v/>
      </c>
      <c r="I13" s="258" t="n"/>
    </row>
    <row r="14" ht="32.25" customFormat="1" customHeight="1" s="256">
      <c r="A14" s="339" t="inlineStr">
        <is>
          <t>R4-1-50A             SPEED _50_        2 (450X600) $46 (cl1 white)</t>
        </is>
      </c>
      <c r="B14" s="340" t="n">
        <v>46</v>
      </c>
      <c r="C14" s="341" t="n">
        <v>69.2</v>
      </c>
      <c r="D14" s="338" t="n">
        <v>2</v>
      </c>
      <c r="E14" s="324" t="inlineStr">
        <is>
          <t>450 x 600</t>
        </is>
      </c>
      <c r="F14" s="324" t="inlineStr">
        <is>
          <t>CL1 White</t>
        </is>
      </c>
      <c r="G14" s="258" t="n">
        <v>1.4</v>
      </c>
      <c r="H14" s="258">
        <f>2*3</f>
        <v/>
      </c>
      <c r="I14" s="258" t="n"/>
    </row>
    <row r="15" ht="15.75" customFormat="1" customHeight="1" s="256">
      <c r="A15" s="348" t="n"/>
      <c r="B15" s="348" t="n"/>
      <c r="C15" s="348" t="n"/>
      <c r="D15" s="258" t="n"/>
      <c r="G15" s="258" t="n"/>
      <c r="H15" s="258" t="n"/>
      <c r="I15" s="258" t="n"/>
    </row>
    <row r="16" ht="15.75" customFormat="1" customHeight="1" s="256">
      <c r="A16" s="348" t="n"/>
      <c r="B16" s="348" t="n"/>
      <c r="C16" s="348" t="n"/>
      <c r="D16" s="258" t="n"/>
      <c r="G16" s="258" t="n"/>
      <c r="H16" s="258" t="n"/>
      <c r="I16" s="258" t="n"/>
    </row>
    <row r="17" ht="15.75" customFormat="1" customHeight="1" s="256">
      <c r="A17" s="348" t="n"/>
      <c r="B17" s="348" t="n"/>
      <c r="C17" s="348" t="n"/>
      <c r="D17" s="258" t="n"/>
      <c r="E17" s="256" t="inlineStr">
        <is>
          <t>450 x 450</t>
        </is>
      </c>
      <c r="F17" s="256">
        <f>465*3</f>
        <v/>
      </c>
      <c r="G17" s="258" t="n"/>
      <c r="H17" s="258" t="n"/>
      <c r="I17" s="258" t="n"/>
    </row>
    <row r="18" ht="15.75" customFormat="1" customHeight="1" s="256">
      <c r="A18" s="348" t="n"/>
      <c r="B18" s="348" t="n"/>
      <c r="C18" s="348" t="n"/>
      <c r="D18" s="258" t="n"/>
      <c r="G18" s="258" t="n"/>
      <c r="H18" s="258" t="n"/>
      <c r="I18" s="258" t="n"/>
    </row>
    <row r="19" ht="15.75" customFormat="1" customHeight="1" s="256">
      <c r="A19" s="348" t="n"/>
      <c r="B19" s="348" t="n"/>
      <c r="C19" s="348" t="n"/>
      <c r="D19" s="258" t="n"/>
      <c r="G19" s="258" t="n"/>
      <c r="H19" s="258" t="n"/>
      <c r="I19" s="258" t="n"/>
    </row>
    <row r="20" ht="15.75" customFormat="1" customHeight="1" s="256">
      <c r="A20" s="348" t="n"/>
      <c r="B20" s="348" t="n"/>
      <c r="C20" s="348" t="n"/>
      <c r="D20" s="258" t="n"/>
      <c r="G20" s="258" t="n"/>
      <c r="H20" s="258" t="n"/>
      <c r="I20" s="258" t="n"/>
    </row>
    <row r="21" ht="15.75" customFormat="1" customHeight="1" s="256">
      <c r="A21" s="348" t="n"/>
      <c r="B21" s="348" t="n"/>
      <c r="C21" s="348" t="n"/>
      <c r="D21" s="258" t="n"/>
      <c r="G21" s="258" t="n"/>
      <c r="H21" s="258" t="n"/>
      <c r="I21" s="258" t="n"/>
    </row>
    <row r="22" ht="15.75" customFormat="1" customHeight="1" s="256">
      <c r="A22" s="348" t="n"/>
      <c r="B22" s="348" t="n"/>
      <c r="C22" s="348" t="n"/>
      <c r="D22" s="258" t="n"/>
      <c r="G22" s="258" t="n"/>
      <c r="H22" s="258" t="n"/>
      <c r="I22" s="258" t="n"/>
    </row>
    <row r="23" ht="15.75" customFormat="1" customHeight="1" s="256">
      <c r="A23" s="348" t="n"/>
      <c r="B23" s="348" t="n"/>
      <c r="C23" s="348" t="n"/>
      <c r="D23" s="258" t="n"/>
      <c r="G23" s="258" t="n"/>
      <c r="H23" s="258" t="n"/>
      <c r="I23" s="258" t="n"/>
    </row>
    <row r="24" ht="15.75" customFormat="1" customHeight="1" s="256">
      <c r="A24" s="348" t="n"/>
      <c r="B24" s="348" t="n"/>
      <c r="C24" s="348" t="n"/>
      <c r="D24" s="258" t="n"/>
      <c r="G24" s="258" t="n"/>
      <c r="H24" s="258" t="n"/>
      <c r="I24" s="258" t="n"/>
    </row>
    <row r="25" ht="15.75" customFormat="1" customHeight="1" s="256">
      <c r="A25" s="348" t="n"/>
      <c r="B25" s="348" t="n"/>
      <c r="C25" s="348" t="n"/>
      <c r="D25" s="258" t="n"/>
      <c r="G25" s="258" t="n"/>
      <c r="H25" s="258" t="n"/>
      <c r="I25" s="258" t="n"/>
    </row>
    <row r="26" ht="15.75" customFormat="1" customHeight="1" s="256">
      <c r="D26" s="258" t="n"/>
      <c r="G26" s="258" t="n"/>
      <c r="H26" s="258" t="n"/>
      <c r="I26" s="258" t="n"/>
    </row>
    <row r="27" ht="15.75" customFormat="1" customHeight="1" s="256">
      <c r="D27" s="258" t="n"/>
      <c r="F27" s="256" t="inlineStr">
        <is>
          <t>1220 x 2440</t>
        </is>
      </c>
      <c r="G27" s="258" t="n"/>
      <c r="H27" s="258" t="n"/>
      <c r="I27" s="258" t="n"/>
    </row>
    <row r="28" ht="15.75" customFormat="1" customHeight="1" s="256">
      <c r="D28" s="258" t="n"/>
      <c r="E28" s="349" t="inlineStr">
        <is>
          <t>450 x 150</t>
        </is>
      </c>
      <c r="F28" s="325">
        <f>5*8</f>
        <v/>
      </c>
      <c r="G28" s="258" t="n"/>
      <c r="H28" s="258" t="n"/>
      <c r="I28" s="258" t="n"/>
    </row>
    <row r="29" ht="15.75" customFormat="1" customHeight="1" s="256">
      <c r="D29" s="258" t="n"/>
      <c r="E29" s="349" t="inlineStr">
        <is>
          <t xml:space="preserve">300 x 400 </t>
        </is>
      </c>
      <c r="F29" s="325" t="n">
        <v>16</v>
      </c>
      <c r="G29" s="258" t="n"/>
      <c r="H29" s="258" t="n"/>
      <c r="I29" s="258" t="n"/>
    </row>
    <row r="30" ht="15.75" customFormat="1" customHeight="1" s="256">
      <c r="D30" s="258" t="n"/>
      <c r="E30" s="349" t="inlineStr">
        <is>
          <t>450 x 600</t>
        </is>
      </c>
      <c r="F30" s="325">
        <f>2*5</f>
        <v/>
      </c>
      <c r="G30" s="258" t="n"/>
      <c r="H30" s="258" t="n"/>
      <c r="I30" s="258" t="n"/>
    </row>
    <row r="31" ht="15.75" customFormat="1" customHeight="1" s="256">
      <c r="D31" s="258" t="n"/>
      <c r="E31" s="349" t="inlineStr">
        <is>
          <t>600 x 800</t>
        </is>
      </c>
      <c r="F31" s="325">
        <f>2*3</f>
        <v/>
      </c>
      <c r="G31" s="258" t="n"/>
      <c r="H31" s="258" t="n"/>
      <c r="I31" s="258" t="n"/>
    </row>
    <row r="32" ht="15.75" customFormat="1" customHeight="1" s="256">
      <c r="D32" s="258" t="n"/>
      <c r="E32" s="349" t="inlineStr">
        <is>
          <t>750 x 750</t>
        </is>
      </c>
      <c r="F32" s="325" t="n">
        <v>3</v>
      </c>
      <c r="G32" s="258" t="n"/>
      <c r="H32" s="258" t="n"/>
      <c r="I32" s="258" t="n"/>
    </row>
    <row r="33" ht="15.75" customFormat="1" customHeight="1" s="256">
      <c r="D33" s="258" t="n"/>
      <c r="E33" s="349" t="inlineStr">
        <is>
          <t>2285 x 270</t>
        </is>
      </c>
      <c r="F33" s="325" t="n">
        <v>4</v>
      </c>
      <c r="G33" s="258" t="n"/>
      <c r="H33" s="258" t="n"/>
      <c r="I33" s="258" t="n"/>
    </row>
    <row r="34" ht="15.75" customFormat="1" customHeight="1" s="256">
      <c r="D34" s="258" t="n"/>
      <c r="E34" s="349" t="inlineStr">
        <is>
          <t>2997 x 400</t>
        </is>
      </c>
      <c r="F34" s="325" t="n"/>
      <c r="G34" s="258" t="n"/>
      <c r="H34" s="258" t="n"/>
      <c r="I34" s="258" t="n"/>
    </row>
    <row r="35" ht="15.75" customFormat="1" customHeight="1" s="256">
      <c r="D35" s="258" t="n"/>
      <c r="E35" s="350" t="inlineStr">
        <is>
          <t>225 x 450</t>
        </is>
      </c>
      <c r="F35" s="325" t="n">
        <v>25</v>
      </c>
      <c r="G35" s="258" t="n"/>
      <c r="H35" s="258" t="n"/>
      <c r="I35" s="258" t="n"/>
    </row>
    <row r="36" ht="15.75" customFormat="1" customHeight="1" s="256">
      <c r="D36" s="258" t="n"/>
      <c r="G36" s="258" t="n"/>
      <c r="H36" s="258" t="n"/>
      <c r="I36" s="258" t="n"/>
    </row>
    <row r="37" ht="15.75" customFormat="1" customHeight="1" s="256">
      <c r="D37" s="258" t="n"/>
      <c r="G37" s="258" t="n"/>
      <c r="H37" s="258" t="n"/>
      <c r="I37" s="258" t="n"/>
    </row>
    <row r="38" ht="15.75" customFormat="1" customHeight="1" s="256">
      <c r="D38" s="258" t="n"/>
      <c r="G38" s="258" t="n"/>
      <c r="H38" s="258" t="n"/>
      <c r="I38" s="258" t="n"/>
    </row>
    <row r="39" ht="15.75" customFormat="1" customHeight="1" s="256">
      <c r="D39" s="258" t="n"/>
      <c r="G39" s="258" t="n"/>
      <c r="H39" s="258" t="n"/>
      <c r="I39" s="258" t="n"/>
    </row>
    <row r="40" ht="15.75" customFormat="1" customHeight="1" s="256">
      <c r="D40" s="258" t="n"/>
      <c r="E40" s="256" t="n">
        <v>1220</v>
      </c>
      <c r="G40" s="258" t="n">
        <v>2440</v>
      </c>
      <c r="H40" s="258" t="n"/>
      <c r="I40" s="258" t="n"/>
    </row>
    <row r="41" ht="15.75" customFormat="1" customHeight="1" s="256">
      <c r="D41" s="256" t="n">
        <v>1220</v>
      </c>
      <c r="E41" s="324" t="n">
        <v>450</v>
      </c>
      <c r="F41" s="324">
        <f>D41/E41</f>
        <v/>
      </c>
      <c r="G41" s="258" t="n"/>
      <c r="H41" s="258" t="n">
        <v>2440</v>
      </c>
      <c r="I41" s="258">
        <f>H41/E41</f>
        <v/>
      </c>
      <c r="K41" s="256">
        <f>5*8</f>
        <v/>
      </c>
    </row>
    <row r="42" ht="15.75" customHeight="1" s="178">
      <c r="D42" s="256" t="n">
        <v>1220</v>
      </c>
      <c r="E42" s="324" t="n">
        <v>300</v>
      </c>
      <c r="F42" s="324">
        <f>D42/E42</f>
        <v/>
      </c>
      <c r="H42" s="258" t="n">
        <v>2440</v>
      </c>
      <c r="I42" s="258">
        <f>H42/E42</f>
        <v/>
      </c>
    </row>
    <row r="43" ht="15.75" customHeight="1" s="178">
      <c r="D43" s="256" t="n">
        <v>1220</v>
      </c>
      <c r="E43" s="324" t="n">
        <v>450</v>
      </c>
      <c r="F43" s="324">
        <f>D43/E43</f>
        <v/>
      </c>
      <c r="H43" s="258" t="n">
        <v>2440</v>
      </c>
      <c r="I43" s="258">
        <f>H43/E43</f>
        <v/>
      </c>
    </row>
    <row r="44" ht="15.75" customHeight="1" s="178">
      <c r="D44" s="256" t="n">
        <v>1220</v>
      </c>
      <c r="E44" s="324" t="n">
        <v>600</v>
      </c>
      <c r="F44" s="324">
        <f>D44/E44</f>
        <v/>
      </c>
      <c r="H44" s="258" t="n">
        <v>2440</v>
      </c>
      <c r="I44" s="258">
        <f>H44/E44</f>
        <v/>
      </c>
    </row>
    <row r="45" ht="15.75" customHeight="1" s="178">
      <c r="D45" s="256" t="n">
        <v>1220</v>
      </c>
      <c r="E45" s="324" t="n">
        <v>750</v>
      </c>
      <c r="F45" s="324">
        <f>D45/E45</f>
        <v/>
      </c>
      <c r="H45" s="258" t="n">
        <v>2440</v>
      </c>
      <c r="I45" s="258">
        <f>H45/E45</f>
        <v/>
      </c>
    </row>
    <row r="46" ht="15.75" customHeight="1" s="178">
      <c r="D46" s="256" t="n">
        <v>1220</v>
      </c>
      <c r="E46" s="324" t="n">
        <v>2285</v>
      </c>
      <c r="F46" s="324">
        <f>D46/E46</f>
        <v/>
      </c>
      <c r="H46" s="258" t="n">
        <v>2440</v>
      </c>
      <c r="I46" s="258">
        <f>H46/E46</f>
        <v/>
      </c>
    </row>
    <row r="47" ht="15.75" customHeight="1" s="178">
      <c r="D47" s="256" t="n">
        <v>1220</v>
      </c>
      <c r="E47" s="324" t="n">
        <v>2997</v>
      </c>
      <c r="F47" s="324">
        <f>D47/E47</f>
        <v/>
      </c>
      <c r="H47" s="258" t="n">
        <v>2440</v>
      </c>
      <c r="I47" s="258">
        <f>H47/E47</f>
        <v/>
      </c>
    </row>
    <row r="48" ht="15.75" customHeight="1" s="178">
      <c r="D48" s="256" t="n">
        <v>1220</v>
      </c>
      <c r="E48" s="343" t="n">
        <v>225</v>
      </c>
      <c r="F48" s="324">
        <f>D48/E48</f>
        <v/>
      </c>
      <c r="H48" s="258" t="n">
        <v>2440</v>
      </c>
      <c r="I48" s="258">
        <f>H48/E48</f>
        <v/>
      </c>
    </row>
    <row r="49" ht="15.75" customHeight="1" s="178">
      <c r="D49" s="256" t="n">
        <v>1220</v>
      </c>
      <c r="E49" s="351" t="n">
        <v>150</v>
      </c>
      <c r="F49" s="324">
        <f>D49/E49</f>
        <v/>
      </c>
      <c r="H49" s="258" t="n">
        <v>2440</v>
      </c>
      <c r="I49" s="258">
        <f>H49/E49</f>
        <v/>
      </c>
    </row>
    <row r="50" ht="15.75" customHeight="1" s="178">
      <c r="D50" s="256" t="n">
        <v>1220</v>
      </c>
      <c r="E50" s="351" t="n">
        <v>400</v>
      </c>
      <c r="F50" s="324">
        <f>D50/E50</f>
        <v/>
      </c>
      <c r="H50" s="258" t="n">
        <v>2440</v>
      </c>
      <c r="I50" s="258">
        <f>H50/E50</f>
        <v/>
      </c>
    </row>
    <row r="51" ht="15.75" customHeight="1" s="178">
      <c r="D51" s="256" t="n">
        <v>1220</v>
      </c>
      <c r="E51" s="351" t="n">
        <v>600</v>
      </c>
      <c r="F51" s="324">
        <f>D51/E51</f>
        <v/>
      </c>
      <c r="H51" s="258" t="n">
        <v>2440</v>
      </c>
      <c r="I51" s="258">
        <f>H51/E51</f>
        <v/>
      </c>
    </row>
    <row r="52" ht="15.75" customHeight="1" s="178">
      <c r="D52" s="256" t="n">
        <v>1220</v>
      </c>
      <c r="E52" s="351" t="n">
        <v>800</v>
      </c>
      <c r="F52" s="324">
        <f>D52/E52</f>
        <v/>
      </c>
      <c r="H52" s="258" t="n">
        <v>2440</v>
      </c>
      <c r="I52" s="258">
        <f>H52/E52</f>
        <v/>
      </c>
    </row>
    <row r="53" ht="15.75" customHeight="1" s="178">
      <c r="D53" s="256" t="n">
        <v>1220</v>
      </c>
      <c r="E53" s="351" t="n">
        <v>750</v>
      </c>
      <c r="F53" s="324">
        <f>D53/E53</f>
        <v/>
      </c>
      <c r="H53" s="258" t="n">
        <v>2440</v>
      </c>
      <c r="I53" s="258">
        <f>H53/E53</f>
        <v/>
      </c>
    </row>
    <row r="54" ht="15.75" customHeight="1" s="178">
      <c r="D54" s="256" t="n">
        <v>1220</v>
      </c>
      <c r="E54" s="351" t="n">
        <v>270</v>
      </c>
      <c r="F54" s="324">
        <f>D54/E54</f>
        <v/>
      </c>
      <c r="H54" s="258" t="n">
        <v>2440</v>
      </c>
      <c r="I54" s="258">
        <f>H54/E54</f>
        <v/>
      </c>
    </row>
    <row r="55" ht="15.75" customHeight="1" s="178">
      <c r="D55" s="256" t="n">
        <v>1220</v>
      </c>
      <c r="E55" s="351" t="n">
        <v>400</v>
      </c>
      <c r="F55" s="324">
        <f>D55/E55</f>
        <v/>
      </c>
      <c r="H55" s="258" t="n">
        <v>2440</v>
      </c>
      <c r="I55" s="258">
        <f>H55/E55</f>
        <v/>
      </c>
    </row>
    <row r="56" ht="15.75" customHeight="1" s="178">
      <c r="D56" s="256" t="n">
        <v>1220</v>
      </c>
      <c r="E56" s="351" t="n">
        <v>450</v>
      </c>
      <c r="F56" s="324">
        <f>D56/E56</f>
        <v/>
      </c>
      <c r="H56" s="258" t="n">
        <v>2440</v>
      </c>
      <c r="I56" s="258">
        <f>H56/E56</f>
        <v/>
      </c>
    </row>
    <row r="74" ht="16.5" customHeight="1" s="178">
      <c r="A74" s="352" t="inlineStr">
        <is>
          <t>Hi Sam,</t>
        </is>
      </c>
      <c r="B74" s="352" t="n"/>
      <c r="C74" s="352" t="n"/>
    </row>
    <row r="76" ht="15.75" customHeight="1" s="178">
      <c r="A76" s="352" t="n"/>
      <c r="B76" s="352" t="n"/>
      <c r="C76" s="352" t="n"/>
    </row>
    <row r="78" ht="16.5" customHeight="1" s="178">
      <c r="A78" s="352" t="inlineStr">
        <is>
          <t>G918A - CL1 WHITE</t>
        </is>
      </c>
      <c r="B78" s="352" t="n"/>
      <c r="C78" s="352" t="n"/>
      <c r="D78" s="353" t="inlineStr">
        <is>
          <t>G9-18A 600X400 NO THROUGH ROAD (BLK/WHT) Holes Vic</t>
        </is>
      </c>
      <c r="H78" s="332" t="n">
        <v>4</v>
      </c>
      <c r="I78" s="332" t="inlineStr">
        <is>
          <t>CL1 White</t>
        </is>
      </c>
      <c r="J78" s="187" t="inlineStr">
        <is>
          <t>600 x 400</t>
        </is>
      </c>
    </row>
    <row r="79" ht="16.5" customHeight="1" s="178">
      <c r="A79" s="352" t="inlineStr">
        <is>
          <t xml:space="preserve">R82A CL1 WHITE </t>
        </is>
      </c>
      <c r="B79" s="352" t="n"/>
      <c r="C79" s="352" t="n"/>
      <c r="D79" s="353" t="inlineStr">
        <is>
          <t>R8-2A 300X400 Shared Footway (Blk/Wht) Holes Vic</t>
        </is>
      </c>
      <c r="H79" s="332" t="n">
        <v>4</v>
      </c>
      <c r="I79" s="332" t="inlineStr">
        <is>
          <t>CL1 White</t>
        </is>
      </c>
      <c r="J79" s="187" t="inlineStr">
        <is>
          <t>300 x 400</t>
        </is>
      </c>
    </row>
    <row r="80" ht="16.5" customHeight="1" s="178">
      <c r="A80" s="352" t="inlineStr">
        <is>
          <t>R12A CL1 WHITE</t>
        </is>
      </c>
      <c r="B80" s="352" t="n"/>
      <c r="C80" s="352" t="n"/>
      <c r="D80" s="353" t="inlineStr">
        <is>
          <t>R1-2A 750 GIVE WAY Holes Vic</t>
        </is>
      </c>
      <c r="H80" s="332" t="n">
        <v>3</v>
      </c>
      <c r="I80" s="332" t="inlineStr">
        <is>
          <t>CL1 White</t>
        </is>
      </c>
      <c r="J80" s="187" t="inlineStr">
        <is>
          <t>750 triangle</t>
        </is>
      </c>
    </row>
    <row r="81" ht="16.5" customHeight="1" s="178">
      <c r="A81" s="352" t="inlineStr">
        <is>
          <t xml:space="preserve">TC2235A CL1 FLURO YELLOW </t>
        </is>
      </c>
      <c r="B81" s="352" t="n"/>
      <c r="C81" s="352" t="n"/>
      <c r="D81" s="354" t="inlineStr">
        <is>
          <t>TC2235A 600x200 TO PEDESTRIANS AND BICYCLES
HOLES VIC</t>
        </is>
      </c>
      <c r="H81" s="332" t="n">
        <v>2</v>
      </c>
      <c r="I81" s="332" t="inlineStr">
        <is>
          <t>CL1 Flu Yel</t>
        </is>
      </c>
      <c r="J81" s="187" t="inlineStr">
        <is>
          <t>600 x 200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L21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selection pane="topLeft" activeCell="G10" activeCellId="0" sqref="G10"/>
    </sheetView>
  </sheetViews>
  <sheetFormatPr baseColWidth="8" defaultColWidth="24.375" defaultRowHeight="15.75" zeroHeight="0" outlineLevelRow="0"/>
  <cols>
    <col width="13.37" customWidth="1" style="258" min="1" max="1"/>
    <col width="12.37" customWidth="1" style="256" min="2" max="2"/>
    <col width="49.88" customWidth="1" style="256" min="3" max="3"/>
    <col width="25.63" customWidth="1" style="256" min="4" max="4"/>
    <col width="41.5" customWidth="1" style="256" min="5" max="5"/>
    <col width="13.63" customWidth="1" style="256" min="6" max="6"/>
    <col width="14.51" customWidth="1" style="256" min="7" max="7"/>
    <col width="52.12" customWidth="1" style="251" min="8" max="8"/>
    <col width="24.37" customWidth="1" style="256" min="9" max="16384"/>
  </cols>
  <sheetData>
    <row r="1" ht="16.5" customFormat="1" customHeight="1" s="355">
      <c r="A1" s="356" t="inlineStr">
        <is>
          <t>ITEM LC CODE</t>
        </is>
      </c>
      <c r="B1" s="357" t="inlineStr">
        <is>
          <t>BASE</t>
        </is>
      </c>
      <c r="C1" s="357" t="inlineStr">
        <is>
          <t>Description</t>
        </is>
      </c>
      <c r="D1" s="357" t="inlineStr">
        <is>
          <t>Size</t>
        </is>
      </c>
      <c r="E1" s="357" t="inlineStr">
        <is>
          <t>Materials</t>
        </is>
      </c>
      <c r="F1" s="357" t="inlineStr">
        <is>
          <t>SETON MEM</t>
        </is>
      </c>
      <c r="G1" s="357" t="inlineStr">
        <is>
          <t>LC</t>
        </is>
      </c>
      <c r="H1" s="358" t="inlineStr">
        <is>
          <t>LINK</t>
        </is>
      </c>
    </row>
    <row r="2" ht="16.5" customHeight="1" s="178">
      <c r="B2" s="324" t="inlineStr">
        <is>
          <t>Colour</t>
        </is>
      </c>
      <c r="C2" s="324" t="inlineStr">
        <is>
          <t>Description</t>
        </is>
      </c>
      <c r="D2" s="324" t="inlineStr">
        <is>
          <t>Size</t>
        </is>
      </c>
      <c r="E2" s="324" t="inlineStr">
        <is>
          <t>Materials</t>
        </is>
      </c>
      <c r="F2" s="324" t="inlineStr">
        <is>
          <t>SETON MEM</t>
        </is>
      </c>
      <c r="G2" s="324" t="inlineStr">
        <is>
          <t>LC</t>
        </is>
      </c>
      <c r="H2" s="312" t="inlineStr">
        <is>
          <t>LINK</t>
        </is>
      </c>
    </row>
    <row r="3" ht="51" customHeight="1" s="178">
      <c r="A3" s="359" t="inlineStr">
        <is>
          <t>A</t>
        </is>
      </c>
      <c r="B3" s="360" t="inlineStr">
        <is>
          <t>YELLOW</t>
        </is>
      </c>
      <c r="C3" s="360" t="inlineStr">
        <is>
          <t>Regulatory Road Signs - R3-1 Pedestrian Crossing (Picto)</t>
        </is>
      </c>
      <c r="D3" s="324" t="inlineStr">
        <is>
          <t>600mm DIA</t>
        </is>
      </c>
      <c r="E3" s="324" t="inlineStr">
        <is>
          <t>Aluminium, Class 1 (400) Reflective</t>
        </is>
      </c>
      <c r="F3" s="361" t="n">
        <v>155.23</v>
      </c>
      <c r="G3" s="362" t="n">
        <v>121</v>
      </c>
      <c r="H3" s="363" t="inlineStr">
        <is>
          <t>https://www.seton.net.au/regulatory-road-signs-r3-1-pedestrian-crossing-picto-600mm-dia-aluminium-class-1-400-reflective-a35089.html</t>
        </is>
      </c>
    </row>
    <row r="4" ht="33.75" customHeight="1" s="178">
      <c r="A4" s="359" t="inlineStr">
        <is>
          <t>B</t>
        </is>
      </c>
      <c r="B4" s="324" t="inlineStr">
        <is>
          <t>ORANGE</t>
        </is>
      </c>
      <c r="C4" s="324" t="inlineStr">
        <is>
          <t>Bicycle Path Sign - Crossing Arrows</t>
        </is>
      </c>
      <c r="D4" s="324" t="inlineStr">
        <is>
          <t>600 x 200mm</t>
        </is>
      </c>
      <c r="E4" s="324" t="inlineStr">
        <is>
          <t>Made from Class 1 Reflective Aluminium</t>
        </is>
      </c>
      <c r="F4" s="361" t="n">
        <v>90.90000000000001</v>
      </c>
      <c r="G4" s="362" t="n">
        <v>61</v>
      </c>
      <c r="H4" s="363" t="inlineStr">
        <is>
          <t>https://www.seton.net.au/bicycle-path-sign-crossing-arrows-a46100.html#product.attributes</t>
        </is>
      </c>
    </row>
    <row r="5" ht="51" customHeight="1" s="178">
      <c r="A5" s="359" t="inlineStr">
        <is>
          <t>C</t>
        </is>
      </c>
      <c r="B5" s="360" t="inlineStr">
        <is>
          <t>YELLOW</t>
        </is>
      </c>
      <c r="C5" s="324" t="inlineStr">
        <is>
          <t>MMS - Both Lanes Open</t>
        </is>
      </c>
      <c r="D5" s="324" t="inlineStr">
        <is>
          <t>600 x 600mm</t>
        </is>
      </c>
      <c r="E5" s="324" t="inlineStr">
        <is>
          <t>Aluminium, Class 1 (400) Reflective (TM10-5A)</t>
        </is>
      </c>
      <c r="F5" s="361" t="n">
        <v>162.63</v>
      </c>
      <c r="G5" s="362" t="n">
        <v>121</v>
      </c>
      <c r="H5" s="363" t="inlineStr">
        <is>
          <t>https://www.seton.net.au/mms-both-lanes-open-600mm-w-x-600mm-h-aluminium-class-1-400-reflective-tm10-5a-a51321.html</t>
        </is>
      </c>
      <c r="L5" s="251" t="inlineStr">
        <is>
          <t>Compliant with Australian Standard AS 1743
Government Code: MMS-DIV-7</t>
        </is>
      </c>
    </row>
    <row r="6" ht="51" customHeight="1" s="178">
      <c r="A6" s="359" t="inlineStr">
        <is>
          <t>D</t>
        </is>
      </c>
      <c r="B6" s="324" t="inlineStr">
        <is>
          <t>ORANGE</t>
        </is>
      </c>
      <c r="C6" s="324" t="inlineStr">
        <is>
          <t>Rear Marker Plate - Category 161</t>
        </is>
      </c>
      <c r="D6" s="324" t="inlineStr">
        <is>
          <t>1600mm (W) x 100mm (H)</t>
        </is>
      </c>
      <c r="E6" s="324" t="inlineStr">
        <is>
          <t>Aluminium, Class 1 (400) Reflective</t>
        </is>
      </c>
      <c r="F6" s="361" t="n">
        <v>122.93</v>
      </c>
      <c r="G6" s="362" t="n">
        <v>118</v>
      </c>
      <c r="H6" s="363" t="inlineStr">
        <is>
          <t>https://www.seton.net.au/signs-labels/rear-marker-plate-category-161-1600mm-w-x-100mm-h-aluminium-class-1-400-reflective.html</t>
        </is>
      </c>
    </row>
    <row r="7" ht="33.75" customHeight="1" s="178">
      <c r="A7" s="359" t="inlineStr">
        <is>
          <t>E</t>
        </is>
      </c>
      <c r="B7" s="324" t="inlineStr">
        <is>
          <t>ORANGE</t>
        </is>
      </c>
      <c r="C7" s="324" t="inlineStr">
        <is>
          <t>MMS WA - Worker Dig Picto - (MMS-ADV-52B)</t>
        </is>
      </c>
      <c r="D7" s="324" t="inlineStr">
        <is>
          <t>1200mm (W) X 600mm (H)</t>
        </is>
      </c>
      <c r="E7" s="324" t="inlineStr">
        <is>
          <t>Aluminium, Class 1 (400) Reflective</t>
        </is>
      </c>
      <c r="F7" s="361" t="n">
        <v>284.15</v>
      </c>
      <c r="G7" s="362" t="n">
        <v>134</v>
      </c>
      <c r="H7" s="363" t="inlineStr">
        <is>
          <t>https://www.seton.net.au/mms-wa-worker-dig-picto-mms-adv-52b.html#A51119</t>
        </is>
      </c>
    </row>
    <row r="8" ht="51" customHeight="1" s="178">
      <c r="A8" s="359" t="inlineStr">
        <is>
          <t>F</t>
        </is>
      </c>
      <c r="B8" s="360" t="inlineStr">
        <is>
          <t>WHITE</t>
        </is>
      </c>
      <c r="C8" s="360" t="inlineStr">
        <is>
          <t>Regulatory Road Signs, R2-4 No Entry</t>
        </is>
      </c>
      <c r="D8" s="324" t="inlineStr">
        <is>
          <t>750mm (W) x 750mm (H)</t>
        </is>
      </c>
      <c r="E8" s="324" t="inlineStr">
        <is>
          <t>Aluminium, Class 1 (400) Reflective (TM10-5A)</t>
        </is>
      </c>
      <c r="F8" s="361" t="n">
        <v>197.77</v>
      </c>
      <c r="G8" s="362" t="n">
        <v>145</v>
      </c>
      <c r="H8" s="363" t="inlineStr">
        <is>
          <t>https://www.seton.net.au/regulatory-road-signs-r2-4-no-entry-750mm-w-x-750mm-h-class-1-400-aluminium-a8027.html</t>
        </is>
      </c>
    </row>
    <row r="9" ht="51" customHeight="1" s="178">
      <c r="A9" s="359" t="inlineStr">
        <is>
          <t>G</t>
        </is>
      </c>
      <c r="B9" s="360" t="inlineStr">
        <is>
          <t>WHITE</t>
        </is>
      </c>
      <c r="C9" s="324" t="inlineStr">
        <is>
          <t>Regulatory Signs - Stop Here On Red Signal, R6-6,</t>
        </is>
      </c>
      <c r="D9" s="324" t="inlineStr">
        <is>
          <t>450 x 750mm</t>
        </is>
      </c>
      <c r="E9" s="324" t="inlineStr">
        <is>
          <t>Aluminium, Class 1 (400) Reflective</t>
        </is>
      </c>
      <c r="F9" s="361" t="n">
        <v>182.09</v>
      </c>
      <c r="G9" s="362" t="n">
        <v>117</v>
      </c>
      <c r="H9" s="363" t="inlineStr">
        <is>
          <t>https://www.seton.net.au/regulatory-signs-stop-here-on-red-signal-r6-6-450-x-750mm-class-1-aluminium-z0031.html</t>
        </is>
      </c>
    </row>
    <row r="10" ht="51" customHeight="1" s="178">
      <c r="A10" s="359" t="inlineStr">
        <is>
          <t>H</t>
        </is>
      </c>
      <c r="B10" s="360" t="inlineStr">
        <is>
          <t>WHITE</t>
        </is>
      </c>
      <c r="C10" s="324" t="inlineStr">
        <is>
          <t>Regulatory Signs - No Bikes Picto, R6-10-3,</t>
        </is>
      </c>
      <c r="D10" s="324" t="inlineStr">
        <is>
          <t>450 x 450mm</t>
        </is>
      </c>
      <c r="E10" s="324" t="inlineStr">
        <is>
          <t>Aluminium, Class 1 (400) Reflective</t>
        </is>
      </c>
      <c r="F10" s="361" t="n">
        <v>131.67</v>
      </c>
      <c r="G10" s="362" t="n">
        <v>123</v>
      </c>
      <c r="H10" s="363" t="inlineStr">
        <is>
          <t>https://www.seton.net.au/signs-labels/road-signs/regulatory-signs-no-bikes-picto-r6-10-3-450-x-450mm-class-1-aluminium.html</t>
        </is>
      </c>
    </row>
    <row r="11" ht="30.75" customHeight="1" s="178">
      <c r="A11" s="359" t="inlineStr">
        <is>
          <t>I</t>
        </is>
      </c>
      <c r="B11" s="360" t="inlineStr">
        <is>
          <t>WHITE</t>
        </is>
      </c>
      <c r="C11" s="324" t="inlineStr">
        <is>
          <t>MMS - No Left Turn, (RM2-6A(L))</t>
        </is>
      </c>
      <c r="D11" s="324" t="inlineStr">
        <is>
          <t>600 x 600mm</t>
        </is>
      </c>
      <c r="E11" s="324" t="inlineStr">
        <is>
          <t>Aluminium, Class 1 (400) Reflective</t>
        </is>
      </c>
      <c r="F11" s="361" t="n">
        <v>90.58</v>
      </c>
      <c r="G11" s="362" t="n">
        <v>121</v>
      </c>
      <c r="H11" s="363" t="inlineStr">
        <is>
          <t>https://www.seton.net.au/mms-no-left-turn-rm2-6a-l.html</t>
        </is>
      </c>
    </row>
    <row r="13" ht="15.75" customHeight="1" s="178">
      <c r="G13" s="364" t="n"/>
    </row>
    <row r="14" ht="15.75" customHeight="1" s="178">
      <c r="G14" s="364" t="n"/>
    </row>
    <row r="15" ht="15.75" customHeight="1" s="178">
      <c r="G15" s="364" t="n"/>
    </row>
    <row r="16" ht="15.75" customHeight="1" s="178">
      <c r="G16" s="364" t="n"/>
    </row>
    <row r="17" ht="15.75" customHeight="1" s="178">
      <c r="G17" s="364" t="n"/>
    </row>
    <row r="18" ht="15.75" customHeight="1" s="178">
      <c r="G18" s="364" t="n"/>
    </row>
    <row r="19" ht="15.75" customHeight="1" s="178">
      <c r="G19" s="364" t="n"/>
    </row>
    <row r="20" ht="15.75" customHeight="1" s="178">
      <c r="G20" s="364" t="n"/>
    </row>
    <row r="21" ht="15.75" customHeight="1" s="178">
      <c r="G21" s="364" t="n"/>
    </row>
  </sheetData>
  <hyperlinks>
    <hyperlink xmlns:r="http://schemas.openxmlformats.org/officeDocument/2006/relationships" ref="H3" display="https://www.seton.net.au/regulatory-road-signs-r3-1-pedestrian-crossing-picto-600mm-dia-aluminium-class-1-400-reflective-a35089.html" r:id="rId1"/>
    <hyperlink xmlns:r="http://schemas.openxmlformats.org/officeDocument/2006/relationships" ref="H4" location="product.attributes" display="https://www.seton.net.au/bicycle-path-sign-crossing-arrows-a46100.html#product.attributes" r:id="rId2"/>
    <hyperlink xmlns:r="http://schemas.openxmlformats.org/officeDocument/2006/relationships" ref="H5" display="https://www.seton.net.au/mms-both-lanes-open-600mm-w-x-600mm-h-aluminium-class-1-400-reflective-tm10-5a-a51321.html" r:id="rId3"/>
    <hyperlink xmlns:r="http://schemas.openxmlformats.org/officeDocument/2006/relationships" ref="H6" display="https://www.seton.net.au/signs-labels/rear-marker-plate-category-161-1600mm-w-x-100mm-h-aluminium-class-1-400-reflective.html" r:id="rId4"/>
    <hyperlink xmlns:r="http://schemas.openxmlformats.org/officeDocument/2006/relationships" ref="H7" location="A51119" display="https://www.seton.net.au/mms-wa-worker-dig-picto-mms-adv-52b.html#A51119" r:id="rId5"/>
    <hyperlink xmlns:r="http://schemas.openxmlformats.org/officeDocument/2006/relationships" ref="H8" display="https://www.seton.net.au/regulatory-road-signs-r2-4-no-entry-750mm-w-x-750mm-h-class-1-400-aluminium-a8027.html" r:id="rId6"/>
    <hyperlink xmlns:r="http://schemas.openxmlformats.org/officeDocument/2006/relationships" ref="H9" display="https://www.seton.net.au/regulatory-signs-stop-here-on-red-signal-r6-6-450-x-750mm-class-1-aluminium-z0031.html" r:id="rId7"/>
    <hyperlink xmlns:r="http://schemas.openxmlformats.org/officeDocument/2006/relationships" ref="H10" display="https://www.seton.net.au/signs-labels/road-signs/regulatory-signs-no-bikes-picto-r6-10-3-450-x-450mm-class-1-aluminium.html" r:id="rId8"/>
    <hyperlink xmlns:r="http://schemas.openxmlformats.org/officeDocument/2006/relationships" ref="H11" display="https://www.seton.net.au/mms-no-left-turn-rm2-6a-l.html" r:id="rId9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Samantha Kirkham</dc:creator>
  <dc:language xmlns:dc="http://purl.org/dc/elements/1.1/">en-US</dc:language>
  <dcterms:created xmlns:dcterms="http://purl.org/dc/terms/" xmlns:xsi="http://www.w3.org/2001/XMLSchema-instance" xsi:type="dcterms:W3CDTF">2014-08-29T05:26:57Z</dcterms:created>
  <dcterms:modified xmlns:dcterms="http://purl.org/dc/terms/" xmlns:xsi="http://www.w3.org/2001/XMLSchema-instance" xsi:type="dcterms:W3CDTF">2026-10-20T23:39:48Z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0x0101003FE630DE6F497643B2E4444171902CC8</vt:lpwstr>
  </property>
  <property name="MediaServiceImageTags" fmtid="{D5CDD505-2E9C-101B-9397-08002B2CF9AE}" pid="3">
    <vt:lpwstr xmlns:vt="http://schemas.openxmlformats.org/officeDocument/2006/docPropsVTypes"/>
  </property>
</Properties>
</file>