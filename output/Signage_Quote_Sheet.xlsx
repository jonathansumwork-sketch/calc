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SUB Price" sheetId="1" state="hidden" r:id="rId3"/>
    <sheet name="Freight" sheetId="2" state="hidden" r:id="rId4"/>
    <sheet name="Avery Prices" sheetId="3" state="hidden" r:id="rId5"/>
    <sheet name="STOCKS from QP" sheetId="4" state="hidden" r:id="rId6"/>
    <sheet name="QUICK QUOTE" sheetId="5" state="visible" r:id="rId7"/>
    <sheet name="QUICK QUOTE - 1220 Stock" sheetId="6" state="visible" r:id="rId8"/>
    <sheet name="QUOTE" sheetId="7" state="visible" r:id="rId9"/>
    <sheet name="STOCK" sheetId="8" state="visible" r:id="rId10"/>
    <sheet name="REQUEST" sheetId="9" state="visible" r:id="rId11"/>
    <sheet name="ITEM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<sst xmlns="http://schemas.openxmlformats.org/spreadsheetml/2006/main" count="635" uniqueCount="422">
  <si>
    <t xml:space="preserve">Nathan's Price</t>
  </si>
  <si>
    <t xml:space="preserve">Hours - person (worked out by $128 per hour)</t>
  </si>
  <si>
    <t xml:space="preserve">30% m/up</t>
  </si>
  <si>
    <t xml:space="preserve">40% m/up</t>
  </si>
  <si>
    <t xml:space="preserve">Yaris</t>
  </si>
  <si>
    <t xml:space="preserve">Carolla</t>
  </si>
  <si>
    <t xml:space="preserve">Commuter</t>
  </si>
  <si>
    <t xml:space="preserve">Coaster</t>
  </si>
  <si>
    <t xml:space="preserve">TOLL PRICES</t>
  </si>
  <si>
    <t xml:space="preserve">1 box of 45.7m of Vinyl = 24kg</t>
  </si>
  <si>
    <t xml:space="preserve">(0.7 kg per metre)</t>
  </si>
  <si>
    <t xml:space="preserve">Consignment - $11</t>
  </si>
  <si>
    <t xml:space="preserve">Plus 15% surcharge</t>
  </si>
  <si>
    <t xml:space="preserve">OFF PEAK</t>
  </si>
  <si>
    <t xml:space="preserve">Sydney Area - $1.38 / kg</t>
  </si>
  <si>
    <t xml:space="preserve">Brisbane Area - $3.40 / kg</t>
  </si>
  <si>
    <t xml:space="preserve">Perth Area - $2.95 / kg</t>
  </si>
  <si>
    <t xml:space="preserve">OVERNIGHT</t>
  </si>
  <si>
    <t xml:space="preserve">Sydney Area - $3.68 / kg</t>
  </si>
  <si>
    <t xml:space="preserve">Brisbane Area - $8.70 / kg</t>
  </si>
  <si>
    <t xml:space="preserve">Perth Area - $12.78 / kg</t>
  </si>
  <si>
    <t xml:space="preserve">Name</t>
  </si>
  <si>
    <t xml:space="preserve">LABEL CONCEPTS P/L(90Days) - TELSTRA</t>
  </si>
  <si>
    <t xml:space="preserve">Increased Pricing</t>
  </si>
  <si>
    <t xml:space="preserve">Row Labels</t>
  </si>
  <si>
    <t xml:space="preserve">Description</t>
  </si>
  <si>
    <t xml:space="preserve">UM</t>
  </si>
  <si>
    <t xml:space="preserve">Width (m)</t>
  </si>
  <si>
    <t xml:space="preserve">Length (m)</t>
  </si>
  <si>
    <t xml:space="preserve">Current price</t>
  </si>
  <si>
    <t xml:space="preserve">Increase %</t>
  </si>
  <si>
    <t xml:space="preserve">New price</t>
  </si>
  <si>
    <t xml:space="preserve">M5332</t>
  </si>
  <si>
    <t xml:space="preserve">MPI 1005 SC EA RS GW REM</t>
  </si>
  <si>
    <t xml:space="preserve">M2</t>
  </si>
  <si>
    <t xml:space="preserve">M5046</t>
  </si>
  <si>
    <t xml:space="preserve">DOL 1460 GL CL PER PET</t>
  </si>
  <si>
    <t xml:space="preserve">TC1934</t>
  </si>
  <si>
    <t xml:space="preserve">DOL 1360 GL TRANS PER KR</t>
  </si>
  <si>
    <t xml:space="preserve">M3511</t>
  </si>
  <si>
    <t xml:space="preserve">MPI 1005 SC GO LTR PE</t>
  </si>
  <si>
    <t xml:space="preserve">Current Pack pricing = $1055.86 </t>
  </si>
  <si>
    <t xml:space="preserve">New pack pricing = $1069.03 ($13.17)</t>
  </si>
  <si>
    <t xml:space="preserve">LABEL CONCEPTS PTY LTD (STANDARD ACCOUNT)</t>
  </si>
  <si>
    <t xml:space="preserve">AR9250001</t>
  </si>
  <si>
    <t xml:space="preserve">2700/337A GUN GREY JAYCO</t>
  </si>
  <si>
    <t xml:space="preserve">MSY5106</t>
  </si>
  <si>
    <t xml:space="preserve">2700/277B SILVER JAYCO 1</t>
  </si>
  <si>
    <t xml:space="preserve">MSY5130</t>
  </si>
  <si>
    <t xml:space="preserve">2700/280B CHARCL JAYCO</t>
  </si>
  <si>
    <t xml:space="preserve">MUC8754</t>
  </si>
  <si>
    <t xml:space="preserve">DOL 4300 GL A/GRF PER KR</t>
  </si>
  <si>
    <t xml:space="preserve">MSY5155</t>
  </si>
  <si>
    <t xml:space="preserve">2700/276B RYLBLU JAYCO</t>
  </si>
  <si>
    <t xml:space="preserve">AS1280001</t>
  </si>
  <si>
    <t xml:space="preserve">2700/339A GOLD</t>
  </si>
  <si>
    <t xml:space="preserve">413747A60R</t>
  </si>
  <si>
    <t xml:space="preserve">DOL 1480 MATT CL PER KR</t>
  </si>
  <si>
    <t xml:space="preserve">TC3054</t>
  </si>
  <si>
    <t xml:space="preserve">2600/460A ORANGE JAYCO</t>
  </si>
  <si>
    <t xml:space="preserve">MPI 2105 GL WH EA RS LTR</t>
  </si>
  <si>
    <t xml:space="preserve">AV9390001</t>
  </si>
  <si>
    <t xml:space="preserve">2600/504A GREEN JAYCO</t>
  </si>
  <si>
    <t xml:space="preserve">MUB9308</t>
  </si>
  <si>
    <t xml:space="preserve">FASFITI GL CLR PER KR</t>
  </si>
  <si>
    <t xml:space="preserve">AS3280001</t>
  </si>
  <si>
    <t xml:space="preserve">2700/342A COPPER M JAYCO</t>
  </si>
  <si>
    <t xml:space="preserve">M3790</t>
  </si>
  <si>
    <t xml:space="preserve">400 GLOSS WHITE PERM PE</t>
  </si>
  <si>
    <t xml:space="preserve">EA</t>
  </si>
  <si>
    <t xml:space="preserve">BB4320001</t>
  </si>
  <si>
    <t xml:space="preserve">2700/381A BLACK M JAYCO</t>
  </si>
  <si>
    <t xml:space="preserve">SERILUX 72100 GW PER PE</t>
  </si>
  <si>
    <t xml:space="preserve">TC1942</t>
  </si>
  <si>
    <t xml:space="preserve">DOL 1060 GL TRANS PER KR</t>
  </si>
  <si>
    <t xml:space="preserve">SERILUX 72101 MW REM KR</t>
  </si>
  <si>
    <t xml:space="preserve">M41027</t>
  </si>
  <si>
    <t xml:space="preserve">DOL 1360 GL TRAN PER PET</t>
  </si>
  <si>
    <t xml:space="preserve">MUC9505</t>
  </si>
  <si>
    <t xml:space="preserve">DOL 2000 GL TRANS PER KR</t>
  </si>
  <si>
    <t xml:space="preserve">MYB2882</t>
  </si>
  <si>
    <t xml:space="preserve">DOL 3100 MT TRANS PER KR</t>
  </si>
  <si>
    <t xml:space="preserve">M29304</t>
  </si>
  <si>
    <t xml:space="preserve">DOL 1060 GL TRAN PER PET</t>
  </si>
  <si>
    <t xml:space="preserve">AV6850001</t>
  </si>
  <si>
    <t xml:space="preserve">2700/357A BR BLU M JAYCO</t>
  </si>
  <si>
    <t xml:space="preserve">M2797</t>
  </si>
  <si>
    <t xml:space="preserve">440 GLOSS TRANSP PERM PE</t>
  </si>
  <si>
    <t xml:space="preserve">MUD2806</t>
  </si>
  <si>
    <t xml:space="preserve">DOL 2100 MT TRANS PER KR</t>
  </si>
  <si>
    <t xml:space="preserve">SERILUX 70100 GC PER PE</t>
  </si>
  <si>
    <t xml:space="preserve">SERILUX 72101 MW PER KR</t>
  </si>
  <si>
    <t xml:space="preserve">M3601</t>
  </si>
  <si>
    <t xml:space="preserve">DOL 1080 MT TRANS PER KR</t>
  </si>
  <si>
    <t xml:space="preserve">MFA3315</t>
  </si>
  <si>
    <t xml:space="preserve">900 SCREEN GL WH PER PE</t>
  </si>
  <si>
    <t xml:space="preserve">MSY5148</t>
  </si>
  <si>
    <t xml:space="preserve">2700/278B SATGLD JAYCO 1</t>
  </si>
  <si>
    <t xml:space="preserve">SE00306.762</t>
  </si>
  <si>
    <t xml:space="preserve">400 SUPERTAK GW PER KR</t>
  </si>
  <si>
    <t xml:space="preserve">CB8690002</t>
  </si>
  <si>
    <t xml:space="preserve">MPI 2040 GC PER PE</t>
  </si>
  <si>
    <t xml:space="preserve">MXD9374</t>
  </si>
  <si>
    <t xml:space="preserve">MPI DUSTED GLASS EA RS</t>
  </si>
  <si>
    <t xml:space="preserve">M41240</t>
  </si>
  <si>
    <t xml:space="preserve">MPI 2923 EA MW G/PER PE</t>
  </si>
  <si>
    <t xml:space="preserve">MFA3398</t>
  </si>
  <si>
    <t xml:space="preserve">6905 SUPRTK GL WH PER KR</t>
  </si>
  <si>
    <t xml:space="preserve">MZA1040</t>
  </si>
  <si>
    <t xml:space="preserve">BLUE FELT SQUEEGEE</t>
  </si>
  <si>
    <t xml:space="preserve">BX</t>
  </si>
  <si>
    <t xml:space="preserve">MZA1206</t>
  </si>
  <si>
    <t xml:space="preserve">AVERY CLEANER 1LT(EACH)</t>
  </si>
  <si>
    <t xml:space="preserve">MZA1164</t>
  </si>
  <si>
    <t xml:space="preserve">APPLICATION GLOVE (ea)</t>
  </si>
  <si>
    <t xml:space="preserve">DI8840012</t>
  </si>
  <si>
    <t xml:space="preserve">MPI 2006 HI-TACK</t>
  </si>
  <si>
    <t xml:space="preserve">XE1040</t>
  </si>
  <si>
    <t xml:space="preserve">SPARE BLADES 45 PER PACK</t>
  </si>
  <si>
    <t xml:space="preserve">PK</t>
  </si>
  <si>
    <t xml:space="preserve">CA3750002</t>
  </si>
  <si>
    <t xml:space="preserve">AVERY CLEANER 5L (EACH)</t>
  </si>
  <si>
    <t xml:space="preserve">MXD5984</t>
  </si>
  <si>
    <t xml:space="preserve">AVERY MAGNET (EACH)</t>
  </si>
  <si>
    <t xml:space="preserve">XD9275</t>
  </si>
  <si>
    <t xml:space="preserve">AVERY CUTTER (EACH)</t>
  </si>
  <si>
    <t xml:space="preserve">Current Jayco pricing = $581.18 per roll</t>
  </si>
  <si>
    <t xml:space="preserve">New Jayco pricing = $589.78 ($8.60)</t>
  </si>
  <si>
    <t xml:space="preserve">STOCK CODE</t>
  </si>
  <si>
    <t xml:space="preserve">DESCRIPTION</t>
  </si>
  <si>
    <t xml:space="preserve">SIZE</t>
  </si>
  <si>
    <t xml:space="preserve">PRICE M2            (inc M/Up)</t>
  </si>
  <si>
    <t xml:space="preserve">NOTES</t>
  </si>
  <si>
    <t xml:space="preserve">SUPPLIER</t>
  </si>
  <si>
    <t xml:space="preserve">MPI1005629   </t>
  </si>
  <si>
    <t xml:space="preserve">MPI 1105 Easy Apply (NEW)</t>
  </si>
  <si>
    <t xml:space="preserve">1370mm or 1520mm x 45.7m</t>
  </si>
  <si>
    <t xml:space="preserve">An Easy Apply stock used on vehicle wraps</t>
  </si>
  <si>
    <t xml:space="preserve">Avery</t>
  </si>
  <si>
    <t xml:space="preserve">DOLPOLY</t>
  </si>
  <si>
    <t xml:space="preserve">DOL 6460 Polyyurethane Overlaminate</t>
  </si>
  <si>
    <t xml:space="preserve">Gloss conformable lamiante to suit MPI 1105</t>
  </si>
  <si>
    <t xml:space="preserve">6460PAC</t>
  </si>
  <si>
    <t xml:space="preserve">MPI 1105 EARS &amp; 6460 Laminate</t>
  </si>
  <si>
    <t xml:space="preserve">As above</t>
  </si>
  <si>
    <t xml:space="preserve">Pack Special - Telstra</t>
  </si>
  <si>
    <t xml:space="preserve">2105EA</t>
  </si>
  <si>
    <t xml:space="preserve">MPI 2105 Easy Apply Gloss Permanent</t>
  </si>
  <si>
    <t xml:space="preserve">1370mm x 45.7m</t>
  </si>
  <si>
    <t xml:space="preserve">An Easy Apply stock used on flat areas </t>
  </si>
  <si>
    <t xml:space="preserve">DOL2000</t>
  </si>
  <si>
    <t xml:space="preserve">DOL 2000 Budget Clear Laminate</t>
  </si>
  <si>
    <t xml:space="preserve">Gloss Laminate to suit MPI 2105</t>
  </si>
  <si>
    <t xml:space="preserve">DOL2100</t>
  </si>
  <si>
    <t xml:space="preserve">DOL 2100 Matte Laminate </t>
  </si>
  <si>
    <t xml:space="preserve">Matt Laminate to suit MPI 2105</t>
  </si>
  <si>
    <t xml:space="preserve">MPI2006</t>
  </si>
  <si>
    <t xml:space="preserve">MPI2006 Gloss Permanent High Tack</t>
  </si>
  <si>
    <t xml:space="preserve">1370mm x 25m or 45.7m</t>
  </si>
  <si>
    <t xml:space="preserve">Gloss White Vinyl with an aggressive adhesive</t>
  </si>
  <si>
    <t xml:space="preserve">DOL1060        </t>
  </si>
  <si>
    <t xml:space="preserve">DOL 1060  Gloss Overlaminate</t>
  </si>
  <si>
    <t xml:space="preserve">Only to be used with MPI 1005 Easy Apply (OLD)</t>
  </si>
  <si>
    <t xml:space="preserve">DOL1080        </t>
  </si>
  <si>
    <t xml:space="preserve">DOL 1080 Matte Laminate</t>
  </si>
  <si>
    <t xml:space="preserve">DOL1360        </t>
  </si>
  <si>
    <t xml:space="preserve">DOL 1360 3D Clear Laminate</t>
  </si>
  <si>
    <t xml:space="preserve">DOL1460        </t>
  </si>
  <si>
    <t xml:space="preserve">DOL 1460 3D High Gloss Super Conformable</t>
  </si>
  <si>
    <t xml:space="preserve">DOL1480     </t>
  </si>
  <si>
    <t xml:space="preserve">DOL 1480 3D Matt Super Conformable</t>
  </si>
  <si>
    <t xml:space="preserve">DOL43001</t>
  </si>
  <si>
    <t xml:space="preserve"> DOL 4300 Overlaminate</t>
  </si>
  <si>
    <t xml:space="preserve">Anti Graffiti Laminate (BP / Rear of PTV Bus) </t>
  </si>
  <si>
    <t xml:space="preserve">FASFITI </t>
  </si>
  <si>
    <t xml:space="preserve">Fasfiti Laminate </t>
  </si>
  <si>
    <t xml:space="preserve">1220mm x 45.7m</t>
  </si>
  <si>
    <t xml:space="preserve">Anti Graffiti Laminate (BP) - can be slit </t>
  </si>
  <si>
    <t xml:space="preserve">680CR-10</t>
  </si>
  <si>
    <t xml:space="preserve">3M 680CR White Reflective</t>
  </si>
  <si>
    <t xml:space="preserve">Conformable white reflective stock - Warranty </t>
  </si>
  <si>
    <t xml:space="preserve">Halifax Vogal</t>
  </si>
  <si>
    <t xml:space="preserve">8519LUSTRE</t>
  </si>
  <si>
    <t xml:space="preserve">3M 8519 Lustre Laminate</t>
  </si>
  <si>
    <t xml:space="preserve">Laminate to suit 680CR - Satin finish - when ordering slit to 1210mm wide</t>
  </si>
  <si>
    <t xml:space="preserve">3MIJ180</t>
  </si>
  <si>
    <t xml:space="preserve">3M 180CV3 Cast Gloss White with Comply</t>
  </si>
  <si>
    <t xml:space="preserve">An Easy Apply stock used on vehicle wraps - not suitable during cold weather (3M's alternative to Avery's MPI)1105</t>
  </si>
  <si>
    <t xml:space="preserve">8518GLOSS</t>
  </si>
  <si>
    <t xml:space="preserve">3M 8518 Gloss Laminate</t>
  </si>
  <si>
    <t xml:space="preserve">Gloss conformable lamiante to suit 3M180C</t>
  </si>
  <si>
    <t xml:space="preserve">ONEWAYAUTO</t>
  </si>
  <si>
    <t xml:space="preserve">Oneway Vision Autoview </t>
  </si>
  <si>
    <t xml:space="preserve">1370mm x 50m</t>
  </si>
  <si>
    <t xml:space="preserve">Perforated Window Vinyl</t>
  </si>
  <si>
    <t xml:space="preserve">ONEWAYLAM</t>
  </si>
  <si>
    <t xml:space="preserve">Oneway Vision CurvaLam  </t>
  </si>
  <si>
    <t xml:space="preserve">1370mm x 30m</t>
  </si>
  <si>
    <t xml:space="preserve">Gloss Laminate to suit Autoview</t>
  </si>
  <si>
    <t xml:space="preserve">APPTAPE</t>
  </si>
  <si>
    <t xml:space="preserve">NT100 Application Tape</t>
  </si>
  <si>
    <t xml:space="preserve">1220mm x 90m</t>
  </si>
  <si>
    <t xml:space="preserve">Standard Application Tape</t>
  </si>
  <si>
    <t xml:space="preserve">APPTAPECLRNT210</t>
  </si>
  <si>
    <t xml:space="preserve"> Transparent Application Tape @1220</t>
  </si>
  <si>
    <t xml:space="preserve">1220mm x </t>
  </si>
  <si>
    <t xml:space="preserve">Clear Application Tape</t>
  </si>
  <si>
    <t xml:space="preserve">MAGNET.9</t>
  </si>
  <si>
    <t xml:space="preserve">Magnetic 0.9mm Gloss White</t>
  </si>
  <si>
    <t xml:space="preserve">Used for Car decals - Can screen print direct or mount a digital print</t>
  </si>
  <si>
    <t xml:space="preserve">GLOSSCLEAR2797</t>
  </si>
  <si>
    <t xml:space="preserve">Serilux 70100 Gloss Clear Pemanent</t>
  </si>
  <si>
    <t xml:space="preserve">760 x 1000mm</t>
  </si>
  <si>
    <t xml:space="preserve">3 year Vinyl used for Screen Printing</t>
  </si>
  <si>
    <t xml:space="preserve">GLWHPERA </t>
  </si>
  <si>
    <t xml:space="preserve">Serilux 72100 Gloss White Pemanent</t>
  </si>
  <si>
    <t xml:space="preserve">MATWHIPERM</t>
  </si>
  <si>
    <t xml:space="preserve">Serilux 72101 Matt White Pemanent</t>
  </si>
  <si>
    <t xml:space="preserve">MATWHREM  </t>
  </si>
  <si>
    <t xml:space="preserve">Serilux 7201 Matt White Removeable</t>
  </si>
  <si>
    <t xml:space="preserve">Full Reflective - 1.6</t>
  </si>
  <si>
    <t xml:space="preserve">NON REF - 1.6</t>
  </si>
  <si>
    <t xml:space="preserve">Corflute White</t>
  </si>
  <si>
    <t xml:space="preserve">Corflute Yellow</t>
  </si>
  <si>
    <t xml:space="preserve">Corlfute FL Orange</t>
  </si>
  <si>
    <t xml:space="preserve">POLY</t>
  </si>
  <si>
    <t xml:space="preserve">Spare Line</t>
  </si>
  <si>
    <t xml:space="preserve">Length</t>
  </si>
  <si>
    <t xml:space="preserve">Manually Enter this in</t>
  </si>
  <si>
    <t xml:space="preserve">Width</t>
  </si>
  <si>
    <t xml:space="preserve">Length * Width</t>
  </si>
  <si>
    <t xml:space="preserve">Automatically Calculated</t>
  </si>
  <si>
    <t xml:space="preserve">m2 * VINYL Price
Full Reflective $35 
2105 / 2000 $13
Temp - Yellow Reflective - $14
Temp - Orange Reflective - $20
Temp - White Reflective - $20</t>
  </si>
  <si>
    <t xml:space="preserve">ACM $40 Per Sqr Mt / Coreflute - $7Per Sqr MT / POLY $11 Per Sqr mt (Has a 15% Mark UP)</t>
  </si>
  <si>
    <t xml:space="preserve">SUB TOTAL</t>
  </si>
  <si>
    <t xml:space="preserve">Total (65% mark up)</t>
  </si>
  <si>
    <t xml:space="preserve">Final Price (Add extra mark up if needed</t>
  </si>
  <si>
    <t xml:space="preserve">ARTCRAFT (Comparing Price Price)</t>
  </si>
  <si>
    <t xml:space="preserve">ACM $41 Per Sqr Mt / Coreflute - $7Per Sqr MT / POLY $11 Per Sqr mt (Has a 15% Mark UP)</t>
  </si>
  <si>
    <t xml:space="preserve">This tab = 1220 x 2440mm sheet stock, $105/sheet ($41/m² ACM rate). See 'QUICK QUOTE' for the original 1200 x 2400mm / $99/sheet / $40/m² version. All other rates, reflective pricing and the 65% markup are unchanged.</t>
  </si>
  <si>
    <t xml:space="preserve">F</t>
  </si>
  <si>
    <t xml:space="preserve">G</t>
  </si>
  <si>
    <t xml:space="preserve">H</t>
  </si>
  <si>
    <t xml:space="preserve">I</t>
  </si>
  <si>
    <t xml:space="preserve">600x300</t>
  </si>
  <si>
    <t xml:space="preserve">750 X 180</t>
  </si>
  <si>
    <t xml:space="preserve">450 x 600</t>
  </si>
  <si>
    <t xml:space="preserve">225 x 450</t>
  </si>
  <si>
    <t xml:space="preserve">600 x 600mm</t>
  </si>
  <si>
    <t xml:space="preserve">LAYOUT - UP QTY</t>
  </si>
  <si>
    <t xml:space="preserve">LENGTH</t>
  </si>
  <si>
    <t xml:space="preserve">METRES</t>
  </si>
  <si>
    <t xml:space="preserve">HOW MANY SIGNS OUT OF AL SHEET </t>
  </si>
  <si>
    <t xml:space="preserve">Quantity</t>
  </si>
  <si>
    <t xml:space="preserve">ART</t>
  </si>
  <si>
    <t xml:space="preserve">Set Up ($85/hr)</t>
  </si>
  <si>
    <t xml:space="preserve">File set up/template $170 plus GST. </t>
  </si>
  <si>
    <t xml:space="preserve">MATERIAL</t>
  </si>
  <si>
    <t xml:space="preserve">REFLECTIVE</t>
  </si>
  <si>
    <t xml:space="preserve">ALUMINIUM (1220X2440)</t>
  </si>
  <si>
    <t xml:space="preserve">4 METRES EXT</t>
  </si>
  <si>
    <t xml:space="preserve">PRINT</t>
  </si>
  <si>
    <t xml:space="preserve">Set Up ($125)</t>
  </si>
  <si>
    <t xml:space="preserve">Run Time              
($90/hr @ 30m per hour)</t>
  </si>
  <si>
    <t xml:space="preserve">INK</t>
  </si>
  <si>
    <t xml:space="preserve">Ink Usage ($3.5 per Sq Metre)</t>
  </si>
  <si>
    <t xml:space="preserve">FINISHING</t>
  </si>
  <si>
    <t xml:space="preserve">Laminate Set up $45</t>
  </si>
  <si>
    <t xml:space="preserve">Laminate                      ($90/hr @ 45m per hour)</t>
  </si>
  <si>
    <t xml:space="preserve">MOUNTING Set up $45</t>
  </si>
  <si>
    <t xml:space="preserve">MOUNTING 
($65/hr @ 15m per hour)</t>
  </si>
  <si>
    <t xml:space="preserve">ZUND Set up $45</t>
  </si>
  <si>
    <t xml:space="preserve">ZUND - ROUTER cut           ($105/hr @ 6m per hour)</t>
  </si>
  <si>
    <t xml:space="preserve">45% mark up</t>
  </si>
  <si>
    <t xml:space="preserve">TOTAL</t>
  </si>
  <si>
    <t xml:space="preserve">Unit Price</t>
  </si>
  <si>
    <t xml:space="preserve">m2 * VINYL Price ($35 or $13)</t>
  </si>
  <si>
    <t xml:space="preserve">ACM $35 Per Sqr Mt</t>
  </si>
  <si>
    <t xml:space="preserve">600 x 300</t>
  </si>
  <si>
    <t xml:space="preserve">ARTCRAFT</t>
  </si>
  <si>
    <t xml:space="preserve">Stock</t>
  </si>
  <si>
    <t xml:space="preserve">Price / LM</t>
  </si>
  <si>
    <t xml:space="preserve">Per Roll</t>
  </si>
  <si>
    <t xml:space="preserve">M2 per roll</t>
  </si>
  <si>
    <t xml:space="preserve">M2 $ per roll</t>
  </si>
  <si>
    <t xml:space="preserve">Charge out $</t>
  </si>
  <si>
    <t xml:space="preserve">W/ Lam</t>
  </si>
  <si>
    <t xml:space="preserve">Orafol</t>
  </si>
  <si>
    <t xml:space="preserve">ORALITE 5960 - 020 Class 400T Temporary Work Zone Reflective Sheeting – Non Fluorescent </t>
  </si>
  <si>
    <t xml:space="preserve">ORALITE 5960 - 038 Class 400T Temporary Work Zone Reflective Sheeting – Fluorescent </t>
  </si>
  <si>
    <t xml:space="preserve">ORALITE 5960 - 010 Class 400T Temporary Work Zone Reflective Sheeting – WHITE </t>
  </si>
  <si>
    <t xml:space="preserve">ORALITE 5910 Class 400 Permanent Reflective Sheeting – Non Fluorescent </t>
  </si>
  <si>
    <t xml:space="preserve">ORALITE 5061 Class 400 Permanent Reflective Overlay – Clear </t>
  </si>
  <si>
    <t xml:space="preserve">APEX</t>
  </si>
  <si>
    <t xml:space="preserve">standard material is 5052 H38 1.60</t>
  </si>
  <si>
    <t xml:space="preserve">Ink:              $3.50 per square metre</t>
  </si>
  <si>
    <t xml:space="preserve">Speed:         30 metres per hour </t>
  </si>
  <si>
    <t xml:space="preserve">MPI 2105 Easy Apply RS and DOL 2460 Gloss / DOL 2480 Matt  High Performace polymeric      vs   MPI 2902 Easy Apply and DOL 2960 Gloss / DOL 2980 Matt  Intermediate polymeric </t>
  </si>
  <si>
    <t xml:space="preserve">The main difference is Warranty period (approx 12 months), MPI 2902 is Easy Apply only, noRS (Repo &amp; Slideability) and obviously price</t>
  </si>
  <si>
    <t xml:space="preserve">AVERY DETAILS</t>
  </si>
  <si>
    <t xml:space="preserve">$</t>
  </si>
  <si>
    <t xml:space="preserve">$ inc M/up</t>
  </si>
  <si>
    <t xml:space="preserve">M2 charge out $</t>
  </si>
  <si>
    <t xml:space="preserve">Pack $ per M2</t>
  </si>
  <si>
    <t xml:space="preserve">MPI 2105                                                 1.372 X 50m    $598.60 per roll</t>
  </si>
  <si>
    <t xml:space="preserve">MPI 2105                                                 1.524 X 50m    $664.92 per roll</t>
  </si>
  <si>
    <t xml:space="preserve">DOL 2460 Gloss / DOL 2480 Matt           1.37 x 50m      $366.68 per roll</t>
  </si>
  <si>
    <t xml:space="preserve">DOL 2460 Gloss / DOL 2480 Matt           1.52 x 50m      $406.84 per roll</t>
  </si>
  <si>
    <t xml:space="preserve">MPI 2902                                                 1.372 X 45.7m    $378.23 per roll</t>
  </si>
  <si>
    <t xml:space="preserve">MPI 2902                                                 1.524 X 45.7m    $420.14 per roll</t>
  </si>
  <si>
    <t xml:space="preserve">DOL 2960 Gloss / DOL 2980 Matt           1.37 x 50m         $303.49 per roll</t>
  </si>
  <si>
    <t xml:space="preserve">DOL 2960 Gloss / DOL 2980 Matt           1.524 x 50m       $336.73 per roll</t>
  </si>
  <si>
    <t xml:space="preserve">LABEL CONCEPTS PTY L</t>
  </si>
  <si>
    <t xml:space="preserve">A002539</t>
  </si>
  <si>
    <t xml:space="preserve">MPI 2105 GL WH EA RS LTR_1.372M X 45.7M</t>
  </si>
  <si>
    <t xml:space="preserve">A005632</t>
  </si>
  <si>
    <t xml:space="preserve">DOL 6460 GC PU PER PET_1.372M X 45.7M</t>
  </si>
  <si>
    <t xml:space="preserve">A006091</t>
  </si>
  <si>
    <t xml:space="preserve">MPI 1105 EA RS LTR GW PE_1.524M X 45.7M</t>
  </si>
  <si>
    <t xml:space="preserve">A006094</t>
  </si>
  <si>
    <t xml:space="preserve">MPI 1105 EA RS LTR GW PE_1.372M X 45.7M</t>
  </si>
  <si>
    <t xml:space="preserve">1460zpac2 - 1520</t>
  </si>
  <si>
    <t xml:space="preserve">A006170</t>
  </si>
  <si>
    <t xml:space="preserve">DOL 1460Z GL TRAN PER PET_1.524M X 45.7M</t>
  </si>
  <si>
    <t xml:space="preserve">A006171</t>
  </si>
  <si>
    <t xml:space="preserve">DOL 1460Z GL TRAN PER PET_1.372M X 45.7M</t>
  </si>
  <si>
    <t xml:space="preserve">6460zpac2 - 1520</t>
  </si>
  <si>
    <t xml:space="preserve">CE3370264</t>
  </si>
  <si>
    <t xml:space="preserve">SL 4530 ANTI GRAFFITI_1.37M X 50M</t>
  </si>
  <si>
    <t xml:space="preserve">CE3600012</t>
  </si>
  <si>
    <t xml:space="preserve">DOL 2000 GL TRANS PER KR_1.37M X 45M</t>
  </si>
  <si>
    <t xml:space="preserve">CE581.760</t>
  </si>
  <si>
    <t xml:space="preserve">400 GLOSS WHITE PERM KR1000MM X 760MM SHEET</t>
  </si>
  <si>
    <t xml:space="preserve">The 3m product we recommend for anti graffiti is the 8993 hi gloss 1370x50m</t>
  </si>
  <si>
    <t xml:space="preserve">Roll price is $1344.00</t>
  </si>
  <si>
    <t xml:space="preserve">$26.88 per lm </t>
  </si>
  <si>
    <t xml:space="preserve">Ex gst </t>
  </si>
  <si>
    <t xml:space="preserve">LC Price </t>
  </si>
  <si>
    <t xml:space="preserve">Qty up </t>
  </si>
  <si>
    <t xml:space="preserve">WIDTH</t>
  </si>
  <si>
    <t xml:space="preserve">600 x 800</t>
  </si>
  <si>
    <t xml:space="preserve">CL1 White</t>
  </si>
  <si>
    <t xml:space="preserve">R5-35L  NO STANDING (LEFT ARROW)                     4 (225x450) $27.35  (white non reflective)</t>
  </si>
  <si>
    <t xml:space="preserve">White </t>
  </si>
  <si>
    <t xml:space="preserve">G3-V5-1B            RECTANGULAR STREET STREET BLADE      2       East Ridge Drive   1 x left arrow   1 x right arrow (2285x270)  (sign face only do not worry about it being braced) </t>
  </si>
  <si>
    <t xml:space="preserve">2285 x 270</t>
  </si>
  <si>
    <t xml:space="preserve">R5-35L  NO STANDING (LEFT ARROW)                     4 (225x450) $27.35  (white non reflective)</t>
  </si>
  <si>
    <t xml:space="preserve">G2-V5-1A            RECTANGULAR STREET STREET BLADE      1             Manchester Rd (2997x400) (sign face only do not worry about it being braced) (cl1 white)</t>
  </si>
  <si>
    <t xml:space="preserve">2997 x 400</t>
  </si>
  <si>
    <t xml:space="preserve">W3-3B  WARNING DIAMOND     2 (750x750) $148.98  (cl1 yellow)</t>
  </si>
  <si>
    <t xml:space="preserve">750 x 750</t>
  </si>
  <si>
    <t xml:space="preserve">CL1 Yellow</t>
  </si>
  <si>
    <t xml:space="preserve">R7-4A   END       450X150              1  $28 (cl1 white)</t>
  </si>
  <si>
    <t xml:space="preserve">450 x 150</t>
  </si>
  <si>
    <t xml:space="preserve">D4-1-3             UNI DIRECTIONAL HAZ MARKER (BRACED)            1 (1800X300) (sign face only do not worry about it being braced) (cl1 white)</t>
  </si>
  <si>
    <t xml:space="preserve">1800 x 300</t>
  </si>
  <si>
    <t xml:space="preserve">R8-2A   SHARED FOOTWAY          2 300X400 $28 (cl1 white)</t>
  </si>
  <si>
    <t xml:space="preserve">300 x 400 </t>
  </si>
  <si>
    <t xml:space="preserve">R7-1-4B BICYCLE LANE   2 (450X600) $46 (cl1 white)</t>
  </si>
  <si>
    <t xml:space="preserve">R7-4B    END       1 (450X150) $19 (cl1 white)</t>
  </si>
  <si>
    <t xml:space="preserve">R4-1-50A             SPEED _50_        2 (450X600) $46 (cl1 white)</t>
  </si>
  <si>
    <t xml:space="preserve">450 x 450</t>
  </si>
  <si>
    <t xml:space="preserve">1220 x 2440</t>
  </si>
  <si>
    <t xml:space="preserve">Hi Sam,</t>
  </si>
  <si>
    <t xml:space="preserve">G918A - CL1 WHITE</t>
  </si>
  <si>
    <t xml:space="preserve">G9-18A 600X400 NO THROUGH ROAD (BLK/WHT) Holes Vic</t>
  </si>
  <si>
    <t xml:space="preserve">600 x 400</t>
  </si>
  <si>
    <t xml:space="preserve">R82A CL1 WHITE </t>
  </si>
  <si>
    <t xml:space="preserve">R8-2A 300X400 Shared Footway (Blk/Wht) Holes Vic</t>
  </si>
  <si>
    <t xml:space="preserve">300 x 400</t>
  </si>
  <si>
    <t xml:space="preserve">R12A CL1 WHITE</t>
  </si>
  <si>
    <t xml:space="preserve">R1-2A 750 GIVE WAY Holes Vic</t>
  </si>
  <si>
    <t xml:space="preserve">750 triangle</t>
  </si>
  <si>
    <t xml:space="preserve">TC2235A CL1 FLURO YELLOW </t>
  </si>
  <si>
    <t xml:space="preserve">TC2235A 600x200 TO PEDESTRIANS AND BICYCLES
HOLES VIC</t>
  </si>
  <si>
    <t xml:space="preserve">CL1 Flu Yel</t>
  </si>
  <si>
    <t xml:space="preserve">600 x 200</t>
  </si>
  <si>
    <t xml:space="preserve">ITEM LC CODE</t>
  </si>
  <si>
    <t xml:space="preserve">BASE</t>
  </si>
  <si>
    <t xml:space="preserve">Size</t>
  </si>
  <si>
    <t xml:space="preserve">Materials</t>
  </si>
  <si>
    <t xml:space="preserve">SETON MEM</t>
  </si>
  <si>
    <t xml:space="preserve">LC</t>
  </si>
  <si>
    <t xml:space="preserve">LINK</t>
  </si>
  <si>
    <t xml:space="preserve">Colour</t>
  </si>
  <si>
    <t xml:space="preserve">A</t>
  </si>
  <si>
    <t xml:space="preserve">YELLOW</t>
  </si>
  <si>
    <t xml:space="preserve">Regulatory Road Signs - R3-1 Pedestrian Crossing (Picto)</t>
  </si>
  <si>
    <t xml:space="preserve">600mm DIA</t>
  </si>
  <si>
    <t xml:space="preserve">Aluminium, Class 1 (400) Reflective</t>
  </si>
  <si>
    <t xml:space="preserve">https://www.seton.net.au/regulatory-road-signs-r3-1-pedestrian-crossing-picto-600mm-dia-aluminium-class-1-400-reflective-a35089.html</t>
  </si>
  <si>
    <t xml:space="preserve">B</t>
  </si>
  <si>
    <t xml:space="preserve">ORANGE</t>
  </si>
  <si>
    <t xml:space="preserve">Bicycle Path Sign - Crossing Arrows</t>
  </si>
  <si>
    <t xml:space="preserve">600 x 200mm</t>
  </si>
  <si>
    <t xml:space="preserve">Made from Class 1 Reflective Aluminium</t>
  </si>
  <si>
    <t xml:space="preserve">https://www.seton.net.au/bicycle-path-sign-crossing-arrows-a46100.html#product.attributes</t>
  </si>
  <si>
    <t xml:space="preserve">C</t>
  </si>
  <si>
    <t xml:space="preserve">MMS - Both Lanes Open</t>
  </si>
  <si>
    <t xml:space="preserve">Aluminium, Class 1 (400) Reflective (TM10-5A)</t>
  </si>
  <si>
    <t xml:space="preserve">https://www.seton.net.au/mms-both-lanes-open-600mm-w-x-600mm-h-aluminium-class-1-400-reflective-tm10-5a-a51321.html</t>
  </si>
  <si>
    <t xml:space="preserve">Compliant with Australian Standard AS 1743
Government Code: MMS-DIV-7</t>
  </si>
  <si>
    <t xml:space="preserve">D</t>
  </si>
  <si>
    <t xml:space="preserve">Rear Marker Plate - Category 161</t>
  </si>
  <si>
    <t xml:space="preserve">1600mm (W) x 100mm (H)</t>
  </si>
  <si>
    <t xml:space="preserve">https://www.seton.net.au/signs-labels/rear-marker-plate-category-161-1600mm-w-x-100mm-h-aluminium-class-1-400-reflective.html</t>
  </si>
  <si>
    <t xml:space="preserve">E</t>
  </si>
  <si>
    <t xml:space="preserve">MMS WA - Worker Dig Picto - (MMS-ADV-52B)</t>
  </si>
  <si>
    <t xml:space="preserve">1200mm (W) X 600mm (H)</t>
  </si>
  <si>
    <t xml:space="preserve">https://www.seton.net.au/mms-wa-worker-dig-picto-mms-adv-52b.html#A51119</t>
  </si>
  <si>
    <t xml:space="preserve">WHITE</t>
  </si>
  <si>
    <t xml:space="preserve">Regulatory Road Signs, R2-4 No Entry</t>
  </si>
  <si>
    <t xml:space="preserve">750mm (W) x 750mm (H)</t>
  </si>
  <si>
    <t xml:space="preserve">https://www.seton.net.au/regulatory-road-signs-r2-4-no-entry-750mm-w-x-750mm-h-class-1-400-aluminium-a8027.html</t>
  </si>
  <si>
    <t xml:space="preserve">Regulatory Signs - Stop Here On Red Signal, R6-6,</t>
  </si>
  <si>
    <t xml:space="preserve">450 x 750mm</t>
  </si>
  <si>
    <t xml:space="preserve">https://www.seton.net.au/regulatory-signs-stop-here-on-red-signal-r6-6-450-x-750mm-class-1-aluminium-z0031.html</t>
  </si>
  <si>
    <t xml:space="preserve">Regulatory Signs - No Bikes Picto, R6-10-3,</t>
  </si>
  <si>
    <t xml:space="preserve">450 x 450mm</t>
  </si>
  <si>
    <t xml:space="preserve">https://www.seton.net.au/signs-labels/road-signs/regulatory-signs-no-bikes-picto-r6-10-3-450-x-450mm-class-1-aluminium.html</t>
  </si>
  <si>
    <t xml:space="preserve">MMS - No Left Turn, (RM2-6A(L))</t>
  </si>
  <si>
    <t xml:space="preserve">https://www.seton.net.au/mms-no-left-turn-rm2-6a-l.html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</si>
</sst>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\$* #,##0.00_-;&quot;-$&quot;* #,##0.00_-;_-\$* \-??_-;_-@_-"/>
    <numFmt numFmtId="166" formatCode="0.00"/>
    <numFmt numFmtId="167" formatCode="0.0%"/>
    <numFmt numFmtId="168" formatCode="General"/>
    <numFmt numFmtId="169" formatCode="\$#,##0.00"/>
    <numFmt numFmtId="170" formatCode="\$#,##0_);[RED]&quot;($&quot;#,##0\)"/>
    <numFmt numFmtId="171" formatCode="_-[$$-C09]* #,##0.00_-;\-[$$-C09]* #,##0.00_-;_-[$$-C09]* \-??_-;_-@_-"/>
    <numFmt numFmtId="172" formatCode="_(\$* #,##0.00_);_(\$* \(#,##0.00\);_(\$* \-??_);_(@_)"/>
    <numFmt numFmtId="173" formatCode="[$$-C09]#,##0.00;\-[$$-C09]#,##0.00"/>
    <numFmt numFmtId="174" formatCode="\$#,##0.00_);[RED]&quot;($&quot;#,##0.00\)"/>
  </numFmts>
  <fonts count="33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Aptos Narrow"/>
      <family val="2"/>
      <charset val="1"/>
    </font>
    <font>
      <i val="true"/>
      <sz val="11"/>
      <color rgb="FF595959"/>
      <name val="Calibri"/>
      <family val="0"/>
      <charset val="1"/>
    </font>
    <font>
      <b val="true"/>
      <sz val="18"/>
      <color theme="1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sz val="13"/>
      <color theme="1"/>
      <name val="Calibri"/>
      <family val="2"/>
      <charset val="1"/>
    </font>
    <font>
      <b val="true"/>
      <u val="single"/>
      <sz val="13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Aptos"/>
      <family val="0"/>
      <charset val="1"/>
    </font>
    <font>
      <sz val="12"/>
      <color rgb="FF21212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212121"/>
      <name val="Calibri"/>
      <family val="2"/>
      <charset val="1"/>
    </font>
    <font>
      <b val="true"/>
      <sz val="11"/>
      <color rgb="FF212121"/>
      <name val="Calibri"/>
      <family val="2"/>
      <charset val="1"/>
    </font>
    <font>
      <sz val="12"/>
      <color rgb="FF000000"/>
      <name val="Aptos"/>
      <family val="0"/>
      <charset val="1"/>
    </font>
    <font>
      <b val="true"/>
      <sz val="24"/>
      <color theme="1"/>
      <name val="Calibri"/>
      <family val="2"/>
      <charset val="1"/>
    </font>
    <font>
      <sz val="12"/>
      <color rgb="FF111827"/>
      <name val="Calibri"/>
      <family val="2"/>
      <charset val="1"/>
    </font>
    <font>
      <u val="single"/>
      <sz val="12"/>
      <color theme="1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4BD97"/>
      </patternFill>
    </fill>
    <fill>
      <patternFill patternType="solid">
        <fgColor theme="7" tint="0.7999"/>
        <bgColor rgb="FFE4DFEC"/>
      </patternFill>
    </fill>
    <fill>
      <patternFill patternType="solid">
        <fgColor theme="9" tint="0.7999"/>
        <bgColor rgb="FFFDE9D9"/>
      </patternFill>
    </fill>
    <fill>
      <patternFill patternType="solid">
        <fgColor rgb="FFFDE9D9"/>
        <bgColor rgb="FFFDEADA"/>
      </patternFill>
    </fill>
    <fill>
      <patternFill patternType="solid">
        <fgColor theme="1" tint="0.3499"/>
        <bgColor rgb="FF808080"/>
      </patternFill>
    </fill>
    <fill>
      <patternFill patternType="solid">
        <fgColor rgb="FFE4DFEC"/>
        <bgColor rgb="FFE6E0EC"/>
      </patternFill>
    </fill>
    <fill>
      <patternFill patternType="solid">
        <fgColor theme="0"/>
        <bgColor rgb="FFF2F2F2"/>
      </patternFill>
    </fill>
    <fill>
      <patternFill patternType="solid">
        <fgColor theme="0" tint="-0.5"/>
        <bgColor rgb="FF969696"/>
      </patternFill>
    </fill>
    <fill>
      <patternFill patternType="solid">
        <fgColor theme="8" tint="0.5999"/>
        <bgColor rgb="FF99CCFF"/>
      </patternFill>
    </fill>
    <fill>
      <patternFill patternType="solid">
        <fgColor theme="0" tint="-0.05"/>
        <bgColor rgb="FFFDEADA"/>
      </patternFill>
    </fill>
    <fill>
      <patternFill patternType="solid">
        <fgColor theme="6" tint="0.5999"/>
        <bgColor rgb="FFE4DFEC"/>
      </patternFill>
    </fill>
    <fill>
      <patternFill patternType="solid">
        <fgColor rgb="FF00FFFF"/>
        <bgColor rgb="FF00FFFF"/>
      </patternFill>
    </fill>
    <fill>
      <patternFill patternType="solid">
        <fgColor theme="2" tint="-0.25"/>
        <bgColor rgb="FFD7E4B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12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9" fillId="0" borderId="1" xfId="1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13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5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1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14" borderId="1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1" fillId="3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1" fillId="0" borderId="1" xfId="17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1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2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1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1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0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15" borderId="0" xfId="17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 readingOrder="1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71" fontId="25" fillId="0" borderId="3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71" fontId="26" fillId="0" borderId="1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tru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Currency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DEADA"/>
      <rgbColor rgb="FFF2F2F2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6E0EC"/>
      <rgbColor rgb="FFD7E4BD"/>
      <rgbColor rgb="FFFDE9D9"/>
      <rgbColor rgb="FF99CCFF"/>
      <rgbColor rgb="FFFF99CC"/>
      <rgbColor rgb="FFCC99FF"/>
      <rgbColor rgb="FFE4DFEC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seton.net.au/regulatory-road-signs-r3-1-pedestrian-crossing-picto-600mm-dia-aluminium-class-1-400-reflective-a35089.html" TargetMode="External"/><Relationship Id="rId2" Type="http://schemas.openxmlformats.org/officeDocument/2006/relationships/hyperlink" Target="https://www.seton.net.au/bicycle-path-sign-crossing-arrows-a46100.html" TargetMode="External"/><Relationship Id="rId3" Type="http://schemas.openxmlformats.org/officeDocument/2006/relationships/hyperlink" Target="https://www.seton.net.au/mms-both-lanes-open-600mm-w-x-600mm-h-aluminium-class-1-400-reflective-tm10-5a-a51321.html" TargetMode="External"/><Relationship Id="rId4" Type="http://schemas.openxmlformats.org/officeDocument/2006/relationships/hyperlink" Target="https://www.seton.net.au/signs-labels/rear-marker-plate-category-161-1600mm-w-x-100mm-h-aluminium-class-1-400-reflective.html" TargetMode="External"/><Relationship Id="rId5" Type="http://schemas.openxmlformats.org/officeDocument/2006/relationships/hyperlink" Target="https://www.seton.net.au/mms-wa-worker-dig-picto-mms-adv-52b.html" TargetMode="External"/><Relationship Id="rId6" Type="http://schemas.openxmlformats.org/officeDocument/2006/relationships/hyperlink" Target="https://www.seton.net.au/regulatory-road-signs-r2-4-no-entry-750mm-w-x-750mm-h-class-1-400-aluminium-a8027.html" TargetMode="External"/><Relationship Id="rId7" Type="http://schemas.openxmlformats.org/officeDocument/2006/relationships/hyperlink" Target="https://www.seton.net.au/regulatory-signs-stop-here-on-red-signal-r6-6-450-x-750mm-class-1-aluminium-z0031.html" TargetMode="External"/><Relationship Id="rId8" Type="http://schemas.openxmlformats.org/officeDocument/2006/relationships/hyperlink" Target="https://www.seton.net.au/signs-labels/road-signs/regulatory-signs-no-bikes-picto-r6-10-3-450-x-450mm-class-1-aluminium.html" TargetMode="External"/><Relationship Id="rId9" Type="http://schemas.openxmlformats.org/officeDocument/2006/relationships/hyperlink" Target="https://www.seton.net.au/mms-no-left-turn-rm2-6a-l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G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C14" activeCellId="0" sqref="C14"/>
    </sheetView>
  </sheetViews>
  <sheetFormatPr defaultColWidth="11.00390625" defaultRowHeight="15.75" zeroHeight="false" outlineLevelRow="0" outlineLevelCol="0"/>
  <cols>
    <col collapsed="false" customWidth="true" hidden="false" outlineLevel="0" max="7" min="1" style="0" width="15.12"/>
  </cols>
  <sheetData>
    <row r="5" customFormat="false" ht="45.75" hidden="false" customHeight="true" outlineLevel="0" collapsed="false">
      <c r="A5" s="1"/>
      <c r="B5" s="2" t="s">
        <v>0</v>
      </c>
      <c r="C5" s="3" t="s">
        <v>1</v>
      </c>
      <c r="D5" s="4" t="s">
        <v>2</v>
      </c>
      <c r="E5" s="3" t="s">
        <v>1</v>
      </c>
      <c r="F5" s="4" t="s">
        <v>3</v>
      </c>
      <c r="G5" s="3" t="s">
        <v>1</v>
      </c>
    </row>
    <row r="6" customFormat="false" ht="18.75" hidden="false" customHeight="true" outlineLevel="0" collapsed="false">
      <c r="A6" s="2" t="s">
        <v>4</v>
      </c>
      <c r="B6" s="5" t="n">
        <v>1710</v>
      </c>
      <c r="C6" s="6" t="n">
        <f aca="false">B6/128</f>
        <v>13.359375</v>
      </c>
      <c r="D6" s="5" t="n">
        <f aca="false">B6*1.3</f>
        <v>2223</v>
      </c>
      <c r="E6" s="6" t="n">
        <f aca="false">D6/128</f>
        <v>17.3671875</v>
      </c>
      <c r="F6" s="5" t="n">
        <f aca="false">B6*1.4</f>
        <v>2394</v>
      </c>
      <c r="G6" s="6" t="n">
        <f aca="false">F6/128</f>
        <v>18.703125</v>
      </c>
    </row>
    <row r="7" customFormat="false" ht="18.75" hidden="false" customHeight="true" outlineLevel="0" collapsed="false">
      <c r="A7" s="2" t="s">
        <v>5</v>
      </c>
      <c r="B7" s="5" t="n">
        <v>1710</v>
      </c>
      <c r="C7" s="6" t="n">
        <f aca="false">B7/128</f>
        <v>13.359375</v>
      </c>
      <c r="D7" s="5" t="n">
        <f aca="false">B7*1.3</f>
        <v>2223</v>
      </c>
      <c r="E7" s="6" t="n">
        <f aca="false">D7/128</f>
        <v>17.3671875</v>
      </c>
      <c r="F7" s="5" t="n">
        <f aca="false">B7*1.4</f>
        <v>2394</v>
      </c>
      <c r="G7" s="6" t="n">
        <f aca="false">F7/128</f>
        <v>18.703125</v>
      </c>
    </row>
    <row r="8" customFormat="false" ht="18.75" hidden="false" customHeight="true" outlineLevel="0" collapsed="false">
      <c r="A8" s="2" t="s">
        <v>6</v>
      </c>
      <c r="B8" s="5" t="n">
        <v>1890</v>
      </c>
      <c r="C8" s="6" t="n">
        <f aca="false">B8/128</f>
        <v>14.765625</v>
      </c>
      <c r="D8" s="5" t="n">
        <f aca="false">B8*1.3</f>
        <v>2457</v>
      </c>
      <c r="E8" s="6" t="n">
        <f aca="false">D8/128</f>
        <v>19.1953125</v>
      </c>
      <c r="F8" s="5" t="n">
        <f aca="false">B8*1.4</f>
        <v>2646</v>
      </c>
      <c r="G8" s="6" t="n">
        <f aca="false">F8/128</f>
        <v>20.671875</v>
      </c>
    </row>
    <row r="9" customFormat="false" ht="18.75" hidden="false" customHeight="true" outlineLevel="0" collapsed="false">
      <c r="A9" s="2" t="s">
        <v>7</v>
      </c>
      <c r="B9" s="5" t="n">
        <v>2295</v>
      </c>
      <c r="C9" s="6" t="n">
        <f aca="false">B9/128</f>
        <v>17.9296875</v>
      </c>
      <c r="D9" s="5" t="n">
        <f aca="false">B9*1.3</f>
        <v>2983.5</v>
      </c>
      <c r="E9" s="6" t="n">
        <f aca="false">D9/128</f>
        <v>23.30859375</v>
      </c>
      <c r="F9" s="5" t="n">
        <f aca="false">B9*1.4</f>
        <v>3213</v>
      </c>
      <c r="G9" s="6" t="n">
        <f aca="false">F9/128</f>
        <v>25.1015625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0" sqref="B5"/>
    </sheetView>
  </sheetViews>
  <sheetFormatPr defaultColWidth="10.87890625" defaultRowHeight="21" zeroHeight="false" outlineLevelRow="0" outlineLevelCol="0"/>
  <cols>
    <col collapsed="false" customWidth="true" hidden="false" outlineLevel="0" max="1" min="1" style="7" width="34.5"/>
    <col collapsed="false" customWidth="false" hidden="false" outlineLevel="0" max="16384" min="2" style="7" width="10.87"/>
  </cols>
  <sheetData>
    <row r="1" customFormat="false" ht="21" hidden="false" customHeight="false" outlineLevel="0" collapsed="false">
      <c r="A1" s="7" t="s">
        <v>8</v>
      </c>
    </row>
    <row r="2" customFormat="false" ht="21" hidden="false" customHeight="false" outlineLevel="0" collapsed="false">
      <c r="A2" s="7" t="s">
        <v>9</v>
      </c>
    </row>
    <row r="3" customFormat="false" ht="21" hidden="false" customHeight="false" outlineLevel="0" collapsed="false">
      <c r="A3" s="7" t="s">
        <v>10</v>
      </c>
    </row>
    <row r="5" customFormat="false" ht="21" hidden="false" customHeight="false" outlineLevel="0" collapsed="false">
      <c r="A5" s="7" t="s">
        <v>11</v>
      </c>
    </row>
    <row r="6" customFormat="false" ht="21" hidden="false" customHeight="false" outlineLevel="0" collapsed="false">
      <c r="A6" s="7" t="s">
        <v>12</v>
      </c>
    </row>
    <row r="9" customFormat="false" ht="21" hidden="false" customHeight="false" outlineLevel="0" collapsed="false">
      <c r="A9" s="7" t="s">
        <v>13</v>
      </c>
    </row>
    <row r="10" customFormat="false" ht="21" hidden="false" customHeight="false" outlineLevel="0" collapsed="false">
      <c r="A10" s="7" t="s">
        <v>14</v>
      </c>
    </row>
    <row r="11" customFormat="false" ht="21" hidden="false" customHeight="false" outlineLevel="0" collapsed="false">
      <c r="A11" s="7" t="s">
        <v>15</v>
      </c>
    </row>
    <row r="12" customFormat="false" ht="21" hidden="false" customHeight="false" outlineLevel="0" collapsed="false">
      <c r="A12" s="7" t="s">
        <v>16</v>
      </c>
    </row>
    <row r="14" customFormat="false" ht="21" hidden="false" customHeight="false" outlineLevel="0" collapsed="false">
      <c r="A14" s="7" t="s">
        <v>17</v>
      </c>
    </row>
    <row r="15" customFormat="false" ht="21" hidden="false" customHeight="false" outlineLevel="0" collapsed="false">
      <c r="A15" s="7" t="s">
        <v>18</v>
      </c>
    </row>
    <row r="16" customFormat="false" ht="21" hidden="false" customHeight="false" outlineLevel="0" collapsed="false">
      <c r="A16" s="7" t="s">
        <v>19</v>
      </c>
    </row>
    <row r="17" customFormat="false" ht="21" hidden="false" customHeight="false" outlineLevel="0" collapsed="false">
      <c r="A17" s="7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5"/>
  <sheetViews>
    <sheetView showFormulas="false" showGridLines="true" showRowColHeaders="true" showZeros="true" rightToLeft="false" tabSelected="false" showOutlineSymbols="true" defaultGridColor="true" view="normal" topLeftCell="A12" colorId="64" zoomScale="125" zoomScaleNormal="125" zoomScalePageLayoutView="100" workbookViewId="0">
      <selection pane="topLeft" activeCell="H41" activeCellId="0" sqref="H41"/>
    </sheetView>
  </sheetViews>
  <sheetFormatPr defaultColWidth="8.87890625" defaultRowHeight="15.75" zeroHeight="false" outlineLevelRow="0" outlineLevelCol="0"/>
  <cols>
    <col collapsed="false" customWidth="true" hidden="false" outlineLevel="0" max="2" min="2" style="0" width="29.37"/>
    <col collapsed="false" customWidth="true" hidden="false" outlineLevel="0" max="3" min="3" style="0" width="5.51"/>
    <col collapsed="false" customWidth="true" hidden="false" outlineLevel="0" max="4" min="4" style="0" width="8.5"/>
    <col collapsed="false" customWidth="true" hidden="false" outlineLevel="0" max="6" min="6" style="0" width="9.63"/>
    <col collapsed="false" customWidth="true" hidden="false" outlineLevel="0" max="15" min="15" style="0" width="6.37"/>
  </cols>
  <sheetData>
    <row r="1" customFormat="false" ht="15.75" hidden="false" customHeight="false" outlineLevel="0" collapsed="false">
      <c r="A1" s="8" t="s">
        <v>21</v>
      </c>
      <c r="B1" s="9" t="s">
        <v>22</v>
      </c>
      <c r="C1" s="10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.75" hidden="false" customHeight="false" outlineLevel="0" collapsed="false">
      <c r="A2" s="8"/>
      <c r="B2" s="8"/>
      <c r="C2" s="8"/>
      <c r="D2" s="8"/>
      <c r="E2" s="8"/>
      <c r="F2" s="8"/>
      <c r="G2" s="11"/>
      <c r="H2" s="8"/>
      <c r="I2" s="8"/>
      <c r="J2" s="8"/>
      <c r="K2" s="8"/>
      <c r="L2" s="11" t="s">
        <v>23</v>
      </c>
      <c r="M2" s="8"/>
      <c r="N2" s="8"/>
    </row>
    <row r="3" customFormat="false" ht="31.5" hidden="false" customHeight="true" outlineLevel="0" collapsed="false">
      <c r="A3" s="12" t="s">
        <v>24</v>
      </c>
      <c r="B3" s="12" t="s">
        <v>25</v>
      </c>
      <c r="C3" s="12" t="s">
        <v>26</v>
      </c>
      <c r="D3" s="12" t="s">
        <v>27</v>
      </c>
      <c r="E3" s="12" t="s">
        <v>28</v>
      </c>
      <c r="F3" s="13" t="s">
        <v>29</v>
      </c>
      <c r="G3" s="12" t="s">
        <v>30</v>
      </c>
      <c r="H3" s="14" t="s">
        <v>31</v>
      </c>
    </row>
    <row r="4" customFormat="false" ht="15.75" hidden="false" customHeight="false" outlineLevel="0" collapsed="false">
      <c r="A4" s="15" t="s">
        <v>32</v>
      </c>
      <c r="B4" s="16" t="s">
        <v>33</v>
      </c>
      <c r="C4" s="8" t="s">
        <v>34</v>
      </c>
      <c r="D4" s="8" t="n">
        <v>1.372</v>
      </c>
      <c r="E4" s="8" t="n">
        <v>45.7</v>
      </c>
      <c r="F4" s="17" t="n">
        <v>8.42</v>
      </c>
      <c r="G4" s="18" t="n">
        <v>0</v>
      </c>
      <c r="H4" s="19" t="n">
        <v>8.42</v>
      </c>
    </row>
    <row r="5" customFormat="false" ht="15.75" hidden="false" customHeight="false" outlineLevel="0" collapsed="false">
      <c r="A5" s="15" t="s">
        <v>35</v>
      </c>
      <c r="B5" s="16" t="s">
        <v>36</v>
      </c>
      <c r="C5" s="8" t="s">
        <v>34</v>
      </c>
      <c r="D5" s="8" t="n">
        <v>1.372</v>
      </c>
      <c r="E5" s="8" t="n">
        <v>45.7</v>
      </c>
      <c r="F5" s="17" t="n">
        <v>8.42</v>
      </c>
      <c r="G5" s="18" t="n">
        <v>0.025</v>
      </c>
      <c r="H5" s="19" t="n">
        <v>8.63</v>
      </c>
    </row>
    <row r="6" customFormat="false" ht="15.75" hidden="false" customHeight="false" outlineLevel="0" collapsed="false">
      <c r="A6" s="15" t="s">
        <v>37</v>
      </c>
      <c r="B6" s="16" t="s">
        <v>38</v>
      </c>
      <c r="C6" s="8" t="s">
        <v>34</v>
      </c>
      <c r="D6" s="8" t="n">
        <v>1.372</v>
      </c>
      <c r="E6" s="8" t="n">
        <v>45.7</v>
      </c>
      <c r="F6" s="17" t="n">
        <v>8.44</v>
      </c>
      <c r="G6" s="18" t="n">
        <v>0.045</v>
      </c>
      <c r="H6" s="19" t="n">
        <v>8.82</v>
      </c>
    </row>
    <row r="7" customFormat="false" ht="15.75" hidden="false" customHeight="false" outlineLevel="0" collapsed="false">
      <c r="A7" s="15" t="s">
        <v>39</v>
      </c>
      <c r="B7" s="16" t="s">
        <v>40</v>
      </c>
      <c r="C7" s="8" t="s">
        <v>34</v>
      </c>
      <c r="D7" s="8" t="n">
        <v>1.372</v>
      </c>
      <c r="E7" s="8" t="n">
        <v>45.7</v>
      </c>
      <c r="F7" s="17" t="n">
        <v>8.42</v>
      </c>
      <c r="G7" s="18" t="n">
        <v>0</v>
      </c>
      <c r="H7" s="19" t="n">
        <v>8.42</v>
      </c>
    </row>
    <row r="8" customFormat="false" ht="15.7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15.75" hidden="false" customHeight="false" outlineLevel="0" collapsed="false">
      <c r="G9" s="20" t="s">
        <v>41</v>
      </c>
      <c r="H9" s="20"/>
      <c r="I9" s="20"/>
    </row>
    <row r="10" customFormat="false" ht="15.75" hidden="false" customHeight="false" outlineLevel="0" collapsed="false">
      <c r="G10" s="21" t="s">
        <v>42</v>
      </c>
      <c r="H10" s="21"/>
      <c r="I10" s="21"/>
      <c r="J10" s="21"/>
    </row>
    <row r="13" customFormat="false" ht="15.75" hidden="false" customHeight="false" outlineLevel="0" collapsed="false">
      <c r="A13" s="8" t="s">
        <v>21</v>
      </c>
      <c r="B13" s="9" t="s">
        <v>43</v>
      </c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11"/>
      <c r="H14" s="8"/>
      <c r="I14" s="8"/>
      <c r="J14" s="8"/>
      <c r="K14" s="8"/>
      <c r="L14" s="11"/>
      <c r="M14" s="8"/>
      <c r="N14" s="8"/>
    </row>
    <row r="15" customFormat="false" ht="31.5" hidden="false" customHeight="true" outlineLevel="0" collapsed="false">
      <c r="A15" s="12" t="s">
        <v>24</v>
      </c>
      <c r="B15" s="12" t="s">
        <v>25</v>
      </c>
      <c r="C15" s="12" t="s">
        <v>26</v>
      </c>
      <c r="D15" s="12" t="s">
        <v>27</v>
      </c>
      <c r="E15" s="12" t="s">
        <v>28</v>
      </c>
      <c r="F15" s="13" t="s">
        <v>29</v>
      </c>
      <c r="G15" s="12" t="s">
        <v>30</v>
      </c>
      <c r="H15" s="14" t="s">
        <v>31</v>
      </c>
      <c r="I15" s="12"/>
      <c r="J15" s="12"/>
    </row>
    <row r="16" customFormat="false" ht="15.75" hidden="false" customHeight="false" outlineLevel="0" collapsed="false">
      <c r="A16" s="15" t="s">
        <v>44</v>
      </c>
      <c r="B16" s="16" t="s">
        <v>45</v>
      </c>
      <c r="C16" s="8" t="s">
        <v>34</v>
      </c>
      <c r="D16" s="8" t="n">
        <v>1.23</v>
      </c>
      <c r="E16" s="8" t="n">
        <v>50</v>
      </c>
      <c r="F16" s="16" t="n">
        <v>9.45</v>
      </c>
      <c r="G16" s="18" t="n">
        <v>0.015</v>
      </c>
      <c r="H16" s="22" t="n">
        <v>9.59</v>
      </c>
      <c r="I16" s="8" t="n">
        <f aca="false">(1.23*50)*H16</f>
        <v>589.785</v>
      </c>
      <c r="J16" s="8"/>
    </row>
    <row r="17" customFormat="false" ht="15.75" hidden="false" customHeight="false" outlineLevel="0" collapsed="false">
      <c r="A17" s="15" t="s">
        <v>46</v>
      </c>
      <c r="B17" s="16" t="s">
        <v>47</v>
      </c>
      <c r="C17" s="8" t="s">
        <v>34</v>
      </c>
      <c r="D17" s="8" t="n">
        <v>1.23</v>
      </c>
      <c r="E17" s="8" t="n">
        <v>50</v>
      </c>
      <c r="F17" s="16" t="n">
        <v>9.45</v>
      </c>
      <c r="G17" s="18" t="n">
        <v>0.015</v>
      </c>
      <c r="H17" s="22" t="n">
        <v>9.59</v>
      </c>
      <c r="I17" s="8"/>
      <c r="J17" s="8"/>
    </row>
    <row r="18" customFormat="false" ht="15.75" hidden="false" customHeight="false" outlineLevel="0" collapsed="false">
      <c r="A18" s="15" t="s">
        <v>48</v>
      </c>
      <c r="B18" s="16" t="s">
        <v>49</v>
      </c>
      <c r="C18" s="8" t="s">
        <v>34</v>
      </c>
      <c r="D18" s="8" t="n">
        <v>1.23</v>
      </c>
      <c r="E18" s="8" t="n">
        <v>50</v>
      </c>
      <c r="F18" s="16" t="n">
        <v>9.45</v>
      </c>
      <c r="G18" s="18" t="n">
        <v>0.015</v>
      </c>
      <c r="H18" s="22" t="n">
        <v>9.59</v>
      </c>
      <c r="I18" s="8"/>
      <c r="J18" s="8"/>
    </row>
    <row r="19" customFormat="false" ht="15.75" hidden="false" customHeight="false" outlineLevel="0" collapsed="false">
      <c r="A19" s="15" t="s">
        <v>32</v>
      </c>
      <c r="B19" s="8" t="s">
        <v>33</v>
      </c>
      <c r="C19" s="8" t="s">
        <v>34</v>
      </c>
      <c r="D19" s="8" t="n">
        <v>1.372</v>
      </c>
      <c r="E19" s="8" t="n">
        <v>45.7</v>
      </c>
      <c r="F19" s="16" t="n">
        <v>8.42</v>
      </c>
      <c r="G19" s="18" t="n">
        <v>0</v>
      </c>
      <c r="H19" s="22" t="n">
        <v>8.42</v>
      </c>
      <c r="I19" s="8"/>
      <c r="J19" s="8"/>
    </row>
    <row r="20" customFormat="false" ht="15.75" hidden="false" customHeight="false" outlineLevel="0" collapsed="false">
      <c r="A20" s="15" t="s">
        <v>39</v>
      </c>
      <c r="B20" s="8" t="s">
        <v>40</v>
      </c>
      <c r="C20" s="8" t="s">
        <v>34</v>
      </c>
      <c r="D20" s="8" t="n">
        <v>1.372</v>
      </c>
      <c r="E20" s="8" t="n">
        <v>45.7</v>
      </c>
      <c r="F20" s="16" t="n">
        <v>8.42</v>
      </c>
      <c r="G20" s="18" t="n">
        <v>0</v>
      </c>
      <c r="H20" s="22" t="n">
        <v>8.42</v>
      </c>
      <c r="I20" s="8"/>
      <c r="J20" s="8"/>
    </row>
    <row r="21" customFormat="false" ht="15.75" hidden="false" customHeight="false" outlineLevel="0" collapsed="false">
      <c r="A21" s="15" t="s">
        <v>50</v>
      </c>
      <c r="B21" s="8" t="s">
        <v>51</v>
      </c>
      <c r="C21" s="8" t="s">
        <v>34</v>
      </c>
      <c r="D21" s="8" t="n">
        <v>1.37</v>
      </c>
      <c r="E21" s="8" t="n">
        <v>50</v>
      </c>
      <c r="F21" s="16" t="n">
        <v>10.49</v>
      </c>
      <c r="G21" s="18" t="n">
        <v>0.035</v>
      </c>
      <c r="H21" s="22" t="n">
        <v>10.86</v>
      </c>
      <c r="I21" s="8"/>
      <c r="J21" s="8"/>
    </row>
    <row r="22" customFormat="false" ht="15.75" hidden="false" customHeight="false" outlineLevel="0" collapsed="false">
      <c r="A22" s="15" t="s">
        <v>52</v>
      </c>
      <c r="B22" s="16" t="s">
        <v>53</v>
      </c>
      <c r="C22" s="8" t="s">
        <v>34</v>
      </c>
      <c r="D22" s="8" t="n">
        <v>1.23</v>
      </c>
      <c r="E22" s="8" t="n">
        <v>50</v>
      </c>
      <c r="F22" s="16" t="n">
        <v>9.45</v>
      </c>
      <c r="G22" s="18" t="n">
        <v>0.015</v>
      </c>
      <c r="H22" s="22" t="n">
        <v>9.59</v>
      </c>
      <c r="I22" s="8"/>
      <c r="J22" s="8"/>
    </row>
    <row r="23" customFormat="false" ht="15.75" hidden="false" customHeight="false" outlineLevel="0" collapsed="false">
      <c r="A23" s="15" t="s">
        <v>54</v>
      </c>
      <c r="B23" s="16" t="s">
        <v>55</v>
      </c>
      <c r="C23" s="8" t="s">
        <v>34</v>
      </c>
      <c r="D23" s="8" t="n">
        <v>1.23</v>
      </c>
      <c r="E23" s="8" t="n">
        <v>50</v>
      </c>
      <c r="F23" s="16" t="n">
        <v>9.45</v>
      </c>
      <c r="G23" s="18" t="n">
        <v>0.015</v>
      </c>
      <c r="H23" s="22" t="n">
        <v>9.59</v>
      </c>
      <c r="I23" s="8"/>
      <c r="J23" s="8"/>
    </row>
    <row r="24" customFormat="false" ht="15.75" hidden="false" customHeight="false" outlineLevel="0" collapsed="false">
      <c r="A24" s="15" t="s">
        <v>56</v>
      </c>
      <c r="B24" s="8" t="s">
        <v>57</v>
      </c>
      <c r="C24" s="8" t="s">
        <v>34</v>
      </c>
      <c r="D24" s="8" t="n">
        <v>1.372</v>
      </c>
      <c r="E24" s="8" t="n">
        <v>45.7</v>
      </c>
      <c r="F24" s="16" t="n">
        <v>12.77</v>
      </c>
      <c r="G24" s="18" t="n">
        <v>0.045</v>
      </c>
      <c r="H24" s="22" t="n">
        <v>13.34</v>
      </c>
      <c r="I24" s="8"/>
      <c r="J24" s="8"/>
    </row>
    <row r="25" customFormat="false" ht="15.75" hidden="false" customHeight="false" outlineLevel="0" collapsed="false">
      <c r="A25" s="15" t="s">
        <v>58</v>
      </c>
      <c r="B25" s="16" t="s">
        <v>59</v>
      </c>
      <c r="C25" s="8" t="s">
        <v>34</v>
      </c>
      <c r="D25" s="8" t="n">
        <v>1.23</v>
      </c>
      <c r="E25" s="8" t="n">
        <v>50</v>
      </c>
      <c r="F25" s="16" t="n">
        <v>9.45</v>
      </c>
      <c r="G25" s="18" t="n">
        <v>0.015</v>
      </c>
      <c r="H25" s="22" t="n">
        <v>9.59</v>
      </c>
      <c r="I25" s="8"/>
      <c r="J25" s="8"/>
    </row>
    <row r="26" customFormat="false" ht="15.75" hidden="false" customHeight="false" outlineLevel="0" collapsed="false">
      <c r="A26" s="15" t="n">
        <v>41084</v>
      </c>
      <c r="B26" s="8" t="s">
        <v>60</v>
      </c>
      <c r="C26" s="8" t="s">
        <v>34</v>
      </c>
      <c r="D26" s="8" t="n">
        <v>1.372</v>
      </c>
      <c r="E26" s="8" t="n">
        <v>45.7</v>
      </c>
      <c r="F26" s="16" t="n">
        <v>6.08</v>
      </c>
      <c r="G26" s="18" t="n">
        <v>0.035</v>
      </c>
      <c r="H26" s="22" t="n">
        <v>6.29</v>
      </c>
      <c r="I26" s="8"/>
      <c r="J26" s="8"/>
    </row>
    <row r="27" customFormat="false" ht="15.75" hidden="false" customHeight="false" outlineLevel="0" collapsed="false">
      <c r="A27" s="15" t="s">
        <v>35</v>
      </c>
      <c r="B27" s="8" t="s">
        <v>36</v>
      </c>
      <c r="C27" s="8" t="s">
        <v>34</v>
      </c>
      <c r="D27" s="8" t="n">
        <v>1.372</v>
      </c>
      <c r="E27" s="8" t="n">
        <v>45.7</v>
      </c>
      <c r="F27" s="16" t="n">
        <v>12.77</v>
      </c>
      <c r="G27" s="18" t="n">
        <v>0.045</v>
      </c>
      <c r="H27" s="22" t="n">
        <v>13.34</v>
      </c>
      <c r="I27" s="8"/>
      <c r="J27" s="8"/>
    </row>
    <row r="28" customFormat="false" ht="15.75" hidden="false" customHeight="false" outlineLevel="0" collapsed="false">
      <c r="A28" s="15" t="s">
        <v>61</v>
      </c>
      <c r="B28" s="16" t="s">
        <v>62</v>
      </c>
      <c r="C28" s="8" t="s">
        <v>34</v>
      </c>
      <c r="D28" s="8" t="n">
        <v>1.23</v>
      </c>
      <c r="E28" s="8" t="n">
        <v>50</v>
      </c>
      <c r="F28" s="16" t="n">
        <v>9.45</v>
      </c>
      <c r="G28" s="18" t="n">
        <v>0.015</v>
      </c>
      <c r="H28" s="22" t="n">
        <v>9.59</v>
      </c>
      <c r="I28" s="8"/>
      <c r="J28" s="8"/>
    </row>
    <row r="29" customFormat="false" ht="15.75" hidden="false" customHeight="false" outlineLevel="0" collapsed="false">
      <c r="A29" s="15" t="s">
        <v>63</v>
      </c>
      <c r="B29" s="8" t="s">
        <v>64</v>
      </c>
      <c r="C29" s="8" t="s">
        <v>34</v>
      </c>
      <c r="D29" s="8" t="n">
        <v>1.23</v>
      </c>
      <c r="E29" s="8" t="n">
        <v>50</v>
      </c>
      <c r="F29" s="16" t="n">
        <v>9.69</v>
      </c>
      <c r="G29" s="18" t="n">
        <v>0.035</v>
      </c>
      <c r="H29" s="22" t="n">
        <v>10.03</v>
      </c>
      <c r="I29" s="8"/>
      <c r="J29" s="8"/>
    </row>
    <row r="30" customFormat="false" ht="15.75" hidden="false" customHeight="false" outlineLevel="0" collapsed="false">
      <c r="A30" s="15" t="s">
        <v>65</v>
      </c>
      <c r="B30" s="16" t="s">
        <v>66</v>
      </c>
      <c r="C30" s="8" t="s">
        <v>34</v>
      </c>
      <c r="D30" s="8" t="n">
        <v>1.23</v>
      </c>
      <c r="E30" s="8" t="n">
        <v>50</v>
      </c>
      <c r="F30" s="16" t="n">
        <v>9.45</v>
      </c>
      <c r="G30" s="18" t="n">
        <v>0.015</v>
      </c>
      <c r="H30" s="22" t="n">
        <v>9.59</v>
      </c>
      <c r="I30" s="8"/>
      <c r="J30" s="8"/>
    </row>
    <row r="31" customFormat="false" ht="15.75" hidden="false" customHeight="false" outlineLevel="0" collapsed="false">
      <c r="A31" s="15" t="s">
        <v>67</v>
      </c>
      <c r="B31" s="8" t="s">
        <v>68</v>
      </c>
      <c r="C31" s="8" t="s">
        <v>69</v>
      </c>
      <c r="D31" s="8" t="n">
        <v>1</v>
      </c>
      <c r="E31" s="8" t="n">
        <v>760</v>
      </c>
      <c r="F31" s="16" t="n">
        <v>1.92</v>
      </c>
      <c r="G31" s="18" t="n">
        <v>0.02</v>
      </c>
      <c r="H31" s="22" t="n">
        <v>1.96</v>
      </c>
      <c r="I31" s="8"/>
      <c r="J31" s="8"/>
    </row>
    <row r="32" customFormat="false" ht="15.75" hidden="false" customHeight="false" outlineLevel="0" collapsed="false">
      <c r="A32" s="15" t="s">
        <v>37</v>
      </c>
      <c r="B32" s="8" t="s">
        <v>38</v>
      </c>
      <c r="C32" s="8" t="s">
        <v>34</v>
      </c>
      <c r="D32" s="8" t="n">
        <v>1.372</v>
      </c>
      <c r="E32" s="8" t="n">
        <v>45.7</v>
      </c>
      <c r="F32" s="16" t="n">
        <v>11.61</v>
      </c>
      <c r="G32" s="18" t="n">
        <v>0.045</v>
      </c>
      <c r="H32" s="22" t="n">
        <v>12.13</v>
      </c>
      <c r="I32" s="8"/>
      <c r="J32" s="8"/>
    </row>
    <row r="33" customFormat="false" ht="15.75" hidden="false" customHeight="false" outlineLevel="0" collapsed="false">
      <c r="A33" s="15" t="s">
        <v>70</v>
      </c>
      <c r="B33" s="16" t="s">
        <v>71</v>
      </c>
      <c r="C33" s="8" t="s">
        <v>34</v>
      </c>
      <c r="D33" s="8" t="n">
        <v>1.23</v>
      </c>
      <c r="E33" s="8" t="n">
        <v>50</v>
      </c>
      <c r="F33" s="16" t="n">
        <v>9.45</v>
      </c>
      <c r="G33" s="18" t="n">
        <v>0.015</v>
      </c>
      <c r="H33" s="22" t="n">
        <v>9.59</v>
      </c>
      <c r="I33" s="8"/>
      <c r="J33" s="8"/>
    </row>
    <row r="34" customFormat="false" ht="15.75" hidden="false" customHeight="false" outlineLevel="0" collapsed="false">
      <c r="A34" s="15" t="n">
        <v>3790</v>
      </c>
      <c r="B34" s="8" t="s">
        <v>72</v>
      </c>
      <c r="C34" s="8" t="s">
        <v>69</v>
      </c>
      <c r="D34" s="8" t="n">
        <v>1</v>
      </c>
      <c r="E34" s="8" t="n">
        <v>760</v>
      </c>
      <c r="F34" s="16" t="n">
        <v>1.92</v>
      </c>
      <c r="G34" s="18" t="n">
        <v>0.02</v>
      </c>
      <c r="H34" s="22" t="n">
        <v>1.96</v>
      </c>
      <c r="I34" s="8"/>
      <c r="J34" s="8"/>
    </row>
    <row r="35" customFormat="false" ht="15.75" hidden="false" customHeight="false" outlineLevel="0" collapsed="false">
      <c r="A35" s="15" t="s">
        <v>73</v>
      </c>
      <c r="B35" s="8" t="s">
        <v>74</v>
      </c>
      <c r="C35" s="8" t="s">
        <v>34</v>
      </c>
      <c r="D35" s="8" t="n">
        <v>1.372</v>
      </c>
      <c r="E35" s="8" t="n">
        <v>45.7</v>
      </c>
      <c r="F35" s="16" t="n">
        <v>10.63</v>
      </c>
      <c r="G35" s="18" t="n">
        <v>0.045</v>
      </c>
      <c r="H35" s="22" t="n">
        <v>11.11</v>
      </c>
      <c r="I35" s="8"/>
      <c r="J35" s="8"/>
    </row>
    <row r="36" customFormat="false" ht="15.75" hidden="false" customHeight="false" outlineLevel="0" collapsed="false">
      <c r="A36" s="15" t="n">
        <v>1226</v>
      </c>
      <c r="B36" s="8" t="s">
        <v>75</v>
      </c>
      <c r="C36" s="8" t="s">
        <v>69</v>
      </c>
      <c r="D36" s="8" t="n">
        <v>1</v>
      </c>
      <c r="E36" s="8" t="n">
        <v>760</v>
      </c>
      <c r="F36" s="16" t="n">
        <v>2.22</v>
      </c>
      <c r="G36" s="18" t="n">
        <v>0.02</v>
      </c>
      <c r="H36" s="22" t="n">
        <v>2.26</v>
      </c>
      <c r="I36" s="8"/>
      <c r="J36" s="8"/>
    </row>
    <row r="37" customFormat="false" ht="15.75" hidden="false" customHeight="false" outlineLevel="0" collapsed="false">
      <c r="A37" s="15" t="s">
        <v>76</v>
      </c>
      <c r="B37" s="8" t="s">
        <v>77</v>
      </c>
      <c r="C37" s="8" t="s">
        <v>34</v>
      </c>
      <c r="D37" s="8" t="n">
        <v>1.372</v>
      </c>
      <c r="E37" s="8" t="n">
        <v>45.7</v>
      </c>
      <c r="F37" s="16" t="n">
        <v>11.61</v>
      </c>
      <c r="G37" s="18" t="n">
        <v>0.045</v>
      </c>
      <c r="H37" s="22" t="n">
        <v>12.13</v>
      </c>
      <c r="I37" s="8"/>
      <c r="J37" s="8"/>
    </row>
    <row r="38" customFormat="false" ht="15.75" hidden="false" customHeight="false" outlineLevel="0" collapsed="false">
      <c r="A38" s="15" t="n">
        <v>41121</v>
      </c>
      <c r="B38" s="8" t="s">
        <v>60</v>
      </c>
      <c r="C38" s="8" t="s">
        <v>34</v>
      </c>
      <c r="D38" s="8" t="n">
        <v>1.524</v>
      </c>
      <c r="E38" s="8" t="n">
        <v>45.7</v>
      </c>
      <c r="F38" s="16" t="n">
        <v>6.08</v>
      </c>
      <c r="G38" s="18" t="n">
        <v>0.035</v>
      </c>
      <c r="H38" s="22" t="n">
        <v>6.29</v>
      </c>
      <c r="I38" s="8"/>
      <c r="J38" s="8"/>
    </row>
    <row r="39" customFormat="false" ht="15.75" hidden="false" customHeight="false" outlineLevel="0" collapsed="false">
      <c r="A39" s="15" t="s">
        <v>78</v>
      </c>
      <c r="B39" s="8" t="s">
        <v>79</v>
      </c>
      <c r="C39" s="8" t="s">
        <v>34</v>
      </c>
      <c r="D39" s="8" t="n">
        <v>1.37</v>
      </c>
      <c r="E39" s="8" t="n">
        <v>50</v>
      </c>
      <c r="F39" s="16" t="n">
        <v>5.39</v>
      </c>
      <c r="G39" s="18" t="n">
        <v>0.04</v>
      </c>
      <c r="H39" s="22" t="n">
        <v>5.61</v>
      </c>
      <c r="I39" s="8"/>
      <c r="J39" s="8"/>
    </row>
    <row r="40" customFormat="false" ht="15.75" hidden="false" customHeight="false" outlineLevel="0" collapsed="false">
      <c r="A40" s="15" t="s">
        <v>80</v>
      </c>
      <c r="B40" s="8" t="s">
        <v>81</v>
      </c>
      <c r="C40" s="8" t="s">
        <v>34</v>
      </c>
      <c r="D40" s="8" t="n">
        <v>1.37</v>
      </c>
      <c r="E40" s="8" t="n">
        <v>50</v>
      </c>
      <c r="F40" s="16" t="n">
        <v>2.35</v>
      </c>
      <c r="G40" s="18" t="n">
        <v>0.045</v>
      </c>
      <c r="H40" s="22" t="n">
        <v>2.46</v>
      </c>
      <c r="I40" s="8"/>
      <c r="J40" s="8"/>
    </row>
    <row r="41" customFormat="false" ht="15.75" hidden="false" customHeight="false" outlineLevel="0" collapsed="false">
      <c r="A41" s="15" t="s">
        <v>82</v>
      </c>
      <c r="B41" s="8" t="s">
        <v>83</v>
      </c>
      <c r="C41" s="8" t="s">
        <v>34</v>
      </c>
      <c r="D41" s="8" t="n">
        <v>1.524</v>
      </c>
      <c r="E41" s="8" t="n">
        <v>45.7</v>
      </c>
      <c r="F41" s="16" t="n">
        <v>10.63</v>
      </c>
      <c r="G41" s="18" t="n">
        <v>0.045</v>
      </c>
      <c r="H41" s="22" t="n">
        <v>11.11</v>
      </c>
      <c r="I41" s="8"/>
      <c r="J41" s="8"/>
    </row>
    <row r="42" customFormat="false" ht="15.75" hidden="false" customHeight="false" outlineLevel="0" collapsed="false">
      <c r="A42" s="15" t="s">
        <v>84</v>
      </c>
      <c r="B42" s="16" t="s">
        <v>85</v>
      </c>
      <c r="C42" s="8" t="s">
        <v>34</v>
      </c>
      <c r="D42" s="8" t="n">
        <v>1.23</v>
      </c>
      <c r="E42" s="8" t="n">
        <v>50</v>
      </c>
      <c r="F42" s="16" t="n">
        <v>9.45</v>
      </c>
      <c r="G42" s="18" t="n">
        <v>0.015</v>
      </c>
      <c r="H42" s="22" t="n">
        <v>9.59</v>
      </c>
      <c r="I42" s="8"/>
      <c r="J42" s="8"/>
    </row>
    <row r="43" customFormat="false" ht="15.75" hidden="false" customHeight="false" outlineLevel="0" collapsed="false">
      <c r="A43" s="15" t="s">
        <v>86</v>
      </c>
      <c r="B43" s="8" t="s">
        <v>87</v>
      </c>
      <c r="C43" s="8" t="s">
        <v>69</v>
      </c>
      <c r="D43" s="8" t="n">
        <v>1</v>
      </c>
      <c r="E43" s="8" t="n">
        <v>760</v>
      </c>
      <c r="F43" s="16" t="n">
        <v>1.87</v>
      </c>
      <c r="G43" s="18" t="n">
        <v>0.02</v>
      </c>
      <c r="H43" s="22" t="n">
        <v>1.91</v>
      </c>
      <c r="I43" s="8"/>
      <c r="J43" s="8"/>
    </row>
    <row r="44" customFormat="false" ht="15.75" hidden="false" customHeight="false" outlineLevel="0" collapsed="false">
      <c r="A44" s="15" t="s">
        <v>88</v>
      </c>
      <c r="B44" s="8" t="s">
        <v>89</v>
      </c>
      <c r="C44" s="8" t="s">
        <v>34</v>
      </c>
      <c r="D44" s="8" t="n">
        <v>1.37</v>
      </c>
      <c r="E44" s="8" t="n">
        <v>50</v>
      </c>
      <c r="F44" s="16" t="n">
        <v>5.39</v>
      </c>
      <c r="G44" s="18" t="n">
        <v>0.04</v>
      </c>
      <c r="H44" s="22" t="n">
        <v>5.61</v>
      </c>
      <c r="I44" s="8"/>
      <c r="J44" s="8"/>
    </row>
    <row r="45" customFormat="false" ht="15.75" hidden="false" customHeight="false" outlineLevel="0" collapsed="false">
      <c r="A45" s="15" t="n">
        <v>2797</v>
      </c>
      <c r="B45" s="8" t="s">
        <v>90</v>
      </c>
      <c r="C45" s="8" t="s">
        <v>69</v>
      </c>
      <c r="D45" s="8" t="n">
        <v>1</v>
      </c>
      <c r="E45" s="8" t="n">
        <v>760</v>
      </c>
      <c r="F45" s="16" t="n">
        <v>1.87</v>
      </c>
      <c r="G45" s="18" t="n">
        <v>0.02</v>
      </c>
      <c r="H45" s="22" t="n">
        <v>1.91</v>
      </c>
      <c r="I45" s="8"/>
      <c r="J45" s="8"/>
    </row>
    <row r="46" customFormat="false" ht="15.75" hidden="false" customHeight="false" outlineLevel="0" collapsed="false">
      <c r="A46" s="15" t="n">
        <v>1223</v>
      </c>
      <c r="B46" s="8" t="s">
        <v>91</v>
      </c>
      <c r="C46" s="8" t="s">
        <v>69</v>
      </c>
      <c r="D46" s="8" t="n">
        <v>1</v>
      </c>
      <c r="E46" s="8" t="n">
        <v>760</v>
      </c>
      <c r="F46" s="16" t="n">
        <v>2.1</v>
      </c>
      <c r="G46" s="18" t="n">
        <v>0.02</v>
      </c>
      <c r="H46" s="22" t="n">
        <v>2.14</v>
      </c>
      <c r="I46" s="8"/>
      <c r="J46" s="8"/>
    </row>
    <row r="47" customFormat="false" ht="15.75" hidden="false" customHeight="false" outlineLevel="0" collapsed="false">
      <c r="A47" s="15" t="s">
        <v>92</v>
      </c>
      <c r="B47" s="8" t="s">
        <v>93</v>
      </c>
      <c r="C47" s="8" t="s">
        <v>34</v>
      </c>
      <c r="D47" s="8" t="n">
        <v>1.372</v>
      </c>
      <c r="E47" s="8" t="n">
        <v>45.7</v>
      </c>
      <c r="F47" s="16" t="n">
        <v>10.63</v>
      </c>
      <c r="G47" s="18" t="n">
        <v>0.045</v>
      </c>
      <c r="H47" s="22" t="n">
        <v>11.11</v>
      </c>
      <c r="I47" s="8"/>
      <c r="J47" s="8"/>
    </row>
    <row r="48" customFormat="false" ht="15.75" hidden="false" customHeight="false" outlineLevel="0" collapsed="false">
      <c r="A48" s="15" t="s">
        <v>94</v>
      </c>
      <c r="B48" s="8" t="s">
        <v>95</v>
      </c>
      <c r="C48" s="8" t="s">
        <v>34</v>
      </c>
      <c r="D48" s="8" t="n">
        <v>1.23</v>
      </c>
      <c r="E48" s="8" t="n">
        <v>50</v>
      </c>
      <c r="F48" s="16" t="n">
        <v>12.2</v>
      </c>
      <c r="G48" s="18" t="n">
        <v>0.035</v>
      </c>
      <c r="H48" s="22" t="n">
        <v>12.63</v>
      </c>
      <c r="I48" s="8"/>
      <c r="J48" s="8"/>
    </row>
    <row r="49" customFormat="false" ht="15.75" hidden="false" customHeight="false" outlineLevel="0" collapsed="false">
      <c r="A49" s="15" t="s">
        <v>96</v>
      </c>
      <c r="B49" s="16" t="s">
        <v>97</v>
      </c>
      <c r="C49" s="8" t="s">
        <v>34</v>
      </c>
      <c r="D49" s="8" t="n">
        <v>1.23</v>
      </c>
      <c r="E49" s="8" t="n">
        <v>50</v>
      </c>
      <c r="F49" s="16" t="n">
        <v>9.45</v>
      </c>
      <c r="G49" s="18" t="n">
        <v>0.015</v>
      </c>
      <c r="H49" s="22" t="n">
        <v>9.59</v>
      </c>
      <c r="I49" s="8"/>
      <c r="J49" s="8"/>
    </row>
    <row r="50" customFormat="false" ht="15.75" hidden="false" customHeight="false" outlineLevel="0" collapsed="false">
      <c r="A50" s="15" t="s">
        <v>98</v>
      </c>
      <c r="B50" s="8" t="s">
        <v>99</v>
      </c>
      <c r="C50" s="8" t="s">
        <v>69</v>
      </c>
      <c r="D50" s="8" t="n">
        <v>1</v>
      </c>
      <c r="E50" s="8" t="n">
        <v>760</v>
      </c>
      <c r="F50" s="16" t="n">
        <v>2.25</v>
      </c>
      <c r="G50" s="18" t="n">
        <v>0.02</v>
      </c>
      <c r="H50" s="22" t="n">
        <v>2.3</v>
      </c>
      <c r="I50" s="8"/>
      <c r="J50" s="8"/>
    </row>
    <row r="51" customFormat="false" ht="15.75" hidden="false" customHeight="false" outlineLevel="0" collapsed="false">
      <c r="A51" s="15" t="s">
        <v>100</v>
      </c>
      <c r="B51" s="8" t="s">
        <v>101</v>
      </c>
      <c r="C51" s="8" t="s">
        <v>34</v>
      </c>
      <c r="D51" s="8" t="n">
        <v>1.37</v>
      </c>
      <c r="E51" s="8" t="n">
        <v>50</v>
      </c>
      <c r="F51" s="16" t="n">
        <v>4.85</v>
      </c>
      <c r="G51" s="18" t="n">
        <v>0.035</v>
      </c>
      <c r="H51" s="22" t="n">
        <v>5.02</v>
      </c>
      <c r="I51" s="8"/>
      <c r="J51" s="8"/>
    </row>
    <row r="52" customFormat="false" ht="15.75" hidden="false" customHeight="false" outlineLevel="0" collapsed="false">
      <c r="A52" s="15" t="s">
        <v>102</v>
      </c>
      <c r="B52" s="8" t="s">
        <v>103</v>
      </c>
      <c r="C52" s="8" t="s">
        <v>34</v>
      </c>
      <c r="D52" s="8" t="n">
        <v>1.37</v>
      </c>
      <c r="E52" s="8" t="n">
        <v>50</v>
      </c>
      <c r="F52" s="16" t="n">
        <v>8.16</v>
      </c>
      <c r="G52" s="18" t="n">
        <v>0.035</v>
      </c>
      <c r="H52" s="22" t="n">
        <v>8.45</v>
      </c>
      <c r="I52" s="8"/>
      <c r="J52" s="8"/>
    </row>
    <row r="53" customFormat="false" ht="15.75" hidden="false" customHeight="false" outlineLevel="0" collapsed="false">
      <c r="A53" s="15" t="s">
        <v>104</v>
      </c>
      <c r="B53" s="8" t="s">
        <v>105</v>
      </c>
      <c r="C53" s="8" t="s">
        <v>34</v>
      </c>
      <c r="D53" s="8" t="n">
        <v>1.372</v>
      </c>
      <c r="E53" s="8" t="n">
        <v>45.7</v>
      </c>
      <c r="F53" s="16" t="n">
        <v>5.28</v>
      </c>
      <c r="G53" s="18" t="n">
        <v>0.025</v>
      </c>
      <c r="H53" s="22" t="n">
        <v>5.41</v>
      </c>
      <c r="I53" s="8"/>
      <c r="J53" s="8"/>
    </row>
    <row r="54" customFormat="false" ht="15.75" hidden="false" customHeight="false" outlineLevel="0" collapsed="false">
      <c r="A54" s="15" t="s">
        <v>106</v>
      </c>
      <c r="B54" s="8" t="s">
        <v>107</v>
      </c>
      <c r="C54" s="8" t="s">
        <v>34</v>
      </c>
      <c r="D54" s="8" t="n">
        <v>1</v>
      </c>
      <c r="E54" s="8" t="n">
        <v>50</v>
      </c>
      <c r="F54" s="16" t="n">
        <v>14.91</v>
      </c>
      <c r="G54" s="18" t="n">
        <v>0</v>
      </c>
      <c r="H54" s="22" t="n">
        <v>14.91</v>
      </c>
      <c r="I54" s="8"/>
      <c r="J54" s="8"/>
    </row>
    <row r="55" customFormat="false" ht="15.75" hidden="false" customHeight="false" outlineLevel="0" collapsed="false">
      <c r="A55" s="15" t="s">
        <v>108</v>
      </c>
      <c r="B55" s="8" t="s">
        <v>109</v>
      </c>
      <c r="C55" s="8" t="s">
        <v>110</v>
      </c>
      <c r="D55" s="8" t="n">
        <v>0</v>
      </c>
      <c r="E55" s="8" t="n">
        <v>0</v>
      </c>
      <c r="F55" s="16" t="n">
        <v>36.48</v>
      </c>
      <c r="G55" s="18" t="n">
        <v>0.045</v>
      </c>
      <c r="H55" s="22" t="n">
        <v>38.12</v>
      </c>
      <c r="I55" s="8"/>
      <c r="J55" s="8"/>
    </row>
    <row r="56" customFormat="false" ht="15.75" hidden="false" customHeight="false" outlineLevel="0" collapsed="false">
      <c r="A56" s="15" t="s">
        <v>111</v>
      </c>
      <c r="B56" s="8" t="s">
        <v>112</v>
      </c>
      <c r="C56" s="8" t="s">
        <v>69</v>
      </c>
      <c r="D56" s="8" t="n">
        <v>0</v>
      </c>
      <c r="E56" s="8" t="n">
        <v>0</v>
      </c>
      <c r="F56" s="16" t="n">
        <v>9.76</v>
      </c>
      <c r="G56" s="18" t="n">
        <v>0.055</v>
      </c>
      <c r="H56" s="22" t="n">
        <v>10.3</v>
      </c>
      <c r="I56" s="8"/>
      <c r="J56" s="8"/>
    </row>
    <row r="57" customFormat="false" ht="15.75" hidden="false" customHeight="false" outlineLevel="0" collapsed="false">
      <c r="A57" s="15" t="s">
        <v>113</v>
      </c>
      <c r="B57" s="8" t="s">
        <v>114</v>
      </c>
      <c r="C57" s="8" t="s">
        <v>69</v>
      </c>
      <c r="D57" s="8" t="n">
        <v>0</v>
      </c>
      <c r="E57" s="8" t="n">
        <v>0</v>
      </c>
      <c r="F57" s="16" t="n">
        <v>4.49</v>
      </c>
      <c r="G57" s="18" t="n">
        <v>0.045</v>
      </c>
      <c r="H57" s="22" t="n">
        <v>4.69</v>
      </c>
      <c r="I57" s="8"/>
      <c r="J57" s="8"/>
    </row>
    <row r="58" customFormat="false" ht="15.75" hidden="false" customHeight="false" outlineLevel="0" collapsed="false">
      <c r="A58" s="15" t="s">
        <v>115</v>
      </c>
      <c r="B58" s="8" t="s">
        <v>116</v>
      </c>
      <c r="C58" s="8" t="s">
        <v>34</v>
      </c>
      <c r="D58" s="8" t="n">
        <v>1.37</v>
      </c>
      <c r="E58" s="8" t="n">
        <v>25</v>
      </c>
      <c r="F58" s="16" t="n">
        <v>7.25</v>
      </c>
      <c r="G58" s="18" t="n">
        <v>0.035</v>
      </c>
      <c r="H58" s="22" t="n">
        <v>7.5</v>
      </c>
      <c r="I58" s="8"/>
      <c r="J58" s="8"/>
    </row>
    <row r="59" customFormat="false" ht="15.75" hidden="false" customHeight="false" outlineLevel="0" collapsed="false">
      <c r="A59" s="15" t="s">
        <v>117</v>
      </c>
      <c r="B59" s="8" t="s">
        <v>118</v>
      </c>
      <c r="C59" s="8" t="s">
        <v>119</v>
      </c>
      <c r="D59" s="8" t="n">
        <v>0</v>
      </c>
      <c r="E59" s="8" t="n">
        <v>0</v>
      </c>
      <c r="F59" s="16" t="n">
        <v>34</v>
      </c>
      <c r="G59" s="18" t="n">
        <v>0.045</v>
      </c>
      <c r="H59" s="22" t="n">
        <v>35.53</v>
      </c>
      <c r="I59" s="8"/>
      <c r="J59" s="8"/>
    </row>
    <row r="60" customFormat="false" ht="15.75" hidden="false" customHeight="false" outlineLevel="0" collapsed="false">
      <c r="A60" s="15" t="s">
        <v>120</v>
      </c>
      <c r="B60" s="8" t="s">
        <v>121</v>
      </c>
      <c r="C60" s="8" t="s">
        <v>69</v>
      </c>
      <c r="D60" s="8" t="n">
        <v>0</v>
      </c>
      <c r="E60" s="8" t="n">
        <v>0</v>
      </c>
      <c r="F60" s="16" t="n">
        <v>45.66</v>
      </c>
      <c r="G60" s="18" t="n">
        <v>0</v>
      </c>
      <c r="H60" s="22" t="n">
        <v>45.66</v>
      </c>
      <c r="I60" s="8"/>
      <c r="J60" s="8"/>
    </row>
    <row r="61" customFormat="false" ht="15.75" hidden="false" customHeight="false" outlineLevel="0" collapsed="false">
      <c r="A61" s="15" t="s">
        <v>122</v>
      </c>
      <c r="B61" s="8" t="s">
        <v>123</v>
      </c>
      <c r="C61" s="8" t="s">
        <v>69</v>
      </c>
      <c r="D61" s="8" t="n">
        <v>0</v>
      </c>
      <c r="E61" s="8" t="n">
        <v>0</v>
      </c>
      <c r="F61" s="16" t="n">
        <v>11.33</v>
      </c>
      <c r="G61" s="18" t="n">
        <v>0.045</v>
      </c>
      <c r="H61" s="22" t="n">
        <v>11.84</v>
      </c>
      <c r="I61" s="8"/>
      <c r="J61" s="8"/>
    </row>
    <row r="62" customFormat="false" ht="15.75" hidden="false" customHeight="false" outlineLevel="0" collapsed="false">
      <c r="A62" s="15" t="s">
        <v>124</v>
      </c>
      <c r="B62" s="8" t="s">
        <v>125</v>
      </c>
      <c r="C62" s="8" t="s">
        <v>69</v>
      </c>
      <c r="D62" s="8" t="n">
        <v>0</v>
      </c>
      <c r="E62" s="8" t="n">
        <v>0</v>
      </c>
      <c r="F62" s="16" t="n">
        <v>9.71</v>
      </c>
      <c r="G62" s="18" t="n">
        <v>0.045</v>
      </c>
      <c r="H62" s="22" t="n">
        <v>10.15</v>
      </c>
      <c r="I62" s="8"/>
      <c r="J62" s="8"/>
    </row>
    <row r="64" customFormat="false" ht="15.75" hidden="false" customHeight="false" outlineLevel="0" collapsed="false">
      <c r="H64" s="20" t="s">
        <v>126</v>
      </c>
      <c r="I64" s="20"/>
      <c r="J64" s="20"/>
      <c r="K64" s="20"/>
    </row>
    <row r="65" customFormat="false" ht="15.75" hidden="false" customHeight="false" outlineLevel="0" collapsed="false">
      <c r="H65" s="21" t="s">
        <v>127</v>
      </c>
      <c r="I65" s="21"/>
      <c r="J65" s="21"/>
      <c r="K6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5.125" defaultRowHeight="24" zeroHeight="false" outlineLevelRow="0" outlineLevelCol="0"/>
  <cols>
    <col collapsed="false" customWidth="true" hidden="false" outlineLevel="0" max="1" min="1" style="23" width="17.13"/>
    <col collapsed="false" customWidth="true" hidden="false" outlineLevel="0" max="2" min="2" style="24" width="45.63"/>
    <col collapsed="false" customWidth="true" hidden="false" outlineLevel="0" max="3" min="3" style="24" width="18.12"/>
    <col collapsed="false" customWidth="true" hidden="false" outlineLevel="0" max="4" min="4" style="25" width="18.12"/>
    <col collapsed="false" customWidth="true" hidden="false" outlineLevel="0" max="5" min="5" style="1" width="65.12"/>
    <col collapsed="false" customWidth="true" hidden="false" outlineLevel="0" max="6" min="6" style="1" width="23.51"/>
    <col collapsed="false" customWidth="false" hidden="false" outlineLevel="0" max="16384" min="7" style="1" width="15.12"/>
  </cols>
  <sheetData>
    <row r="1" s="30" customFormat="true" ht="43.5" hidden="false" customHeight="true" outlineLevel="0" collapsed="false">
      <c r="A1" s="26" t="s">
        <v>128</v>
      </c>
      <c r="B1" s="27" t="s">
        <v>129</v>
      </c>
      <c r="C1" s="28" t="s">
        <v>130</v>
      </c>
      <c r="D1" s="29" t="s">
        <v>131</v>
      </c>
      <c r="E1" s="27" t="s">
        <v>132</v>
      </c>
      <c r="F1" s="27" t="s">
        <v>133</v>
      </c>
    </row>
    <row r="2" s="30" customFormat="true" ht="39.75" hidden="false" customHeight="true" outlineLevel="0" collapsed="false">
      <c r="A2" s="31" t="s">
        <v>134</v>
      </c>
      <c r="B2" s="2" t="s">
        <v>135</v>
      </c>
      <c r="C2" s="32" t="s">
        <v>136</v>
      </c>
      <c r="D2" s="33"/>
      <c r="E2" s="2" t="s">
        <v>137</v>
      </c>
      <c r="F2" s="2" t="s">
        <v>138</v>
      </c>
    </row>
    <row r="3" s="30" customFormat="true" ht="39.75" hidden="false" customHeight="true" outlineLevel="0" collapsed="false">
      <c r="A3" s="31" t="s">
        <v>139</v>
      </c>
      <c r="B3" s="2" t="s">
        <v>140</v>
      </c>
      <c r="C3" s="32" t="s">
        <v>136</v>
      </c>
      <c r="D3" s="33"/>
      <c r="E3" s="2" t="s">
        <v>141</v>
      </c>
      <c r="F3" s="2" t="s">
        <v>138</v>
      </c>
    </row>
    <row r="4" customFormat="false" ht="27" hidden="false" customHeight="true" outlineLevel="0" collapsed="false">
      <c r="A4" s="31" t="s">
        <v>142</v>
      </c>
      <c r="B4" s="32" t="s">
        <v>143</v>
      </c>
      <c r="C4" s="32" t="s">
        <v>144</v>
      </c>
      <c r="D4" s="33" t="n">
        <v>21</v>
      </c>
      <c r="E4" s="2" t="s">
        <v>145</v>
      </c>
      <c r="F4" s="2" t="s">
        <v>138</v>
      </c>
    </row>
    <row r="5" customFormat="false" ht="27" hidden="false" customHeight="true" outlineLevel="0" collapsed="false">
      <c r="A5" s="31" t="s">
        <v>146</v>
      </c>
      <c r="B5" s="32" t="s">
        <v>147</v>
      </c>
      <c r="C5" s="32" t="s">
        <v>148</v>
      </c>
      <c r="D5" s="33"/>
      <c r="E5" s="2" t="s">
        <v>149</v>
      </c>
      <c r="F5" s="2" t="s">
        <v>138</v>
      </c>
    </row>
    <row r="6" customFormat="false" ht="27" hidden="false" customHeight="true" outlineLevel="0" collapsed="false">
      <c r="A6" s="31" t="s">
        <v>150</v>
      </c>
      <c r="B6" s="32" t="s">
        <v>151</v>
      </c>
      <c r="C6" s="32" t="s">
        <v>148</v>
      </c>
      <c r="D6" s="33"/>
      <c r="E6" s="2" t="s">
        <v>152</v>
      </c>
      <c r="F6" s="2" t="s">
        <v>138</v>
      </c>
    </row>
    <row r="7" customFormat="false" ht="27" hidden="false" customHeight="true" outlineLevel="0" collapsed="false">
      <c r="A7" s="31" t="s">
        <v>153</v>
      </c>
      <c r="B7" s="32" t="s">
        <v>154</v>
      </c>
      <c r="C7" s="32" t="s">
        <v>148</v>
      </c>
      <c r="D7" s="33"/>
      <c r="E7" s="2" t="s">
        <v>155</v>
      </c>
      <c r="F7" s="2" t="s">
        <v>138</v>
      </c>
    </row>
    <row r="8" customFormat="false" ht="39.75" hidden="false" customHeight="true" outlineLevel="0" collapsed="false">
      <c r="A8" s="34" t="s">
        <v>156</v>
      </c>
      <c r="B8" s="32" t="s">
        <v>157</v>
      </c>
      <c r="C8" s="32" t="s">
        <v>158</v>
      </c>
      <c r="D8" s="33"/>
      <c r="E8" s="2" t="s">
        <v>159</v>
      </c>
      <c r="F8" s="2"/>
    </row>
    <row r="9" customFormat="false" ht="27" hidden="false" customHeight="true" outlineLevel="0" collapsed="false">
      <c r="A9" s="35" t="s">
        <v>160</v>
      </c>
      <c r="B9" s="32" t="s">
        <v>161</v>
      </c>
      <c r="C9" s="32" t="s">
        <v>148</v>
      </c>
      <c r="D9" s="33"/>
      <c r="E9" s="2" t="s">
        <v>162</v>
      </c>
      <c r="F9" s="2"/>
    </row>
    <row r="10" customFormat="false" ht="27" hidden="false" customHeight="true" outlineLevel="0" collapsed="false">
      <c r="A10" s="35" t="s">
        <v>163</v>
      </c>
      <c r="B10" s="32" t="s">
        <v>164</v>
      </c>
      <c r="C10" s="32" t="s">
        <v>148</v>
      </c>
      <c r="D10" s="33"/>
      <c r="E10" s="2" t="s">
        <v>162</v>
      </c>
      <c r="F10" s="2"/>
    </row>
    <row r="11" customFormat="false" ht="27" hidden="false" customHeight="true" outlineLevel="0" collapsed="false">
      <c r="A11" s="35" t="s">
        <v>165</v>
      </c>
      <c r="B11" s="32" t="s">
        <v>166</v>
      </c>
      <c r="C11" s="32" t="s">
        <v>148</v>
      </c>
      <c r="D11" s="33"/>
      <c r="E11" s="2" t="s">
        <v>162</v>
      </c>
      <c r="F11" s="2"/>
    </row>
    <row r="12" customFormat="false" ht="27" hidden="false" customHeight="true" outlineLevel="0" collapsed="false">
      <c r="A12" s="35" t="s">
        <v>167</v>
      </c>
      <c r="B12" s="32" t="s">
        <v>168</v>
      </c>
      <c r="C12" s="32" t="s">
        <v>148</v>
      </c>
      <c r="D12" s="33"/>
      <c r="E12" s="2" t="s">
        <v>162</v>
      </c>
      <c r="F12" s="2"/>
    </row>
    <row r="13" customFormat="false" ht="27" hidden="false" customHeight="true" outlineLevel="0" collapsed="false">
      <c r="A13" s="35" t="s">
        <v>169</v>
      </c>
      <c r="B13" s="32" t="s">
        <v>170</v>
      </c>
      <c r="C13" s="32" t="s">
        <v>148</v>
      </c>
      <c r="D13" s="33"/>
      <c r="E13" s="2" t="s">
        <v>162</v>
      </c>
      <c r="F13" s="2"/>
    </row>
    <row r="14" customFormat="false" ht="27" hidden="false" customHeight="true" outlineLevel="0" collapsed="false">
      <c r="A14" s="31" t="s">
        <v>171</v>
      </c>
      <c r="B14" s="35" t="s">
        <v>172</v>
      </c>
      <c r="C14" s="32" t="s">
        <v>148</v>
      </c>
      <c r="D14" s="33"/>
      <c r="E14" s="2" t="s">
        <v>173</v>
      </c>
      <c r="F14" s="2"/>
    </row>
    <row r="15" customFormat="false" ht="27" hidden="false" customHeight="true" outlineLevel="0" collapsed="false">
      <c r="A15" s="31" t="s">
        <v>174</v>
      </c>
      <c r="B15" s="35" t="s">
        <v>175</v>
      </c>
      <c r="C15" s="32" t="s">
        <v>176</v>
      </c>
      <c r="D15" s="33"/>
      <c r="E15" s="2" t="s">
        <v>177</v>
      </c>
      <c r="F15" s="2"/>
    </row>
    <row r="16" customFormat="false" ht="27" hidden="false" customHeight="true" outlineLevel="0" collapsed="false">
      <c r="A16" s="31" t="s">
        <v>178</v>
      </c>
      <c r="B16" s="32" t="s">
        <v>179</v>
      </c>
      <c r="C16" s="32" t="s">
        <v>176</v>
      </c>
      <c r="D16" s="33"/>
      <c r="E16" s="2" t="s">
        <v>180</v>
      </c>
      <c r="F16" s="2" t="s">
        <v>181</v>
      </c>
    </row>
    <row r="17" customFormat="false" ht="39.75" hidden="false" customHeight="true" outlineLevel="0" collapsed="false">
      <c r="A17" s="31" t="s">
        <v>182</v>
      </c>
      <c r="B17" s="32" t="s">
        <v>183</v>
      </c>
      <c r="C17" s="32" t="s">
        <v>148</v>
      </c>
      <c r="D17" s="33"/>
      <c r="E17" s="32" t="s">
        <v>184</v>
      </c>
      <c r="F17" s="2" t="s">
        <v>181</v>
      </c>
    </row>
    <row r="18" customFormat="false" ht="39.75" hidden="false" customHeight="true" outlineLevel="0" collapsed="false">
      <c r="A18" s="31" t="s">
        <v>185</v>
      </c>
      <c r="B18" s="32" t="s">
        <v>186</v>
      </c>
      <c r="C18" s="32" t="s">
        <v>148</v>
      </c>
      <c r="D18" s="33"/>
      <c r="E18" s="32" t="s">
        <v>187</v>
      </c>
      <c r="F18" s="2"/>
    </row>
    <row r="19" customFormat="false" ht="27" hidden="false" customHeight="true" outlineLevel="0" collapsed="false">
      <c r="A19" s="36" t="s">
        <v>188</v>
      </c>
      <c r="B19" s="24" t="s">
        <v>189</v>
      </c>
      <c r="C19" s="32" t="s">
        <v>148</v>
      </c>
      <c r="D19" s="33"/>
      <c r="E19" s="2" t="s">
        <v>190</v>
      </c>
      <c r="F19" s="2"/>
    </row>
    <row r="20" customFormat="false" ht="27" hidden="false" customHeight="true" outlineLevel="0" collapsed="false">
      <c r="A20" s="37" t="s">
        <v>191</v>
      </c>
      <c r="B20" s="35" t="s">
        <v>192</v>
      </c>
      <c r="C20" s="32" t="s">
        <v>193</v>
      </c>
      <c r="D20" s="33"/>
      <c r="E20" s="2" t="s">
        <v>194</v>
      </c>
      <c r="F20" s="2"/>
    </row>
    <row r="21" customFormat="false" ht="27" hidden="false" customHeight="true" outlineLevel="0" collapsed="false">
      <c r="A21" s="37" t="s">
        <v>195</v>
      </c>
      <c r="B21" s="37" t="s">
        <v>196</v>
      </c>
      <c r="C21" s="32" t="s">
        <v>197</v>
      </c>
      <c r="D21" s="33"/>
      <c r="E21" s="2" t="s">
        <v>198</v>
      </c>
      <c r="F21" s="2"/>
    </row>
    <row r="22" customFormat="false" ht="27" hidden="false" customHeight="true" outlineLevel="0" collapsed="false">
      <c r="A22" s="31" t="s">
        <v>199</v>
      </c>
      <c r="B22" s="32" t="s">
        <v>200</v>
      </c>
      <c r="C22" s="32" t="s">
        <v>201</v>
      </c>
      <c r="D22" s="33" t="n">
        <v>1.8</v>
      </c>
      <c r="E22" s="2" t="s">
        <v>202</v>
      </c>
      <c r="F22" s="2"/>
    </row>
    <row r="23" customFormat="false" ht="27" hidden="false" customHeight="true" outlineLevel="0" collapsed="false">
      <c r="A23" s="38" t="s">
        <v>203</v>
      </c>
      <c r="B23" s="32" t="s">
        <v>204</v>
      </c>
      <c r="C23" s="32" t="s">
        <v>205</v>
      </c>
      <c r="D23" s="33"/>
      <c r="E23" s="2" t="s">
        <v>206</v>
      </c>
      <c r="F23" s="2"/>
    </row>
    <row r="24" customFormat="false" ht="27" hidden="false" customHeight="true" outlineLevel="0" collapsed="false">
      <c r="A24" s="35" t="s">
        <v>207</v>
      </c>
      <c r="B24" s="32" t="s">
        <v>208</v>
      </c>
      <c r="C24" s="32"/>
      <c r="D24" s="33"/>
      <c r="E24" s="2" t="s">
        <v>209</v>
      </c>
      <c r="F24" s="2"/>
    </row>
    <row r="25" customFormat="false" ht="27" hidden="false" customHeight="true" outlineLevel="0" collapsed="false">
      <c r="A25" s="39" t="s">
        <v>210</v>
      </c>
      <c r="B25" s="32" t="s">
        <v>211</v>
      </c>
      <c r="C25" s="32" t="s">
        <v>212</v>
      </c>
      <c r="D25" s="33"/>
      <c r="E25" s="2" t="s">
        <v>213</v>
      </c>
      <c r="F25" s="2"/>
    </row>
    <row r="26" customFormat="false" ht="27" hidden="false" customHeight="true" outlineLevel="0" collapsed="false">
      <c r="A26" s="38" t="s">
        <v>214</v>
      </c>
      <c r="B26" s="32" t="s">
        <v>215</v>
      </c>
      <c r="C26" s="32" t="s">
        <v>212</v>
      </c>
      <c r="D26" s="33"/>
      <c r="E26" s="2" t="s">
        <v>213</v>
      </c>
      <c r="F26" s="2"/>
    </row>
    <row r="27" customFormat="false" ht="27" hidden="false" customHeight="true" outlineLevel="0" collapsed="false">
      <c r="A27" s="38" t="s">
        <v>216</v>
      </c>
      <c r="B27" s="32" t="s">
        <v>217</v>
      </c>
      <c r="C27" s="32" t="s">
        <v>212</v>
      </c>
      <c r="D27" s="33"/>
      <c r="E27" s="2" t="s">
        <v>213</v>
      </c>
      <c r="F27" s="2"/>
    </row>
    <row r="28" customFormat="false" ht="27" hidden="false" customHeight="true" outlineLevel="0" collapsed="false">
      <c r="A28" s="38" t="s">
        <v>218</v>
      </c>
      <c r="B28" s="32" t="s">
        <v>219</v>
      </c>
      <c r="C28" s="32" t="s">
        <v>212</v>
      </c>
      <c r="D28" s="33"/>
      <c r="E28" s="2" t="s">
        <v>213</v>
      </c>
      <c r="F28" s="2"/>
    </row>
    <row r="29" customFormat="false" ht="27" hidden="false" customHeight="true" outlineLevel="0" collapsed="false">
      <c r="A29" s="40"/>
    </row>
    <row r="30" customFormat="false" ht="18.75" hidden="false" customHeight="true" outlineLevel="0" collapsed="false">
      <c r="A30" s="41"/>
    </row>
    <row r="31" customFormat="false" ht="18.75" hidden="false" customHeight="true" outlineLevel="0" collapsed="false">
      <c r="A31" s="41"/>
    </row>
    <row r="32" customFormat="false" ht="18.75" hidden="false" customHeight="true" outlineLevel="0" collapsed="false">
      <c r="A32" s="41"/>
    </row>
    <row r="33" s="1" customFormat="true" ht="18.75" hidden="false" customHeight="true" outlineLevel="0" collapsed="false">
      <c r="A33" s="42"/>
      <c r="B33" s="41"/>
      <c r="D33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3" activeCellId="0" sqref="B3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0" width="28.37"/>
    <col collapsed="false" customWidth="true" hidden="false" outlineLevel="0" max="10" min="2" style="0" width="18.88"/>
    <col collapsed="false" customWidth="true" hidden="false" outlineLevel="0" max="11" min="11" style="0" width="36.63"/>
  </cols>
  <sheetData>
    <row r="1" customFormat="false" ht="15.75" hidden="false" customHeight="true" outlineLevel="0" collapsed="false">
      <c r="A1" s="20"/>
      <c r="B1" s="44" t="s">
        <v>220</v>
      </c>
      <c r="C1" s="44" t="s">
        <v>221</v>
      </c>
      <c r="D1" s="44" t="s">
        <v>222</v>
      </c>
      <c r="E1" s="44" t="s">
        <v>223</v>
      </c>
      <c r="F1" s="44" t="s">
        <v>224</v>
      </c>
      <c r="G1" s="44" t="s">
        <v>225</v>
      </c>
      <c r="H1" s="44" t="s">
        <v>226</v>
      </c>
      <c r="I1" s="44" t="s">
        <v>226</v>
      </c>
      <c r="J1" s="44" t="s">
        <v>226</v>
      </c>
    </row>
    <row r="2" customFormat="false" ht="15.75" hidden="false" customHeight="false" outlineLevel="0" collapsed="false">
      <c r="A2" s="45" t="s">
        <v>227</v>
      </c>
      <c r="B2" s="46" t="n">
        <v>1.8</v>
      </c>
      <c r="C2" s="46" t="n">
        <v>0.225</v>
      </c>
      <c r="D2" s="46" t="n">
        <v>1.2</v>
      </c>
      <c r="E2" s="46" t="n">
        <v>0.6</v>
      </c>
      <c r="F2" s="46" t="n">
        <v>1.2</v>
      </c>
      <c r="G2" s="46" t="n">
        <v>0.35</v>
      </c>
      <c r="H2" s="46"/>
      <c r="I2" s="46"/>
      <c r="J2" s="46"/>
      <c r="K2" s="46" t="s">
        <v>228</v>
      </c>
    </row>
    <row r="3" customFormat="false" ht="15.75" hidden="false" customHeight="false" outlineLevel="0" collapsed="false">
      <c r="A3" s="45" t="s">
        <v>229</v>
      </c>
      <c r="B3" s="46" t="n">
        <v>0.3</v>
      </c>
      <c r="C3" s="46" t="n">
        <v>0.45</v>
      </c>
      <c r="D3" s="46" t="n">
        <v>0.6</v>
      </c>
      <c r="E3" s="46" t="n">
        <v>0.6</v>
      </c>
      <c r="F3" s="46" t="n">
        <v>0.3</v>
      </c>
      <c r="G3" s="46" t="n">
        <v>0.14</v>
      </c>
      <c r="H3" s="46"/>
      <c r="I3" s="46"/>
      <c r="J3" s="46"/>
      <c r="K3" s="46" t="s">
        <v>228</v>
      </c>
    </row>
    <row r="4" customFormat="false" ht="15.75" hidden="false" customHeight="false" outlineLevel="0" collapsed="false">
      <c r="A4" s="45" t="s">
        <v>230</v>
      </c>
      <c r="B4" s="47" t="n">
        <f aca="false">B2*B3</f>
        <v>0.54</v>
      </c>
      <c r="C4" s="47" t="n">
        <f aca="false">C2*C3</f>
        <v>0.10125</v>
      </c>
      <c r="D4" s="47" t="n">
        <f aca="false">D2*D3</f>
        <v>0.72</v>
      </c>
      <c r="E4" s="47" t="n">
        <f aca="false">E2*E3</f>
        <v>0.36</v>
      </c>
      <c r="F4" s="47" t="n">
        <f aca="false">F2*F3</f>
        <v>0.36</v>
      </c>
      <c r="G4" s="47" t="n">
        <f aca="false">G2*G3</f>
        <v>0.049</v>
      </c>
      <c r="H4" s="47" t="n">
        <f aca="false">H2*H3</f>
        <v>0</v>
      </c>
      <c r="I4" s="47" t="n">
        <f aca="false">I2*I3</f>
        <v>0</v>
      </c>
      <c r="J4" s="47" t="n">
        <f aca="false">J2*J3</f>
        <v>0</v>
      </c>
      <c r="K4" s="47" t="s">
        <v>231</v>
      </c>
    </row>
    <row r="5" customFormat="false" ht="95.25" hidden="false" customHeight="true" outlineLevel="0" collapsed="false">
      <c r="A5" s="48" t="s">
        <v>232</v>
      </c>
      <c r="B5" s="49" t="n">
        <f aca="false">B4*35</f>
        <v>18.9</v>
      </c>
      <c r="C5" s="49" t="n">
        <f aca="false">C4*13</f>
        <v>1.31625</v>
      </c>
      <c r="D5" s="49" t="n">
        <f aca="false">D4*14</f>
        <v>10.08</v>
      </c>
      <c r="E5" s="49" t="n">
        <f aca="false">E4*14</f>
        <v>5.04</v>
      </c>
      <c r="F5" s="49" t="n">
        <f aca="false">F4*20</f>
        <v>7.2</v>
      </c>
      <c r="G5" s="49" t="n">
        <f aca="false">G4*13</f>
        <v>0.637</v>
      </c>
      <c r="H5" s="49" t="n">
        <f aca="false">H4*0</f>
        <v>0</v>
      </c>
      <c r="I5" s="49" t="n">
        <f aca="false">I4*0</f>
        <v>0</v>
      </c>
      <c r="J5" s="49" t="n">
        <f aca="false">J4*0</f>
        <v>0</v>
      </c>
      <c r="K5" s="47" t="s">
        <v>231</v>
      </c>
    </row>
    <row r="6" customFormat="false" ht="48.75" hidden="false" customHeight="true" outlineLevel="0" collapsed="false">
      <c r="A6" s="50" t="s">
        <v>233</v>
      </c>
      <c r="B6" s="49" t="n">
        <f aca="false">B4*(40)</f>
        <v>21.6</v>
      </c>
      <c r="C6" s="49" t="n">
        <f aca="false">C4*(40)</f>
        <v>4.05</v>
      </c>
      <c r="D6" s="49" t="n">
        <f aca="false">D4*(7)</f>
        <v>5.04</v>
      </c>
      <c r="E6" s="49" t="n">
        <f aca="false">E4*(7)</f>
        <v>2.52</v>
      </c>
      <c r="F6" s="49" t="n">
        <f aca="false">F4*(7)</f>
        <v>2.52</v>
      </c>
      <c r="G6" s="49" t="n">
        <f aca="false">G4*(11)</f>
        <v>0.539</v>
      </c>
      <c r="H6" s="49" t="n">
        <f aca="false">H4*(0)</f>
        <v>0</v>
      </c>
      <c r="I6" s="49" t="n">
        <f aca="false">I4*(0)</f>
        <v>0</v>
      </c>
      <c r="J6" s="49" t="n">
        <f aca="false">J4*(0)</f>
        <v>0</v>
      </c>
      <c r="K6" s="47" t="s">
        <v>231</v>
      </c>
    </row>
    <row r="7" customFormat="false" ht="15.75" hidden="false" customHeight="true" outlineLevel="0" collapsed="false">
      <c r="A7" s="45" t="s">
        <v>234</v>
      </c>
      <c r="B7" s="47" t="n">
        <f aca="false">B5+B6</f>
        <v>40.5</v>
      </c>
      <c r="C7" s="47" t="n">
        <f aca="false">C5+C6</f>
        <v>5.36625</v>
      </c>
      <c r="D7" s="47" t="n">
        <f aca="false">D5+D6</f>
        <v>15.12</v>
      </c>
      <c r="E7" s="47" t="n">
        <f aca="false">E5+E6</f>
        <v>7.56</v>
      </c>
      <c r="F7" s="47" t="n">
        <f aca="false">F5+F6</f>
        <v>9.72</v>
      </c>
      <c r="G7" s="47" t="n">
        <f aca="false">G5+G6</f>
        <v>1.176</v>
      </c>
      <c r="H7" s="47"/>
      <c r="I7" s="47"/>
      <c r="J7" s="47"/>
      <c r="K7" s="47" t="s">
        <v>231</v>
      </c>
    </row>
    <row r="8" customFormat="false" ht="15.75" hidden="false" customHeight="true" outlineLevel="0" collapsed="false">
      <c r="A8" s="51" t="s">
        <v>130</v>
      </c>
      <c r="B8" s="52" t="str">
        <f aca="false">TEXT(B2*1000,"0")&amp;" x "&amp;TEXT(B3*1000,"0")</f>
        <v>1800 x 300</v>
      </c>
      <c r="C8" s="52" t="str">
        <f aca="false">TEXT(C2*1000,"0")&amp;" x "&amp;TEXT(C3*1000,"0")</f>
        <v>225 x 450</v>
      </c>
      <c r="D8" s="52" t="str">
        <f aca="false">TEXT(D2*1000,"0")&amp;" x "&amp;TEXT(D3*1000,"0")</f>
        <v>1200 x 600</v>
      </c>
      <c r="E8" s="52" t="str">
        <f aca="false">TEXT(E2*1000,"0")&amp;" x "&amp;TEXT(E3*1000,"0")</f>
        <v>600 x 600</v>
      </c>
      <c r="F8" s="52" t="str">
        <f aca="false">TEXT(F2*1000,"0")&amp;" x "&amp;TEXT(F3*1000,"0")</f>
        <v>1200 x 300</v>
      </c>
      <c r="G8" s="52" t="str">
        <f aca="false">TEXT(G2*1000,"0")&amp;" x "&amp;TEXT(G3*1000,"0")</f>
        <v>350 x 140</v>
      </c>
      <c r="H8" s="52" t="str">
        <f aca="false">TEXT(H2*1000,"0")&amp;" x "&amp;TEXT(H3*1000,"0")</f>
        <v>0 x 0</v>
      </c>
      <c r="I8" s="52" t="str">
        <f aca="false">TEXT(I2*1000,"0")&amp;" x "&amp;TEXT(I3*1000,"0")</f>
        <v>0 x 0</v>
      </c>
      <c r="J8" s="52" t="str">
        <f aca="false">TEXT(J2*1000,"0")&amp;" x "&amp;TEXT(J3*1000,"0")</f>
        <v>0 x 0</v>
      </c>
      <c r="K8" s="47" t="s">
        <v>231</v>
      </c>
    </row>
    <row r="9" customFormat="false" ht="15.75" hidden="false" customHeight="true" outlineLevel="0" collapsed="false">
      <c r="A9" s="45" t="s">
        <v>235</v>
      </c>
      <c r="B9" s="53" t="n">
        <f aca="false">B7*1.65</f>
        <v>66.825</v>
      </c>
      <c r="C9" s="53" t="n">
        <f aca="false">C7*1.65</f>
        <v>8.8543125</v>
      </c>
      <c r="D9" s="53" t="n">
        <f aca="false">D7*1.65</f>
        <v>24.948</v>
      </c>
      <c r="E9" s="53" t="n">
        <f aca="false">E7*1.65</f>
        <v>12.474</v>
      </c>
      <c r="F9" s="53" t="n">
        <f aca="false">F7*1.65</f>
        <v>16.038</v>
      </c>
      <c r="G9" s="53" t="n">
        <f aca="false">G7*1.65</f>
        <v>1.9404</v>
      </c>
      <c r="H9" s="53" t="n">
        <f aca="false">H7*1.65</f>
        <v>0</v>
      </c>
      <c r="I9" s="53" t="n">
        <f aca="false">I7*1.65</f>
        <v>0</v>
      </c>
      <c r="J9" s="53" t="n">
        <f aca="false">J7*1.65</f>
        <v>0</v>
      </c>
      <c r="K9" s="47" t="s">
        <v>231</v>
      </c>
    </row>
    <row r="10" customFormat="false" ht="15.75" hidden="false" customHeight="true" outlineLevel="0" collapsed="false">
      <c r="A10" s="45" t="s">
        <v>236</v>
      </c>
    </row>
    <row r="11" customFormat="false" ht="15.75" hidden="false" customHeight="true" outlineLevel="0" collapsed="false">
      <c r="E11" s="54"/>
      <c r="F11" s="55"/>
      <c r="G11" s="55"/>
      <c r="H11" s="55"/>
      <c r="I11" s="55"/>
      <c r="J11" s="55"/>
    </row>
    <row r="12" s="56" customFormat="true" ht="15.75" hidden="false" customHeight="true" outlineLevel="0" collapsed="false">
      <c r="A12" s="56" t="s">
        <v>237</v>
      </c>
    </row>
    <row r="17" customFormat="false" ht="15.75" hidden="false" customHeight="true" outlineLevel="0" collapsed="false">
      <c r="B17" s="54"/>
    </row>
    <row r="18" customFormat="false" ht="15.75" hidden="false" customHeight="true" outlineLevel="0" collapsed="false">
      <c r="B18" s="54"/>
    </row>
    <row r="19" customFormat="false" ht="15.75" hidden="false" customHeight="true" outlineLevel="0" collapsed="false">
      <c r="B19" s="54"/>
    </row>
    <row r="20" customFormat="false" ht="15.75" hidden="false" customHeight="true" outlineLevel="0" collapsed="false">
      <c r="B20" s="54"/>
    </row>
    <row r="21" customFormat="false" ht="15.75" hidden="false" customHeight="true" outlineLevel="0" collapsed="false">
      <c r="B21" s="54"/>
    </row>
    <row r="22" customFormat="false" ht="15.75" hidden="false" customHeight="true" outlineLevel="0" collapsed="false">
      <c r="B22" s="54"/>
    </row>
    <row r="23" customFormat="false" ht="15.75" hidden="false" customHeight="true" outlineLevel="0" collapsed="false">
      <c r="B23" s="54"/>
    </row>
    <row r="24" customFormat="false" ht="15.75" hidden="false" customHeight="true" outlineLevel="0" collapsed="false">
      <c r="B24" s="54"/>
    </row>
    <row r="25" customFormat="false" ht="15.75" hidden="false" customHeight="true" outlineLevel="0" collapsed="false">
      <c r="B25" s="54"/>
    </row>
    <row r="26" customFormat="false" ht="15.75" hidden="false" customHeight="true" outlineLevel="0" collapsed="false">
      <c r="B26" s="54"/>
    </row>
    <row r="27" customFormat="false" ht="15.75" hidden="false" customHeight="true" outlineLevel="0" collapsed="false">
      <c r="B27" s="54"/>
    </row>
    <row r="28" customFormat="false" ht="15.75" hidden="false" customHeight="true" outlineLevel="0" collapsed="false">
      <c r="B28" s="54"/>
    </row>
    <row r="29" customFormat="false" ht="15.75" hidden="false" customHeight="true" outlineLevel="0" collapsed="false">
      <c r="B29" s="54"/>
    </row>
    <row r="30" customFormat="false" ht="15.75" hidden="false" customHeight="true" outlineLevel="0" collapsed="false">
      <c r="B30" s="54"/>
    </row>
    <row r="31" customFormat="false" ht="15.75" hidden="false" customHeight="true" outlineLevel="0" collapsed="false">
      <c r="B31" s="54"/>
    </row>
    <row r="32" customFormat="false" ht="15.75" hidden="false" customHeight="true" outlineLevel="0" collapsed="false">
      <c r="B32" s="54"/>
    </row>
    <row r="33" customFormat="false" ht="15.75" hidden="false" customHeight="true" outlineLevel="0" collapsed="false">
      <c r="B33" s="54"/>
    </row>
    <row r="34" customFormat="false" ht="15.75" hidden="false" customHeight="true" outlineLevel="0" collapsed="false">
      <c r="B34" s="54"/>
    </row>
    <row r="35" customFormat="false" ht="15.75" hidden="false" customHeight="true" outlineLevel="0" collapsed="false">
      <c r="B35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0" width="28.37"/>
    <col collapsed="false" customWidth="true" hidden="false" outlineLevel="0" max="10" min="2" style="0" width="18.88"/>
    <col collapsed="false" customWidth="true" hidden="false" outlineLevel="0" max="11" min="11" style="0" width="36.63"/>
  </cols>
  <sheetData>
    <row r="1" customFormat="false" ht="15.75" hidden="false" customHeight="true" outlineLevel="0" collapsed="false">
      <c r="A1" s="20"/>
      <c r="B1" s="44" t="s">
        <v>220</v>
      </c>
      <c r="C1" s="44" t="s">
        <v>221</v>
      </c>
      <c r="D1" s="44" t="s">
        <v>222</v>
      </c>
      <c r="E1" s="44" t="s">
        <v>223</v>
      </c>
      <c r="F1" s="44" t="s">
        <v>224</v>
      </c>
      <c r="G1" s="44" t="s">
        <v>225</v>
      </c>
      <c r="H1" s="44" t="s">
        <v>226</v>
      </c>
      <c r="I1" s="44" t="s">
        <v>226</v>
      </c>
      <c r="J1" s="44" t="s">
        <v>226</v>
      </c>
    </row>
    <row r="2" customFormat="false" ht="15.75" hidden="false" customHeight="false" outlineLevel="0" collapsed="false">
      <c r="A2" s="45" t="s">
        <v>227</v>
      </c>
      <c r="B2" s="46" t="n">
        <v>1.8</v>
      </c>
      <c r="C2" s="46" t="n">
        <v>0.225</v>
      </c>
      <c r="D2" s="46" t="n">
        <v>1.2</v>
      </c>
      <c r="E2" s="46" t="n">
        <v>0.6</v>
      </c>
      <c r="F2" s="46" t="n">
        <v>1.2</v>
      </c>
      <c r="G2" s="46" t="n">
        <v>0.35</v>
      </c>
      <c r="H2" s="46"/>
      <c r="I2" s="46"/>
      <c r="J2" s="46"/>
      <c r="K2" s="46" t="s">
        <v>228</v>
      </c>
    </row>
    <row r="3" customFormat="false" ht="15.75" hidden="false" customHeight="false" outlineLevel="0" collapsed="false">
      <c r="A3" s="45" t="s">
        <v>229</v>
      </c>
      <c r="B3" s="46" t="n">
        <v>0.3</v>
      </c>
      <c r="C3" s="46" t="n">
        <v>0.45</v>
      </c>
      <c r="D3" s="46" t="n">
        <v>0.6</v>
      </c>
      <c r="E3" s="46" t="n">
        <v>0.6</v>
      </c>
      <c r="F3" s="46" t="n">
        <v>0.3</v>
      </c>
      <c r="G3" s="46" t="n">
        <v>0.14</v>
      </c>
      <c r="H3" s="46"/>
      <c r="I3" s="46"/>
      <c r="J3" s="46"/>
      <c r="K3" s="46" t="s">
        <v>228</v>
      </c>
    </row>
    <row r="4" customFormat="false" ht="15.75" hidden="false" customHeight="false" outlineLevel="0" collapsed="false">
      <c r="A4" s="45" t="s">
        <v>230</v>
      </c>
      <c r="B4" s="47" t="n">
        <f aca="false">B2*B3</f>
        <v>0.54</v>
      </c>
      <c r="C4" s="47" t="n">
        <f aca="false">C2*C3</f>
        <v>0.10125</v>
      </c>
      <c r="D4" s="47" t="n">
        <f aca="false">D2*D3</f>
        <v>0.72</v>
      </c>
      <c r="E4" s="47" t="n">
        <f aca="false">E2*E3</f>
        <v>0.36</v>
      </c>
      <c r="F4" s="47" t="n">
        <f aca="false">F2*F3</f>
        <v>0.36</v>
      </c>
      <c r="G4" s="47" t="n">
        <f aca="false">G2*G3</f>
        <v>0.049</v>
      </c>
      <c r="H4" s="47" t="n">
        <f aca="false">H2*H3</f>
        <v>0</v>
      </c>
      <c r="I4" s="47" t="n">
        <f aca="false">I2*I3</f>
        <v>0</v>
      </c>
      <c r="J4" s="47" t="n">
        <f aca="false">J2*J3</f>
        <v>0</v>
      </c>
      <c r="K4" s="47" t="s">
        <v>231</v>
      </c>
    </row>
    <row r="5" customFormat="false" ht="95.25" hidden="false" customHeight="true" outlineLevel="0" collapsed="false">
      <c r="A5" s="48" t="s">
        <v>232</v>
      </c>
      <c r="B5" s="49" t="n">
        <f aca="false">B4*35</f>
        <v>18.9</v>
      </c>
      <c r="C5" s="49" t="n">
        <f aca="false">C4*13</f>
        <v>1.31625</v>
      </c>
      <c r="D5" s="49" t="n">
        <f aca="false">D4*14</f>
        <v>10.08</v>
      </c>
      <c r="E5" s="49" t="n">
        <f aca="false">E4*14</f>
        <v>5.04</v>
      </c>
      <c r="F5" s="49" t="n">
        <f aca="false">F4*20</f>
        <v>7.2</v>
      </c>
      <c r="G5" s="49" t="n">
        <f aca="false">G4*13</f>
        <v>0.637</v>
      </c>
      <c r="H5" s="49" t="n">
        <f aca="false">H4*0</f>
        <v>0</v>
      </c>
      <c r="I5" s="49" t="n">
        <f aca="false">I4*0</f>
        <v>0</v>
      </c>
      <c r="J5" s="49" t="n">
        <f aca="false">J4*0</f>
        <v>0</v>
      </c>
      <c r="K5" s="47" t="s">
        <v>231</v>
      </c>
    </row>
    <row r="6" customFormat="false" ht="48.75" hidden="false" customHeight="true" outlineLevel="0" collapsed="false">
      <c r="A6" s="50" t="s">
        <v>238</v>
      </c>
      <c r="B6" s="49" t="n">
        <f aca="false">B4*(41)</f>
        <v>22.14</v>
      </c>
      <c r="C6" s="49" t="n">
        <f aca="false">C4*(41)</f>
        <v>4.15125</v>
      </c>
      <c r="D6" s="49" t="n">
        <f aca="false">D4*(7)</f>
        <v>5.04</v>
      </c>
      <c r="E6" s="49" t="n">
        <f aca="false">E4*(7)</f>
        <v>2.52</v>
      </c>
      <c r="F6" s="49" t="n">
        <f aca="false">F4*(7)</f>
        <v>2.52</v>
      </c>
      <c r="G6" s="49" t="n">
        <f aca="false">G4*(11)</f>
        <v>0.539</v>
      </c>
      <c r="H6" s="49" t="n">
        <f aca="false">H4*(0)</f>
        <v>0</v>
      </c>
      <c r="I6" s="49" t="n">
        <f aca="false">I4*(0)</f>
        <v>0</v>
      </c>
      <c r="J6" s="49" t="n">
        <f aca="false">J4*(0)</f>
        <v>0</v>
      </c>
      <c r="K6" s="47" t="s">
        <v>231</v>
      </c>
    </row>
    <row r="7" customFormat="false" ht="15.75" hidden="false" customHeight="true" outlineLevel="0" collapsed="false">
      <c r="A7" s="45" t="s">
        <v>234</v>
      </c>
      <c r="B7" s="47" t="n">
        <f aca="false">B5+B6</f>
        <v>41.04</v>
      </c>
      <c r="C7" s="47" t="n">
        <f aca="false">C5+C6</f>
        <v>5.4675</v>
      </c>
      <c r="D7" s="47" t="n">
        <f aca="false">D5+D6</f>
        <v>15.12</v>
      </c>
      <c r="E7" s="47" t="n">
        <f aca="false">E5+E6</f>
        <v>7.56</v>
      </c>
      <c r="F7" s="47" t="n">
        <f aca="false">F5+F6</f>
        <v>9.72</v>
      </c>
      <c r="G7" s="47" t="n">
        <f aca="false">G5+G6</f>
        <v>1.176</v>
      </c>
      <c r="H7" s="47"/>
      <c r="I7" s="47"/>
      <c r="J7" s="47"/>
      <c r="K7" s="47" t="s">
        <v>231</v>
      </c>
    </row>
    <row r="8" customFormat="false" ht="15.75" hidden="false" customHeight="true" outlineLevel="0" collapsed="false">
      <c r="A8" s="51" t="s">
        <v>130</v>
      </c>
      <c r="B8" s="52" t="str">
        <f aca="false">TEXT(B2*1000,"0")&amp;" x "&amp;TEXT(B3*1000,"0")</f>
        <v>1800 x 300</v>
      </c>
      <c r="C8" s="52" t="str">
        <f aca="false">TEXT(C2*1000,"0")&amp;" x "&amp;TEXT(C3*1000,"0")</f>
        <v>225 x 450</v>
      </c>
      <c r="D8" s="52" t="str">
        <f aca="false">TEXT(D2*1000,"0")&amp;" x "&amp;TEXT(D3*1000,"0")</f>
        <v>1200 x 600</v>
      </c>
      <c r="E8" s="52" t="str">
        <f aca="false">TEXT(E2*1000,"0")&amp;" x "&amp;TEXT(E3*1000,"0")</f>
        <v>600 x 600</v>
      </c>
      <c r="F8" s="52" t="str">
        <f aca="false">TEXT(F2*1000,"0")&amp;" x "&amp;TEXT(F3*1000,"0")</f>
        <v>1200 x 300</v>
      </c>
      <c r="G8" s="52" t="str">
        <f aca="false">TEXT(G2*1000,"0")&amp;" x "&amp;TEXT(G3*1000,"0")</f>
        <v>350 x 140</v>
      </c>
      <c r="H8" s="52" t="str">
        <f aca="false">TEXT(H2*1000,"0")&amp;" x "&amp;TEXT(H3*1000,"0")</f>
        <v>0 x 0</v>
      </c>
      <c r="I8" s="52" t="str">
        <f aca="false">TEXT(I2*1000,"0")&amp;" x "&amp;TEXT(I3*1000,"0")</f>
        <v>0 x 0</v>
      </c>
      <c r="J8" s="52" t="str">
        <f aca="false">TEXT(J2*1000,"0")&amp;" x "&amp;TEXT(J3*1000,"0")</f>
        <v>0 x 0</v>
      </c>
      <c r="K8" s="47" t="s">
        <v>231</v>
      </c>
    </row>
    <row r="9" customFormat="false" ht="15.75" hidden="false" customHeight="true" outlineLevel="0" collapsed="false">
      <c r="A9" s="45" t="s">
        <v>235</v>
      </c>
      <c r="B9" s="53" t="n">
        <f aca="false">B7*1.65</f>
        <v>67.716</v>
      </c>
      <c r="C9" s="53" t="n">
        <f aca="false">C7*1.65</f>
        <v>9.021375</v>
      </c>
      <c r="D9" s="53" t="n">
        <f aca="false">D7*1.65</f>
        <v>24.948</v>
      </c>
      <c r="E9" s="53" t="n">
        <f aca="false">E7*1.65</f>
        <v>12.474</v>
      </c>
      <c r="F9" s="53" t="n">
        <f aca="false">F7*1.65</f>
        <v>16.038</v>
      </c>
      <c r="G9" s="53" t="n">
        <f aca="false">G7*1.65</f>
        <v>1.9404</v>
      </c>
      <c r="H9" s="53" t="n">
        <f aca="false">H7*1.65</f>
        <v>0</v>
      </c>
      <c r="I9" s="53" t="n">
        <f aca="false">I7*1.65</f>
        <v>0</v>
      </c>
      <c r="J9" s="53" t="n">
        <f aca="false">J7*1.65</f>
        <v>0</v>
      </c>
      <c r="K9" s="47" t="s">
        <v>231</v>
      </c>
    </row>
    <row r="10" customFormat="false" ht="15.75" hidden="false" customHeight="true" outlineLevel="0" collapsed="false">
      <c r="A10" s="45" t="s">
        <v>236</v>
      </c>
    </row>
    <row r="11" customFormat="false" ht="48" hidden="false" customHeight="true" outlineLevel="0" collapsed="false">
      <c r="A11" s="57" t="s">
        <v>239</v>
      </c>
      <c r="E11" s="54"/>
      <c r="F11" s="55"/>
      <c r="G11" s="55"/>
      <c r="H11" s="55"/>
      <c r="I11" s="55"/>
      <c r="J11" s="55"/>
    </row>
    <row r="12" s="56" customFormat="true" ht="15.75" hidden="false" customHeight="true" outlineLevel="0" collapsed="false">
      <c r="A12" s="56" t="s">
        <v>237</v>
      </c>
    </row>
    <row r="17" customFormat="false" ht="15.75" hidden="false" customHeight="true" outlineLevel="0" collapsed="false">
      <c r="B17" s="54"/>
    </row>
    <row r="18" customFormat="false" ht="15.75" hidden="false" customHeight="true" outlineLevel="0" collapsed="false">
      <c r="B18" s="54"/>
    </row>
    <row r="19" customFormat="false" ht="15.75" hidden="false" customHeight="true" outlineLevel="0" collapsed="false">
      <c r="B19" s="54"/>
    </row>
    <row r="20" customFormat="false" ht="15.75" hidden="false" customHeight="true" outlineLevel="0" collapsed="false">
      <c r="B20" s="54"/>
    </row>
    <row r="21" customFormat="false" ht="15.75" hidden="false" customHeight="true" outlineLevel="0" collapsed="false">
      <c r="B21" s="54"/>
    </row>
    <row r="22" customFormat="false" ht="15.75" hidden="false" customHeight="true" outlineLevel="0" collapsed="false">
      <c r="B22" s="54"/>
    </row>
    <row r="23" customFormat="false" ht="15.75" hidden="false" customHeight="true" outlineLevel="0" collapsed="false">
      <c r="B23" s="54"/>
    </row>
    <row r="24" customFormat="false" ht="15.75" hidden="false" customHeight="true" outlineLevel="0" collapsed="false">
      <c r="B24" s="54"/>
    </row>
    <row r="25" customFormat="false" ht="15.75" hidden="false" customHeight="true" outlineLevel="0" collapsed="false">
      <c r="B25" s="54"/>
    </row>
    <row r="26" customFormat="false" ht="15.75" hidden="false" customHeight="true" outlineLevel="0" collapsed="false">
      <c r="B26" s="54"/>
    </row>
    <row r="27" customFormat="false" ht="15.75" hidden="false" customHeight="true" outlineLevel="0" collapsed="false">
      <c r="B27" s="54"/>
    </row>
    <row r="28" customFormat="false" ht="15.75" hidden="false" customHeight="true" outlineLevel="0" collapsed="false">
      <c r="B28" s="54"/>
    </row>
    <row r="29" customFormat="false" ht="15.75" hidden="false" customHeight="true" outlineLevel="0" collapsed="false">
      <c r="B29" s="54"/>
    </row>
    <row r="30" customFormat="false" ht="15.75" hidden="false" customHeight="true" outlineLevel="0" collapsed="false">
      <c r="B30" s="54"/>
    </row>
    <row r="31" customFormat="false" ht="15.75" hidden="false" customHeight="true" outlineLevel="0" collapsed="false">
      <c r="B31" s="54"/>
    </row>
    <row r="32" customFormat="false" ht="15.75" hidden="false" customHeight="true" outlineLevel="0" collapsed="false">
      <c r="B32" s="54"/>
    </row>
    <row r="33" customFormat="false" ht="15.75" hidden="false" customHeight="true" outlineLevel="0" collapsed="false">
      <c r="B33" s="54"/>
    </row>
    <row r="34" customFormat="false" ht="15.75" hidden="false" customHeight="true" outlineLevel="0" collapsed="false">
      <c r="B34" s="54"/>
    </row>
    <row r="35" customFormat="false" ht="15.75" hidden="false" customHeight="true" outlineLevel="0" collapsed="false">
      <c r="B35" s="5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30" activeCellId="0" sqref="C30"/>
    </sheetView>
  </sheetViews>
  <sheetFormatPr defaultColWidth="11.00390625" defaultRowHeight="15.75" zeroHeight="false" outlineLevelRow="0" outlineLevelCol="0"/>
  <cols>
    <col collapsed="false" customWidth="true" hidden="false" outlineLevel="0" max="1" min="1" style="0" width="28.37"/>
    <col collapsed="false" customWidth="true" hidden="false" outlineLevel="0" max="7" min="2" style="0" width="18.88"/>
  </cols>
  <sheetData>
    <row r="1" s="58" customFormat="true" ht="9.75" hidden="false" customHeight="true" outlineLevel="0" collapsed="false"/>
    <row r="2" s="63" customFormat="true" ht="21.75" hidden="false" customHeight="true" outlineLevel="0" collapsed="false">
      <c r="A2" s="59" t="s">
        <v>129</v>
      </c>
      <c r="B2" s="60" t="s">
        <v>240</v>
      </c>
      <c r="C2" s="61" t="s">
        <v>241</v>
      </c>
      <c r="D2" s="61" t="s">
        <v>242</v>
      </c>
      <c r="E2" s="62" t="s">
        <v>243</v>
      </c>
      <c r="F2" s="61" t="s">
        <v>243</v>
      </c>
    </row>
    <row r="3" s="68" customFormat="true" ht="42" hidden="false" customHeight="true" outlineLevel="0" collapsed="false">
      <c r="A3" s="51" t="s">
        <v>130</v>
      </c>
      <c r="B3" s="64" t="s">
        <v>244</v>
      </c>
      <c r="C3" s="65" t="s">
        <v>245</v>
      </c>
      <c r="D3" s="65" t="s">
        <v>246</v>
      </c>
      <c r="E3" s="66" t="s">
        <v>247</v>
      </c>
      <c r="F3" s="67" t="s">
        <v>248</v>
      </c>
    </row>
    <row r="4" s="69" customFormat="true" ht="21.75" hidden="false" customHeight="true" outlineLevel="0" collapsed="false">
      <c r="A4" s="69" t="s">
        <v>249</v>
      </c>
      <c r="B4" s="70" t="n">
        <v>7</v>
      </c>
      <c r="C4" s="71" t="n">
        <v>12</v>
      </c>
      <c r="D4" s="71" t="n">
        <v>6</v>
      </c>
      <c r="E4" s="72" t="n">
        <v>15</v>
      </c>
      <c r="F4" s="73" t="n">
        <v>4</v>
      </c>
    </row>
    <row r="5" s="69" customFormat="true" ht="21.75" hidden="false" customHeight="true" outlineLevel="0" collapsed="false">
      <c r="A5" s="69" t="s">
        <v>250</v>
      </c>
      <c r="B5" s="70" t="n">
        <v>1.4</v>
      </c>
      <c r="C5" s="71" t="n">
        <v>1.64</v>
      </c>
      <c r="D5" s="71" t="n">
        <v>1.4</v>
      </c>
      <c r="E5" s="72" t="n">
        <v>1.4</v>
      </c>
      <c r="F5" s="73" t="n">
        <v>1.3</v>
      </c>
    </row>
    <row r="6" s="69" customFormat="true" ht="21.75" hidden="false" customHeight="true" outlineLevel="0" collapsed="false">
      <c r="A6" s="69" t="s">
        <v>251</v>
      </c>
      <c r="B6" s="72" t="n">
        <f aca="false">(B9/B4)*B5</f>
        <v>5</v>
      </c>
      <c r="C6" s="71" t="n">
        <f aca="false">(C9/C4)*C5</f>
        <v>3.41666666666667</v>
      </c>
      <c r="D6" s="71" t="n">
        <f aca="false">(D9/D4)*D5</f>
        <v>5.83333333333333</v>
      </c>
      <c r="E6" s="72" t="n">
        <f aca="false">(E9/E4)*E5</f>
        <v>3.64</v>
      </c>
      <c r="F6" s="73" t="n">
        <f aca="false">(F9/F4)*F5</f>
        <v>8.125</v>
      </c>
    </row>
    <row r="7" s="69" customFormat="true" ht="21.75" hidden="false" customHeight="true" outlineLevel="0" collapsed="false">
      <c r="A7" s="69" t="s">
        <v>34</v>
      </c>
      <c r="B7" s="72" t="n">
        <f aca="false">1.23*B6</f>
        <v>6.15</v>
      </c>
      <c r="C7" s="71" t="n">
        <f aca="false">1.23*C6</f>
        <v>4.2025</v>
      </c>
      <c r="D7" s="71" t="n">
        <f aca="false">1.23*D6</f>
        <v>7.175</v>
      </c>
      <c r="E7" s="72" t="n">
        <f aca="false">1.23*E6</f>
        <v>4.4772</v>
      </c>
      <c r="F7" s="73" t="n">
        <f aca="false">1.23*F6</f>
        <v>9.99375</v>
      </c>
    </row>
    <row r="8" s="69" customFormat="true" ht="21.75" hidden="false" customHeight="true" outlineLevel="0" collapsed="false">
      <c r="A8" s="74" t="s">
        <v>252</v>
      </c>
      <c r="B8" s="72" t="n">
        <v>10</v>
      </c>
      <c r="C8" s="71" t="n">
        <f aca="false">C9/16</f>
        <v>1.5625</v>
      </c>
      <c r="D8" s="71" t="n">
        <f aca="false">D9/10</f>
        <v>2.5</v>
      </c>
      <c r="E8" s="72" t="n">
        <v>1</v>
      </c>
      <c r="F8" s="73" t="n">
        <v>8</v>
      </c>
    </row>
    <row r="9" s="7" customFormat="true" ht="21" hidden="false" customHeight="true" outlineLevel="0" collapsed="false">
      <c r="A9" s="75" t="s">
        <v>253</v>
      </c>
      <c r="B9" s="76" t="n">
        <v>25</v>
      </c>
      <c r="C9" s="76" t="n">
        <v>25</v>
      </c>
      <c r="D9" s="76" t="n">
        <v>25</v>
      </c>
      <c r="E9" s="77" t="n">
        <v>39</v>
      </c>
      <c r="F9" s="76" t="n">
        <v>25</v>
      </c>
    </row>
    <row r="10" customFormat="false" ht="16.5" hidden="false" customHeight="true" outlineLevel="0" collapsed="false">
      <c r="A10" s="78"/>
      <c r="B10" s="78"/>
      <c r="C10" s="78"/>
      <c r="D10" s="78"/>
      <c r="E10" s="78"/>
      <c r="F10" s="78"/>
    </row>
    <row r="11" customFormat="false" ht="16.5" hidden="false" customHeight="true" outlineLevel="0" collapsed="false">
      <c r="A11" s="79" t="s">
        <v>254</v>
      </c>
      <c r="B11" s="79"/>
      <c r="C11" s="79"/>
      <c r="D11" s="79"/>
      <c r="E11" s="79"/>
      <c r="F11" s="79"/>
    </row>
    <row r="12" customFormat="false" ht="16.5" hidden="false" customHeight="true" outlineLevel="0" collapsed="false">
      <c r="A12" s="80" t="s">
        <v>255</v>
      </c>
      <c r="B12" s="81" t="n">
        <v>85</v>
      </c>
      <c r="C12" s="81" t="n">
        <v>85</v>
      </c>
      <c r="D12" s="81" t="n">
        <v>85</v>
      </c>
      <c r="E12" s="81" t="n">
        <v>85</v>
      </c>
      <c r="F12" s="81" t="n">
        <v>85</v>
      </c>
    </row>
    <row r="13" customFormat="false" ht="36" hidden="false" customHeight="true" outlineLevel="0" collapsed="false">
      <c r="A13" s="82" t="s">
        <v>256</v>
      </c>
      <c r="B13" s="83" t="n">
        <v>85</v>
      </c>
      <c r="C13" s="83" t="n">
        <v>85</v>
      </c>
      <c r="D13" s="83" t="n">
        <v>85</v>
      </c>
      <c r="E13" s="83" t="n">
        <v>85</v>
      </c>
      <c r="F13" s="83" t="n">
        <v>85</v>
      </c>
    </row>
    <row r="14" customFormat="false" ht="16.5" hidden="false" customHeight="true" outlineLevel="0" collapsed="false">
      <c r="A14" s="84" t="s">
        <v>257</v>
      </c>
      <c r="B14" s="85"/>
      <c r="C14" s="85"/>
      <c r="D14" s="85"/>
      <c r="E14" s="85"/>
      <c r="F14" s="85"/>
    </row>
    <row r="15" customFormat="false" ht="16.5" hidden="false" customHeight="true" outlineLevel="0" collapsed="false">
      <c r="A15" s="86" t="s">
        <v>258</v>
      </c>
      <c r="B15" s="87" t="n">
        <f aca="false">(13*B7)</f>
        <v>79.95</v>
      </c>
      <c r="C15" s="88" t="n">
        <f aca="false">(35*C7)</f>
        <v>147.0875</v>
      </c>
      <c r="D15" s="88" t="n">
        <f aca="false">(35*D7)</f>
        <v>251.125</v>
      </c>
      <c r="E15" s="87" t="n">
        <f aca="false">(13*E7)</f>
        <v>58.2036</v>
      </c>
      <c r="F15" s="89" t="n">
        <f aca="false">(35*F7)</f>
        <v>349.78125</v>
      </c>
    </row>
    <row r="16" customFormat="false" ht="16.5" hidden="false" customHeight="true" outlineLevel="0" collapsed="false">
      <c r="A16" s="90" t="s">
        <v>259</v>
      </c>
      <c r="B16" s="91" t="n">
        <f aca="false">(90*1.15)*B8</f>
        <v>1035</v>
      </c>
      <c r="C16" s="91" t="n">
        <f aca="false">(90*1.15)*C8</f>
        <v>161.71875</v>
      </c>
      <c r="D16" s="91" t="n">
        <f aca="false">(90*1.15)*D8</f>
        <v>258.75</v>
      </c>
      <c r="E16" s="91" t="n">
        <f aca="false">(90*1.15)*E8</f>
        <v>103.5</v>
      </c>
      <c r="F16" s="91" t="n">
        <f aca="false">(90*1.15)*F8</f>
        <v>828</v>
      </c>
      <c r="I16" s="92" t="n">
        <f aca="false">(90*1.15)</f>
        <v>103.5</v>
      </c>
    </row>
    <row r="17" customFormat="false" ht="16.5" hidden="false" customHeight="true" outlineLevel="0" collapsed="false">
      <c r="A17" s="93" t="s">
        <v>260</v>
      </c>
      <c r="B17" s="94" t="n">
        <f aca="false">19*4</f>
        <v>76</v>
      </c>
      <c r="C17" s="94" t="n">
        <f aca="false">19*4</f>
        <v>76</v>
      </c>
      <c r="D17" s="94" t="n">
        <f aca="false">19*4</f>
        <v>76</v>
      </c>
      <c r="E17" s="94" t="n">
        <v>76</v>
      </c>
      <c r="F17" s="94" t="n">
        <f aca="false">35*4</f>
        <v>140</v>
      </c>
      <c r="I17" s="92" t="n">
        <f aca="false">1.22*2.44</f>
        <v>2.9768</v>
      </c>
    </row>
    <row r="18" customFormat="false" ht="16.5" hidden="false" customHeight="true" outlineLevel="0" collapsed="false">
      <c r="A18" s="84" t="s">
        <v>261</v>
      </c>
      <c r="B18" s="84"/>
      <c r="C18" s="84"/>
      <c r="D18" s="84"/>
      <c r="E18" s="84"/>
      <c r="F18" s="84"/>
      <c r="I18" s="92" t="n">
        <f aca="false">I16/I17</f>
        <v>34.7688793335125</v>
      </c>
    </row>
    <row r="19" customFormat="false" ht="16.5" hidden="false" customHeight="true" outlineLevel="0" collapsed="false">
      <c r="A19" s="95" t="s">
        <v>262</v>
      </c>
      <c r="B19" s="96" t="n">
        <v>125</v>
      </c>
      <c r="C19" s="96" t="n">
        <v>125</v>
      </c>
      <c r="D19" s="96" t="n">
        <v>125</v>
      </c>
      <c r="E19" s="96" t="n">
        <v>125</v>
      </c>
      <c r="F19" s="96" t="n">
        <v>125</v>
      </c>
    </row>
    <row r="20" customFormat="false" ht="36" hidden="false" customHeight="true" outlineLevel="0" collapsed="false">
      <c r="A20" s="97" t="s">
        <v>263</v>
      </c>
      <c r="B20" s="98" t="n">
        <f aca="false">(B6/30)*90</f>
        <v>15</v>
      </c>
      <c r="C20" s="98" t="n">
        <f aca="false">(C6/30)*90</f>
        <v>10.25</v>
      </c>
      <c r="D20" s="98" t="n">
        <f aca="false">(D6/30)*90</f>
        <v>17.5</v>
      </c>
      <c r="E20" s="98" t="n">
        <f aca="false">(E6/30)*90</f>
        <v>10.92</v>
      </c>
      <c r="F20" s="98" t="n">
        <f aca="false">(F6/30)*90</f>
        <v>24.375</v>
      </c>
    </row>
    <row r="21" customFormat="false" ht="16.5" hidden="false" customHeight="true" outlineLevel="0" collapsed="false">
      <c r="A21" s="84" t="s">
        <v>264</v>
      </c>
      <c r="B21" s="84"/>
      <c r="C21" s="84"/>
      <c r="D21" s="84"/>
      <c r="E21" s="84"/>
      <c r="F21" s="84"/>
    </row>
    <row r="22" customFormat="false" ht="18" hidden="false" customHeight="true" outlineLevel="0" collapsed="false">
      <c r="A22" s="97" t="s">
        <v>265</v>
      </c>
      <c r="B22" s="98" t="n">
        <f aca="false">(3.5*B7)</f>
        <v>21.525</v>
      </c>
      <c r="C22" s="98" t="n">
        <f aca="false">(3.5*C7)</f>
        <v>14.70875</v>
      </c>
      <c r="D22" s="98" t="n">
        <f aca="false">(3.5*D7)</f>
        <v>25.1125</v>
      </c>
      <c r="E22" s="98" t="n">
        <f aca="false">(3.5*E7)</f>
        <v>15.6702</v>
      </c>
      <c r="F22" s="98" t="n">
        <f aca="false">(3.5*F7)</f>
        <v>34.978125</v>
      </c>
    </row>
    <row r="23" customFormat="false" ht="16.5" hidden="false" customHeight="true" outlineLevel="0" collapsed="false">
      <c r="A23" s="84" t="s">
        <v>266</v>
      </c>
      <c r="B23" s="84"/>
      <c r="C23" s="84"/>
      <c r="D23" s="84"/>
      <c r="E23" s="84"/>
      <c r="F23" s="84"/>
    </row>
    <row r="24" customFormat="false" ht="18" hidden="false" customHeight="true" outlineLevel="0" collapsed="false">
      <c r="A24" s="99" t="s">
        <v>267</v>
      </c>
      <c r="B24" s="96" t="n">
        <v>45</v>
      </c>
      <c r="C24" s="96" t="n">
        <v>45</v>
      </c>
      <c r="D24" s="96" t="n">
        <v>45</v>
      </c>
      <c r="E24" s="96" t="n">
        <v>45</v>
      </c>
      <c r="F24" s="96" t="n">
        <v>45</v>
      </c>
    </row>
    <row r="25" customFormat="false" ht="36" hidden="false" customHeight="true" outlineLevel="0" collapsed="false">
      <c r="A25" s="97" t="s">
        <v>268</v>
      </c>
      <c r="B25" s="97" t="n">
        <f aca="false">(B6/45)*90</f>
        <v>10</v>
      </c>
      <c r="C25" s="97" t="n">
        <f aca="false">(C6/45)*90</f>
        <v>6.83333333333333</v>
      </c>
      <c r="D25" s="97" t="n">
        <f aca="false">(D6/45)*90</f>
        <v>11.6666666666667</v>
      </c>
      <c r="E25" s="97" t="n">
        <f aca="false">(E6/45)*90</f>
        <v>7.28</v>
      </c>
      <c r="F25" s="97" t="n">
        <f aca="false">(F6/45)*90</f>
        <v>16.25</v>
      </c>
    </row>
    <row r="26" customFormat="false" ht="18" hidden="false" customHeight="true" outlineLevel="0" collapsed="false">
      <c r="A26" s="99" t="s">
        <v>269</v>
      </c>
      <c r="B26" s="96" t="n">
        <v>45</v>
      </c>
      <c r="C26" s="96" t="n">
        <v>45</v>
      </c>
      <c r="D26" s="96" t="n">
        <v>45</v>
      </c>
      <c r="E26" s="96" t="n">
        <v>45</v>
      </c>
      <c r="F26" s="96" t="n">
        <v>45</v>
      </c>
    </row>
    <row r="27" customFormat="false" ht="36" hidden="false" customHeight="true" outlineLevel="0" collapsed="false">
      <c r="A27" s="100" t="s">
        <v>270</v>
      </c>
      <c r="B27" s="101" t="n">
        <f aca="false">(B6/15)*65</f>
        <v>21.6666666666667</v>
      </c>
      <c r="C27" s="101" t="n">
        <f aca="false">(C6/15)*65</f>
        <v>14.8055555555556</v>
      </c>
      <c r="D27" s="101" t="n">
        <f aca="false">(D6/15)*65</f>
        <v>25.2777777777778</v>
      </c>
      <c r="E27" s="101" t="n">
        <f aca="false">(E6/15)*65</f>
        <v>15.7733333333333</v>
      </c>
      <c r="F27" s="101" t="n">
        <f aca="false">(F6/15)*65</f>
        <v>35.2083333333333</v>
      </c>
    </row>
    <row r="28" customFormat="false" ht="18" hidden="false" customHeight="true" outlineLevel="0" collapsed="false">
      <c r="A28" s="99" t="s">
        <v>271</v>
      </c>
      <c r="B28" s="96" t="n">
        <v>45</v>
      </c>
      <c r="C28" s="96" t="n">
        <v>45</v>
      </c>
      <c r="D28" s="96" t="n">
        <v>45</v>
      </c>
      <c r="E28" s="96" t="n">
        <v>45</v>
      </c>
      <c r="F28" s="96" t="n">
        <v>45</v>
      </c>
    </row>
    <row r="29" customFormat="false" ht="36" hidden="false" customHeight="true" outlineLevel="0" collapsed="false">
      <c r="A29" s="100" t="s">
        <v>272</v>
      </c>
      <c r="B29" s="101" t="n">
        <f aca="false">(B6/6)*105</f>
        <v>87.5</v>
      </c>
      <c r="C29" s="101" t="n">
        <f aca="false">(C6/6)*105</f>
        <v>59.7916666666667</v>
      </c>
      <c r="D29" s="101" t="n">
        <f aca="false">(D6/6)*105</f>
        <v>102.083333333333</v>
      </c>
      <c r="E29" s="101" t="n">
        <f aca="false">(E6/6)*105</f>
        <v>63.7</v>
      </c>
      <c r="F29" s="101" t="n">
        <f aca="false">(F6/6)*105</f>
        <v>142.1875</v>
      </c>
    </row>
    <row r="30" customFormat="false" ht="16.5" hidden="false" customHeight="true" outlineLevel="0" collapsed="false">
      <c r="A30" s="90"/>
      <c r="B30" s="90"/>
      <c r="C30" s="90"/>
      <c r="D30" s="90"/>
      <c r="E30" s="90"/>
      <c r="F30" s="90"/>
    </row>
    <row r="31" customFormat="false" ht="16.5" hidden="false" customHeight="true" outlineLevel="0" collapsed="false">
      <c r="A31" s="86" t="s">
        <v>234</v>
      </c>
      <c r="B31" s="102" t="n">
        <f aca="false">SUM(B12:B29)</f>
        <v>1776.64166666667</v>
      </c>
      <c r="C31" s="102" t="n">
        <f aca="false">SUM(C12:C29)</f>
        <v>921.195555555555</v>
      </c>
      <c r="D31" s="102" t="n">
        <f aca="false">SUM(D12:D29)</f>
        <v>1197.51527777778</v>
      </c>
      <c r="E31" s="102" t="n">
        <f aca="false">SUM(E12:E29)</f>
        <v>781.047133333333</v>
      </c>
      <c r="F31" s="102" t="n">
        <f aca="false">SUM(F12:F29)</f>
        <v>2000.78020833333</v>
      </c>
    </row>
    <row r="32" customFormat="false" ht="16.5" hidden="false" customHeight="true" outlineLevel="0" collapsed="false">
      <c r="A32" s="86" t="s">
        <v>273</v>
      </c>
      <c r="B32" s="103" t="n">
        <f aca="false">B31*0.45</f>
        <v>799.48875</v>
      </c>
      <c r="C32" s="103" t="n">
        <f aca="false">C31*0.45</f>
        <v>414.538</v>
      </c>
      <c r="D32" s="103" t="n">
        <f aca="false">D31*0.45</f>
        <v>538.881875</v>
      </c>
      <c r="E32" s="103" t="n">
        <f aca="false">E31*0.45</f>
        <v>351.47121</v>
      </c>
      <c r="F32" s="103" t="n">
        <f aca="false">F31*0.45</f>
        <v>900.35109375</v>
      </c>
    </row>
    <row r="33" customFormat="false" ht="16.5" hidden="false" customHeight="true" outlineLevel="0" collapsed="false">
      <c r="A33" s="86" t="s">
        <v>274</v>
      </c>
      <c r="B33" s="103" t="n">
        <f aca="false">B31+B32</f>
        <v>2576.13041666667</v>
      </c>
      <c r="C33" s="103" t="n">
        <f aca="false">C31+C32</f>
        <v>1335.73355555556</v>
      </c>
      <c r="D33" s="103" t="n">
        <f aca="false">D31+D32</f>
        <v>1736.39715277778</v>
      </c>
      <c r="E33" s="103" t="n">
        <f aca="false">E31+E32</f>
        <v>1132.51834333333</v>
      </c>
      <c r="F33" s="103" t="n">
        <f aca="false">F31+F32</f>
        <v>2901.13130208333</v>
      </c>
    </row>
    <row r="34" customFormat="false" ht="16.5" hidden="false" customHeight="true" outlineLevel="0" collapsed="false">
      <c r="A34" s="86" t="s">
        <v>275</v>
      </c>
      <c r="B34" s="104" t="n">
        <f aca="false">B33/B9</f>
        <v>103.045216666667</v>
      </c>
      <c r="C34" s="104" t="n">
        <f aca="false">C33/C9</f>
        <v>53.4293422222222</v>
      </c>
      <c r="D34" s="104" t="n">
        <f aca="false">D33/D9</f>
        <v>69.4558861111111</v>
      </c>
      <c r="E34" s="104" t="n">
        <f aca="false">E33/E9</f>
        <v>29.0389318803419</v>
      </c>
      <c r="F34" s="104" t="n">
        <f aca="false">F33/F9</f>
        <v>116.045252083333</v>
      </c>
    </row>
    <row r="35" customFormat="false" ht="16.5" hidden="false" customHeight="true" outlineLevel="0" collapsed="false">
      <c r="A35" s="51" t="s">
        <v>130</v>
      </c>
      <c r="B35" s="105" t="str">
        <f aca="false">B3</f>
        <v>600x300</v>
      </c>
      <c r="C35" s="105" t="str">
        <f aca="false">C3</f>
        <v>750 X 180</v>
      </c>
      <c r="D35" s="105" t="str">
        <f aca="false">D3</f>
        <v>450 x 600</v>
      </c>
      <c r="E35" s="105" t="str">
        <f aca="false">E3</f>
        <v>225 x 450</v>
      </c>
      <c r="F35" s="105" t="str">
        <f aca="false">F3</f>
        <v>600 x 600mm</v>
      </c>
    </row>
    <row r="36" customFormat="false" ht="15.75" hidden="false" customHeight="true" outlineLevel="0" collapsed="false">
      <c r="B36" s="106" t="n">
        <v>100</v>
      </c>
      <c r="C36" s="106" t="n">
        <v>53.4</v>
      </c>
      <c r="D36" s="106" t="n">
        <v>69.5</v>
      </c>
      <c r="E36" s="106" t="n">
        <v>29.05</v>
      </c>
      <c r="F36" s="106" t="n">
        <v>116.05</v>
      </c>
    </row>
    <row r="37" customFormat="false" ht="15.75" hidden="false" customHeight="true" outlineLevel="0" collapsed="false">
      <c r="B37" s="107"/>
      <c r="C37" s="107"/>
      <c r="D37" s="107"/>
      <c r="E37" s="107"/>
      <c r="F37" s="107"/>
    </row>
    <row r="43" customFormat="false" ht="15.75" hidden="false" customHeight="true" outlineLevel="0" collapsed="false">
      <c r="A43" s="0" t="s">
        <v>227</v>
      </c>
      <c r="B43" s="46" t="n">
        <v>1.4</v>
      </c>
      <c r="C43" s="0" t="n">
        <v>0.75</v>
      </c>
      <c r="D43" s="0" t="n">
        <v>0.45</v>
      </c>
      <c r="E43" s="46" t="n">
        <v>0.225</v>
      </c>
      <c r="F43" s="0" t="n">
        <v>0.6</v>
      </c>
    </row>
    <row r="44" customFormat="false" ht="15.75" hidden="false" customHeight="true" outlineLevel="0" collapsed="false">
      <c r="A44" s="0" t="s">
        <v>229</v>
      </c>
      <c r="B44" s="46" t="n">
        <v>0.45</v>
      </c>
      <c r="C44" s="0" t="n">
        <v>0.18</v>
      </c>
      <c r="D44" s="0" t="n">
        <v>0.6</v>
      </c>
      <c r="E44" s="46" t="n">
        <v>0.45</v>
      </c>
      <c r="F44" s="0" t="n">
        <v>0.6</v>
      </c>
    </row>
    <row r="45" customFormat="false" ht="15.75" hidden="false" customHeight="true" outlineLevel="0" collapsed="false">
      <c r="A45" s="0" t="s">
        <v>230</v>
      </c>
      <c r="B45" s="46" t="n">
        <f aca="false">B43*B44</f>
        <v>0.63</v>
      </c>
      <c r="C45" s="92" t="n">
        <f aca="false">C43*C44</f>
        <v>0.135</v>
      </c>
      <c r="D45" s="92" t="n">
        <f aca="false">D43*D44</f>
        <v>0.27</v>
      </c>
      <c r="E45" s="46" t="n">
        <f aca="false">E43*E44</f>
        <v>0.10125</v>
      </c>
      <c r="F45" s="92" t="n">
        <f aca="false">F43*F44</f>
        <v>0.36</v>
      </c>
    </row>
    <row r="46" customFormat="false" ht="15.75" hidden="false" customHeight="true" outlineLevel="0" collapsed="false">
      <c r="A46" s="0" t="s">
        <v>276</v>
      </c>
      <c r="B46" s="46" t="n">
        <f aca="false">B45*13</f>
        <v>8.19</v>
      </c>
      <c r="C46" s="92" t="n">
        <f aca="false">C45*35</f>
        <v>4.725</v>
      </c>
      <c r="D46" s="92" t="n">
        <f aca="false">D45*35</f>
        <v>9.45</v>
      </c>
      <c r="E46" s="46" t="n">
        <f aca="false">E45*13</f>
        <v>1.31625</v>
      </c>
      <c r="F46" s="92" t="n">
        <f aca="false">F45*35</f>
        <v>12.6</v>
      </c>
    </row>
    <row r="47" customFormat="false" ht="15.75" hidden="false" customHeight="true" outlineLevel="0" collapsed="false">
      <c r="A47" s="0" t="s">
        <v>277</v>
      </c>
      <c r="B47" s="46" t="n">
        <f aca="false">B45*(35)</f>
        <v>22.05</v>
      </c>
      <c r="C47" s="92" t="n">
        <f aca="false">C45*(35)</f>
        <v>4.725</v>
      </c>
      <c r="D47" s="92" t="n">
        <f aca="false">D45*(35)</f>
        <v>9.45</v>
      </c>
      <c r="E47" s="46" t="n">
        <f aca="false">E45*(35)</f>
        <v>3.54375</v>
      </c>
      <c r="F47" s="92" t="n">
        <f aca="false">F45*(35)</f>
        <v>12.6</v>
      </c>
    </row>
    <row r="48" customFormat="false" ht="15.75" hidden="false" customHeight="true" outlineLevel="0" collapsed="false">
      <c r="A48" s="0" t="s">
        <v>234</v>
      </c>
      <c r="B48" s="46" t="n">
        <f aca="false">B46+B47</f>
        <v>30.24</v>
      </c>
      <c r="C48" s="92" t="n">
        <f aca="false">C46+C47</f>
        <v>9.45</v>
      </c>
      <c r="D48" s="92" t="n">
        <f aca="false">D46+D47</f>
        <v>18.9</v>
      </c>
      <c r="E48" s="46" t="n">
        <f aca="false">E46+E47</f>
        <v>4.86</v>
      </c>
      <c r="F48" s="92" t="n">
        <f aca="false">F46+F47</f>
        <v>25.2</v>
      </c>
    </row>
    <row r="49" customFormat="false" ht="15.75" hidden="false" customHeight="true" outlineLevel="0" collapsed="false">
      <c r="A49" s="51" t="s">
        <v>130</v>
      </c>
      <c r="B49" s="105" t="s">
        <v>278</v>
      </c>
      <c r="C49" s="105" t="s">
        <v>245</v>
      </c>
      <c r="D49" s="105" t="s">
        <v>246</v>
      </c>
      <c r="E49" s="105" t="s">
        <v>247</v>
      </c>
      <c r="F49" s="105" t="s">
        <v>248</v>
      </c>
    </row>
    <row r="50" customFormat="false" ht="15.75" hidden="false" customHeight="true" outlineLevel="0" collapsed="false">
      <c r="A50" s="0" t="s">
        <v>235</v>
      </c>
      <c r="B50" s="108" t="n">
        <f aca="false">B48*1.65</f>
        <v>49.896</v>
      </c>
      <c r="C50" s="109" t="n">
        <f aca="false">C48*1.65</f>
        <v>15.5925</v>
      </c>
      <c r="D50" s="109" t="n">
        <f aca="false">D48*1.65</f>
        <v>31.185</v>
      </c>
      <c r="E50" s="108" t="n">
        <f aca="false">E48*1.65</f>
        <v>8.019</v>
      </c>
      <c r="F50" s="109" t="n">
        <f aca="false">F48*1.65</f>
        <v>41.58</v>
      </c>
    </row>
    <row r="53" s="56" customFormat="true" ht="15.75" hidden="false" customHeight="true" outlineLevel="0" collapsed="false">
      <c r="A53" s="56" t="s">
        <v>279</v>
      </c>
      <c r="B53" s="56" t="n">
        <v>32</v>
      </c>
      <c r="E53" s="56" t="n">
        <v>21.5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8" activeCellId="0" sqref="E8"/>
    </sheetView>
  </sheetViews>
  <sheetFormatPr defaultColWidth="13.87890625" defaultRowHeight="24" zeroHeight="false" outlineLevelRow="0" outlineLevelCol="0"/>
  <cols>
    <col collapsed="false" customWidth="true" hidden="false" outlineLevel="0" max="1" min="1" style="110" width="12.63"/>
    <col collapsed="false" customWidth="true" hidden="false" outlineLevel="0" max="2" min="2" style="110" width="83.12"/>
    <col collapsed="false" customWidth="true" hidden="false" outlineLevel="0" max="3" min="3" style="110" width="6.12"/>
    <col collapsed="false" customWidth="true" hidden="false" outlineLevel="0" max="4" min="4" style="110" width="8.87"/>
    <col collapsed="false" customWidth="true" hidden="false" outlineLevel="0" max="5" min="5" style="110" width="10.13"/>
    <col collapsed="false" customWidth="true" hidden="false" outlineLevel="0" max="6" min="6" style="110" width="12.13"/>
    <col collapsed="false" customWidth="false" hidden="false" outlineLevel="0" max="16384" min="7" style="110" width="13.88"/>
  </cols>
  <sheetData>
    <row r="1" customFormat="false" ht="45" hidden="false" customHeight="true" outlineLevel="0" collapsed="false">
      <c r="A1" s="110" t="s">
        <v>133</v>
      </c>
      <c r="B1" s="110" t="s">
        <v>280</v>
      </c>
      <c r="D1" s="65"/>
      <c r="E1" s="111" t="s">
        <v>281</v>
      </c>
      <c r="F1" s="111" t="s">
        <v>282</v>
      </c>
      <c r="G1" s="111" t="s">
        <v>283</v>
      </c>
      <c r="H1" s="111" t="s">
        <v>284</v>
      </c>
      <c r="I1" s="110" t="s">
        <v>285</v>
      </c>
      <c r="J1" s="110" t="s">
        <v>286</v>
      </c>
    </row>
    <row r="2" customFormat="false" ht="24" hidden="false" customHeight="true" outlineLevel="0" collapsed="false">
      <c r="A2" s="110" t="s">
        <v>287</v>
      </c>
      <c r="B2" s="112" t="s">
        <v>288</v>
      </c>
      <c r="C2" s="113" t="n">
        <v>1.235</v>
      </c>
      <c r="D2" s="114" t="n">
        <v>50</v>
      </c>
      <c r="E2" s="115" t="n">
        <v>16.94</v>
      </c>
      <c r="F2" s="115" t="n">
        <f aca="false">D2*E2</f>
        <v>847</v>
      </c>
      <c r="G2" s="116" t="n">
        <f aca="false">(C2*D2)</f>
        <v>61.75</v>
      </c>
      <c r="H2" s="117" t="n">
        <f aca="false">F2/G2</f>
        <v>13.7165991902834</v>
      </c>
      <c r="I2" s="117" t="n">
        <f aca="false">H2*1.15</f>
        <v>15.7740890688259</v>
      </c>
      <c r="J2" s="118" t="n">
        <f aca="false">I2+I6</f>
        <v>28.5497975708502</v>
      </c>
    </row>
    <row r="3" customFormat="false" ht="24" hidden="false" customHeight="true" outlineLevel="0" collapsed="false">
      <c r="A3" s="110" t="s">
        <v>287</v>
      </c>
      <c r="B3" s="119" t="s">
        <v>289</v>
      </c>
      <c r="C3" s="113" t="n">
        <v>1.235</v>
      </c>
      <c r="D3" s="114" t="n">
        <v>50</v>
      </c>
      <c r="E3" s="115" t="n">
        <v>23.95</v>
      </c>
      <c r="F3" s="115" t="n">
        <f aca="false">D3*E3</f>
        <v>1197.5</v>
      </c>
      <c r="G3" s="116" t="n">
        <f aca="false">(C3*D3)</f>
        <v>61.75</v>
      </c>
      <c r="H3" s="117" t="n">
        <f aca="false">F3/G3</f>
        <v>19.3927125506073</v>
      </c>
      <c r="I3" s="117" t="n">
        <f aca="false">H3*1.15</f>
        <v>22.3016194331984</v>
      </c>
      <c r="J3" s="118" t="n">
        <f aca="false">I3+I6</f>
        <v>35.0773279352227</v>
      </c>
    </row>
    <row r="4" customFormat="false" ht="24" hidden="false" customHeight="true" outlineLevel="0" collapsed="false">
      <c r="A4" s="110" t="s">
        <v>287</v>
      </c>
      <c r="B4" s="119" t="s">
        <v>290</v>
      </c>
      <c r="C4" s="113" t="n">
        <v>1.235</v>
      </c>
      <c r="D4" s="114" t="n">
        <v>50</v>
      </c>
      <c r="E4" s="115" t="n">
        <v>23.95</v>
      </c>
      <c r="F4" s="115" t="n">
        <v>1197.5</v>
      </c>
      <c r="G4" s="116"/>
      <c r="H4" s="117"/>
      <c r="I4" s="117"/>
      <c r="J4" s="118"/>
    </row>
    <row r="5" customFormat="false" ht="24" hidden="false" customHeight="true" outlineLevel="0" collapsed="false">
      <c r="A5" s="110" t="s">
        <v>287</v>
      </c>
      <c r="B5" s="119" t="s">
        <v>291</v>
      </c>
      <c r="C5" s="113" t="n">
        <v>1.235</v>
      </c>
      <c r="D5" s="114" t="n">
        <v>50</v>
      </c>
      <c r="E5" s="115" t="n">
        <v>23.86</v>
      </c>
      <c r="F5" s="115" t="n">
        <f aca="false">D5*E5</f>
        <v>1193</v>
      </c>
      <c r="G5" s="116" t="n">
        <f aca="false">(C5*D5)</f>
        <v>61.75</v>
      </c>
      <c r="H5" s="117" t="n">
        <f aca="false">F5/G5</f>
        <v>19.3198380566802</v>
      </c>
      <c r="I5" s="117" t="n">
        <f aca="false">H5*1.15</f>
        <v>22.2178137651822</v>
      </c>
      <c r="J5" s="118" t="n">
        <f aca="false">I5+I6</f>
        <v>34.9935222672065</v>
      </c>
    </row>
    <row r="6" customFormat="false" ht="24" hidden="false" customHeight="true" outlineLevel="0" collapsed="false">
      <c r="A6" s="110" t="s">
        <v>287</v>
      </c>
      <c r="B6" s="114" t="s">
        <v>292</v>
      </c>
      <c r="C6" s="113" t="n">
        <v>1.235</v>
      </c>
      <c r="D6" s="114" t="n">
        <v>50</v>
      </c>
      <c r="E6" s="115" t="n">
        <v>13.72</v>
      </c>
      <c r="F6" s="115" t="n">
        <f aca="false">D6*E6</f>
        <v>686</v>
      </c>
      <c r="G6" s="116" t="n">
        <f aca="false">(C6*D6)</f>
        <v>61.75</v>
      </c>
      <c r="H6" s="117" t="n">
        <f aca="false">F6/G6</f>
        <v>11.1093117408907</v>
      </c>
      <c r="I6" s="117" t="n">
        <f aca="false">H6*1.15</f>
        <v>12.7757085020243</v>
      </c>
    </row>
    <row r="7" customFormat="false" ht="24" hidden="false" customHeight="true" outlineLevel="0" collapsed="false">
      <c r="A7" s="110" t="s">
        <v>293</v>
      </c>
      <c r="B7" s="110" t="s">
        <v>294</v>
      </c>
      <c r="C7" s="110" t="n">
        <v>1.2</v>
      </c>
      <c r="D7" s="110" t="n">
        <v>2.4</v>
      </c>
      <c r="F7" s="110" t="n">
        <v>90</v>
      </c>
      <c r="I7" s="120" t="n">
        <f aca="false">F7*1.15</f>
        <v>103.5</v>
      </c>
    </row>
    <row r="8" customFormat="false" ht="24" hidden="false" customHeight="true" outlineLevel="0" collapsed="false">
      <c r="I8" s="120"/>
    </row>
    <row r="9" customFormat="false" ht="24" hidden="false" customHeight="true" outlineLevel="0" collapsed="false">
      <c r="B9" s="121" t="s">
        <v>261</v>
      </c>
      <c r="C9" s="114"/>
      <c r="D9" s="69"/>
    </row>
    <row r="10" customFormat="false" ht="24" hidden="false" customHeight="true" outlineLevel="0" collapsed="false">
      <c r="B10" s="122" t="s">
        <v>295</v>
      </c>
    </row>
    <row r="11" customFormat="false" ht="24" hidden="false" customHeight="true" outlineLevel="0" collapsed="false">
      <c r="B11" s="123" t="s">
        <v>296</v>
      </c>
    </row>
    <row r="13" customFormat="false" ht="39" hidden="false" customHeight="true" outlineLevel="0" collapsed="false">
      <c r="B13" s="124" t="s">
        <v>297</v>
      </c>
    </row>
    <row r="14" customFormat="false" ht="39" hidden="false" customHeight="true" outlineLevel="0" collapsed="false">
      <c r="B14" s="124" t="s">
        <v>298</v>
      </c>
      <c r="C14" s="114"/>
    </row>
    <row r="15" s="125" customFormat="true" ht="35.25" hidden="false" customHeight="true" outlineLevel="0" collapsed="false">
      <c r="B15" s="126" t="s">
        <v>299</v>
      </c>
      <c r="C15" s="127" t="s">
        <v>34</v>
      </c>
      <c r="D15" s="128" t="s">
        <v>300</v>
      </c>
      <c r="E15" s="128" t="s">
        <v>301</v>
      </c>
      <c r="F15" s="128" t="s">
        <v>302</v>
      </c>
      <c r="G15" s="129" t="s">
        <v>303</v>
      </c>
    </row>
    <row r="16" customFormat="false" ht="24" hidden="false" customHeight="true" outlineLevel="0" collapsed="false">
      <c r="B16" s="130" t="s">
        <v>304</v>
      </c>
      <c r="C16" s="131" t="n">
        <f aca="false">1.37*50</f>
        <v>68.5</v>
      </c>
      <c r="D16" s="132" t="n">
        <v>598.6</v>
      </c>
      <c r="E16" s="132" t="n">
        <f aca="false">D16*1.15</f>
        <v>688.39</v>
      </c>
      <c r="F16" s="132" t="n">
        <f aca="false">E16/C16</f>
        <v>10.0494890510949</v>
      </c>
      <c r="G16" s="133" t="n">
        <f aca="false">F17+F18</f>
        <v>16.2172310795236</v>
      </c>
    </row>
    <row r="17" customFormat="false" ht="24" hidden="false" customHeight="true" outlineLevel="0" collapsed="false">
      <c r="B17" s="134" t="s">
        <v>305</v>
      </c>
      <c r="C17" s="131" t="n">
        <f aca="false">1.52*50</f>
        <v>76</v>
      </c>
      <c r="D17" s="132" t="n">
        <v>664.92</v>
      </c>
      <c r="E17" s="132" t="n">
        <f aca="false">D17*1.15</f>
        <v>764.658</v>
      </c>
      <c r="F17" s="132" t="n">
        <f aca="false">E17/C17</f>
        <v>10.0612894736842</v>
      </c>
      <c r="G17" s="133"/>
    </row>
    <row r="18" customFormat="false" ht="24" hidden="false" customHeight="true" outlineLevel="0" collapsed="false">
      <c r="B18" s="130" t="s">
        <v>306</v>
      </c>
      <c r="C18" s="131" t="n">
        <f aca="false">1.37*50</f>
        <v>68.5</v>
      </c>
      <c r="D18" s="132" t="n">
        <v>366.68</v>
      </c>
      <c r="E18" s="132" t="n">
        <f aca="false">D18*1.15</f>
        <v>421.682</v>
      </c>
      <c r="F18" s="132" t="n">
        <f aca="false">E18/C18</f>
        <v>6.15594160583942</v>
      </c>
      <c r="G18" s="133"/>
    </row>
    <row r="19" customFormat="false" ht="24" hidden="false" customHeight="true" outlineLevel="0" collapsed="false">
      <c r="B19" s="134" t="s">
        <v>307</v>
      </c>
      <c r="C19" s="131" t="n">
        <f aca="false">1.52*50</f>
        <v>76</v>
      </c>
      <c r="D19" s="132" t="n">
        <v>406.84</v>
      </c>
      <c r="E19" s="132" t="n">
        <f aca="false">D19*1.15</f>
        <v>467.866</v>
      </c>
      <c r="F19" s="132" t="n">
        <f aca="false">E19/C19</f>
        <v>6.15613157894737</v>
      </c>
      <c r="G19" s="133"/>
    </row>
    <row r="20" customFormat="false" ht="24" hidden="false" customHeight="true" outlineLevel="0" collapsed="false">
      <c r="D20" s="135"/>
      <c r="G20" s="125"/>
    </row>
    <row r="21" customFormat="false" ht="24" hidden="false" customHeight="true" outlineLevel="0" collapsed="false">
      <c r="B21" s="130" t="s">
        <v>308</v>
      </c>
      <c r="C21" s="131" t="n">
        <f aca="false">1.37*50</f>
        <v>68.5</v>
      </c>
      <c r="D21" s="132" t="n">
        <v>378.23</v>
      </c>
      <c r="E21" s="132" t="n">
        <f aca="false">D21*1.15</f>
        <v>434.9645</v>
      </c>
      <c r="F21" s="132" t="n">
        <f aca="false">E21/C21</f>
        <v>6.34984671532847</v>
      </c>
      <c r="G21" s="133" t="n">
        <f aca="false">F22+F23</f>
        <v>11.4524691701882</v>
      </c>
    </row>
    <row r="22" customFormat="false" ht="24" hidden="false" customHeight="true" outlineLevel="0" collapsed="false">
      <c r="B22" s="134" t="s">
        <v>309</v>
      </c>
      <c r="C22" s="131" t="n">
        <f aca="false">1.52*50</f>
        <v>76</v>
      </c>
      <c r="D22" s="132" t="n">
        <v>420.14</v>
      </c>
      <c r="E22" s="132" t="n">
        <f aca="false">D22*1.15</f>
        <v>483.161</v>
      </c>
      <c r="F22" s="132" t="n">
        <f aca="false">E22/C22</f>
        <v>6.35738157894737</v>
      </c>
      <c r="G22" s="133"/>
    </row>
    <row r="23" customFormat="false" ht="24" hidden="false" customHeight="true" outlineLevel="0" collapsed="false">
      <c r="B23" s="130" t="s">
        <v>310</v>
      </c>
      <c r="C23" s="131" t="n">
        <f aca="false">1.37*50</f>
        <v>68.5</v>
      </c>
      <c r="D23" s="132" t="n">
        <v>303.49</v>
      </c>
      <c r="E23" s="132" t="n">
        <f aca="false">D23*1.15</f>
        <v>349.0135</v>
      </c>
      <c r="F23" s="132" t="n">
        <f aca="false">E23/C23</f>
        <v>5.09508759124088</v>
      </c>
      <c r="G23" s="133"/>
    </row>
    <row r="24" customFormat="false" ht="24" hidden="false" customHeight="true" outlineLevel="0" collapsed="false">
      <c r="B24" s="134" t="s">
        <v>311</v>
      </c>
      <c r="C24" s="131" t="n">
        <f aca="false">1.52*50</f>
        <v>76</v>
      </c>
      <c r="D24" s="132" t="n">
        <v>336.73</v>
      </c>
      <c r="E24" s="132" t="n">
        <f aca="false">D24*1.15</f>
        <v>387.2395</v>
      </c>
      <c r="F24" s="132" t="n">
        <f aca="false">E24/C24</f>
        <v>5.09525657894737</v>
      </c>
      <c r="G24" s="133"/>
    </row>
    <row r="37" customFormat="false" ht="24" hidden="false" customHeight="true" outlineLevel="0" collapsed="false">
      <c r="A37" s="136" t="s">
        <v>312</v>
      </c>
      <c r="B37" s="137" t="n">
        <v>333113</v>
      </c>
      <c r="C37" s="137"/>
      <c r="D37" s="136" t="s">
        <v>313</v>
      </c>
      <c r="E37" s="138" t="s">
        <v>314</v>
      </c>
      <c r="F37" s="138"/>
      <c r="G37" s="139" t="n">
        <v>0</v>
      </c>
      <c r="H37" s="140" t="n">
        <v>0</v>
      </c>
      <c r="I37" s="69"/>
      <c r="J37" s="141"/>
      <c r="K37" s="141"/>
    </row>
    <row r="38" customFormat="false" ht="24" hidden="false" customHeight="true" outlineLevel="0" collapsed="false">
      <c r="A38" s="136" t="s">
        <v>312</v>
      </c>
      <c r="B38" s="137" t="n">
        <v>333113</v>
      </c>
      <c r="C38" s="137"/>
      <c r="D38" s="136" t="s">
        <v>315</v>
      </c>
      <c r="E38" s="138" t="s">
        <v>316</v>
      </c>
      <c r="F38" s="138"/>
      <c r="G38" s="139" t="n">
        <v>1063.96</v>
      </c>
      <c r="H38" s="140" t="n">
        <v>1095.88</v>
      </c>
      <c r="I38" s="69"/>
      <c r="J38" s="141"/>
      <c r="K38" s="141"/>
    </row>
    <row r="39" customFormat="false" ht="24" hidden="false" customHeight="true" outlineLevel="0" collapsed="false">
      <c r="A39" s="136" t="s">
        <v>312</v>
      </c>
      <c r="B39" s="137" t="n">
        <v>333113</v>
      </c>
      <c r="C39" s="137"/>
      <c r="D39" s="136" t="s">
        <v>317</v>
      </c>
      <c r="E39" s="138" t="s">
        <v>318</v>
      </c>
      <c r="F39" s="138"/>
      <c r="G39" s="139" t="n">
        <v>618.83</v>
      </c>
      <c r="H39" s="140" t="n">
        <v>637.39</v>
      </c>
      <c r="I39" s="69"/>
      <c r="J39" s="141"/>
      <c r="K39" s="141"/>
    </row>
    <row r="40" customFormat="false" ht="24" hidden="false" customHeight="true" outlineLevel="0" collapsed="false">
      <c r="A40" s="136" t="s">
        <v>312</v>
      </c>
      <c r="B40" s="137" t="n">
        <v>333113</v>
      </c>
      <c r="C40" s="137"/>
      <c r="D40" s="136" t="s">
        <v>319</v>
      </c>
      <c r="E40" s="138" t="s">
        <v>320</v>
      </c>
      <c r="F40" s="138"/>
      <c r="G40" s="139" t="n">
        <v>553.96</v>
      </c>
      <c r="H40" s="140" t="n">
        <v>570.58</v>
      </c>
      <c r="I40" s="69" t="s">
        <v>321</v>
      </c>
      <c r="J40" s="141"/>
      <c r="K40" s="141"/>
    </row>
    <row r="41" customFormat="false" ht="24" hidden="false" customHeight="true" outlineLevel="0" collapsed="false">
      <c r="A41" s="136" t="s">
        <v>312</v>
      </c>
      <c r="B41" s="137" t="n">
        <v>333113</v>
      </c>
      <c r="C41" s="137"/>
      <c r="D41" s="136" t="s">
        <v>322</v>
      </c>
      <c r="E41" s="138" t="s">
        <v>323</v>
      </c>
      <c r="F41" s="138"/>
      <c r="G41" s="139" t="n">
        <v>767.87</v>
      </c>
      <c r="H41" s="140" t="n">
        <v>790.91</v>
      </c>
      <c r="I41" s="142" t="n">
        <f aca="false">H41+H39</f>
        <v>1428.3</v>
      </c>
      <c r="J41" s="141"/>
      <c r="K41" s="141"/>
    </row>
    <row r="42" customFormat="false" ht="24" hidden="false" customHeight="true" outlineLevel="0" collapsed="false">
      <c r="A42" s="136" t="s">
        <v>312</v>
      </c>
      <c r="B42" s="137" t="n">
        <v>333113</v>
      </c>
      <c r="C42" s="137"/>
      <c r="D42" s="136" t="s">
        <v>324</v>
      </c>
      <c r="E42" s="138" t="s">
        <v>325</v>
      </c>
      <c r="F42" s="138"/>
      <c r="G42" s="139" t="n">
        <v>693.27</v>
      </c>
      <c r="H42" s="140" t="n">
        <v>714.07</v>
      </c>
      <c r="I42" s="69" t="s">
        <v>326</v>
      </c>
      <c r="J42" s="141"/>
      <c r="K42" s="141"/>
    </row>
    <row r="43" customFormat="false" ht="24" hidden="false" customHeight="true" outlineLevel="0" collapsed="false">
      <c r="A43" s="136" t="s">
        <v>312</v>
      </c>
      <c r="B43" s="137" t="n">
        <v>333113</v>
      </c>
      <c r="C43" s="137"/>
      <c r="D43" s="136" t="s">
        <v>327</v>
      </c>
      <c r="E43" s="138" t="s">
        <v>328</v>
      </c>
      <c r="F43" s="138"/>
      <c r="G43" s="139" t="n">
        <v>752.51</v>
      </c>
      <c r="H43" s="140" t="n">
        <v>752.51</v>
      </c>
      <c r="I43" s="142" t="n">
        <v>1849</v>
      </c>
      <c r="J43" s="141" t="n">
        <f aca="false">I43*11</f>
        <v>20339</v>
      </c>
      <c r="K43" s="141" t="n">
        <f aca="false">J43*1.15</f>
        <v>23389.85</v>
      </c>
    </row>
    <row r="44" customFormat="false" ht="24" hidden="false" customHeight="true" outlineLevel="0" collapsed="false">
      <c r="A44" s="136" t="s">
        <v>312</v>
      </c>
      <c r="B44" s="137" t="n">
        <v>333113</v>
      </c>
      <c r="C44" s="137"/>
      <c r="D44" s="136" t="s">
        <v>329</v>
      </c>
      <c r="E44" s="138" t="s">
        <v>330</v>
      </c>
      <c r="F44" s="138"/>
      <c r="G44" s="139" t="n">
        <v>0</v>
      </c>
      <c r="H44" s="140" t="n">
        <v>0</v>
      </c>
      <c r="I44" s="69"/>
      <c r="J44" s="141"/>
      <c r="K44" s="141"/>
    </row>
    <row r="45" customFormat="false" ht="24" hidden="false" customHeight="true" outlineLevel="0" collapsed="false">
      <c r="A45" s="136" t="s">
        <v>312</v>
      </c>
      <c r="B45" s="137" t="n">
        <v>333113</v>
      </c>
      <c r="C45" s="137"/>
      <c r="D45" s="136" t="s">
        <v>331</v>
      </c>
      <c r="E45" s="136" t="s">
        <v>332</v>
      </c>
      <c r="F45" s="136"/>
      <c r="G45" s="139" t="n">
        <v>0</v>
      </c>
      <c r="H45" s="140" t="n">
        <v>0</v>
      </c>
      <c r="I45" s="69"/>
      <c r="J45" s="141"/>
      <c r="K45" s="141"/>
    </row>
    <row r="47" customFormat="false" ht="24" hidden="false" customHeight="true" outlineLevel="0" collapsed="false">
      <c r="I47" s="143" t="n">
        <f aca="false">(I43/1.37)*1.52</f>
        <v>2051.44525547445</v>
      </c>
    </row>
    <row r="49" customFormat="false" ht="24" hidden="false" customHeight="true" outlineLevel="0" collapsed="false">
      <c r="D49" s="124" t="s">
        <v>333</v>
      </c>
    </row>
    <row r="50" customFormat="false" ht="24" hidden="false" customHeight="true" outlineLevel="0" collapsed="false">
      <c r="D50" s="69"/>
    </row>
    <row r="51" customFormat="false" ht="24" hidden="false" customHeight="true" outlineLevel="0" collapsed="false">
      <c r="D51" s="124" t="s">
        <v>334</v>
      </c>
    </row>
    <row r="52" customFormat="false" ht="24" hidden="false" customHeight="true" outlineLevel="0" collapsed="false">
      <c r="D52" s="124" t="s">
        <v>335</v>
      </c>
    </row>
    <row r="53" customFormat="false" ht="24" hidden="false" customHeight="true" outlineLevel="0" collapsed="false">
      <c r="D53" s="124" t="s">
        <v>336</v>
      </c>
    </row>
  </sheetData>
  <mergeCells count="2">
    <mergeCell ref="G16:G19"/>
    <mergeCell ref="G21:G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8.87890625" defaultRowHeight="15.75" zeroHeight="false" outlineLevelRow="0" outlineLevelCol="0"/>
  <cols>
    <col collapsed="false" customWidth="true" hidden="false" outlineLevel="0" max="1" min="1" style="0" width="77.37"/>
    <col collapsed="false" customWidth="true" hidden="false" outlineLevel="0" max="2" min="2" style="0" width="14"/>
    <col collapsed="false" customWidth="true" hidden="false" outlineLevel="0" max="3" min="3" style="0" width="17.63"/>
    <col collapsed="false" customWidth="true" hidden="false" outlineLevel="0" max="4" min="4" style="144" width="9"/>
    <col collapsed="false" customWidth="true" hidden="false" outlineLevel="0" max="5" min="5" style="0" width="11.37"/>
    <col collapsed="false" customWidth="true" hidden="false" outlineLevel="0" max="6" min="6" style="0" width="11.88"/>
    <col collapsed="false" customWidth="true" hidden="false" outlineLevel="0" max="9" min="7" style="144" width="16.12"/>
    <col collapsed="false" customWidth="true" hidden="false" outlineLevel="0" max="10" min="10" style="0" width="18.88"/>
    <col collapsed="false" customWidth="true" hidden="false" outlineLevel="0" max="11" min="11" style="0" width="16.12"/>
  </cols>
  <sheetData>
    <row r="1" s="69" customFormat="true" ht="15.75" hidden="false" customHeight="false" outlineLevel="0" collapsed="false">
      <c r="D1" s="71"/>
      <c r="G1" s="71"/>
      <c r="H1" s="71"/>
      <c r="I1" s="71"/>
    </row>
    <row r="2" s="69" customFormat="true" ht="15.75" hidden="false" customHeight="false" outlineLevel="0" collapsed="false">
      <c r="B2" s="145"/>
      <c r="C2" s="146" t="s">
        <v>337</v>
      </c>
      <c r="D2" s="71"/>
      <c r="G2" s="71" t="s">
        <v>250</v>
      </c>
      <c r="H2" s="71" t="s">
        <v>338</v>
      </c>
      <c r="I2" s="71" t="s">
        <v>339</v>
      </c>
    </row>
    <row r="3" s="69" customFormat="true" ht="32.25" hidden="false" customHeight="true" outlineLevel="0" collapsed="false">
      <c r="A3" s="147"/>
      <c r="B3" s="148" t="n">
        <v>48</v>
      </c>
      <c r="C3" s="149" t="n">
        <v>103</v>
      </c>
      <c r="D3" s="150" t="n">
        <v>2</v>
      </c>
      <c r="E3" s="136" t="s">
        <v>340</v>
      </c>
      <c r="F3" s="136" t="s">
        <v>341</v>
      </c>
      <c r="G3" s="71" t="n">
        <v>1.63</v>
      </c>
      <c r="H3" s="71" t="n">
        <v>4</v>
      </c>
      <c r="I3" s="71" t="n">
        <v>1.37</v>
      </c>
    </row>
    <row r="4" s="69" customFormat="true" ht="32.25" hidden="false" customHeight="true" outlineLevel="0" collapsed="false">
      <c r="A4" s="151" t="s">
        <v>342</v>
      </c>
      <c r="B4" s="152" t="n">
        <v>27.35</v>
      </c>
      <c r="C4" s="153" t="n">
        <v>42</v>
      </c>
      <c r="D4" s="154" t="n">
        <v>3</v>
      </c>
      <c r="E4" s="155" t="s">
        <v>247</v>
      </c>
      <c r="F4" s="155" t="s">
        <v>343</v>
      </c>
      <c r="G4" s="156" t="n">
        <v>1.4</v>
      </c>
      <c r="H4" s="156" t="n">
        <f aca="false">5*3</f>
        <v>15</v>
      </c>
      <c r="I4" s="71"/>
    </row>
    <row r="5" s="69" customFormat="true" ht="32.25" hidden="false" customHeight="true" outlineLevel="0" collapsed="false">
      <c r="A5" s="157" t="s">
        <v>344</v>
      </c>
      <c r="B5" s="158"/>
      <c r="C5" s="159" t="n">
        <v>114.85</v>
      </c>
      <c r="D5" s="150" t="n">
        <v>2</v>
      </c>
      <c r="E5" s="136" t="s">
        <v>345</v>
      </c>
      <c r="F5" s="136" t="s">
        <v>341</v>
      </c>
      <c r="G5" s="71" t="n">
        <v>2.3</v>
      </c>
      <c r="H5" s="71" t="n">
        <v>5</v>
      </c>
      <c r="I5" s="71"/>
    </row>
    <row r="6" s="69" customFormat="true" ht="32.25" hidden="false" customHeight="true" outlineLevel="0" collapsed="false">
      <c r="A6" s="151" t="s">
        <v>346</v>
      </c>
      <c r="B6" s="152" t="n">
        <v>27.35</v>
      </c>
      <c r="C6" s="153"/>
      <c r="D6" s="154" t="n">
        <v>4</v>
      </c>
      <c r="E6" s="155" t="s">
        <v>247</v>
      </c>
      <c r="F6" s="155" t="s">
        <v>343</v>
      </c>
      <c r="G6" s="156" t="n">
        <v>1.4</v>
      </c>
      <c r="H6" s="156" t="n">
        <f aca="false">5*3</f>
        <v>15</v>
      </c>
      <c r="I6" s="71"/>
    </row>
    <row r="7" s="69" customFormat="true" ht="32.25" hidden="false" customHeight="true" outlineLevel="0" collapsed="false">
      <c r="A7" s="151" t="s">
        <v>347</v>
      </c>
      <c r="B7" s="152"/>
      <c r="C7" s="153" t="n">
        <v>362</v>
      </c>
      <c r="D7" s="150" t="n">
        <v>1</v>
      </c>
      <c r="E7" s="136" t="s">
        <v>348</v>
      </c>
      <c r="F7" s="136" t="s">
        <v>341</v>
      </c>
      <c r="G7" s="71" t="n">
        <v>3.01</v>
      </c>
      <c r="H7" s="71" t="n">
        <v>3</v>
      </c>
      <c r="I7" s="71"/>
    </row>
    <row r="8" s="69" customFormat="true" ht="32.25" hidden="false" customHeight="true" outlineLevel="0" collapsed="false">
      <c r="A8" s="147" t="s">
        <v>349</v>
      </c>
      <c r="B8" s="148" t="n">
        <v>148.98</v>
      </c>
      <c r="C8" s="149" t="n">
        <v>162.75</v>
      </c>
      <c r="D8" s="150" t="n">
        <v>2</v>
      </c>
      <c r="E8" s="136" t="s">
        <v>350</v>
      </c>
      <c r="F8" s="136" t="s">
        <v>351</v>
      </c>
      <c r="G8" s="71" t="n">
        <v>1.55</v>
      </c>
      <c r="H8" s="71" t="n">
        <v>2</v>
      </c>
      <c r="I8" s="71"/>
    </row>
    <row r="9" s="69" customFormat="true" ht="32.25" hidden="false" customHeight="true" outlineLevel="0" collapsed="false">
      <c r="A9" s="157" t="s">
        <v>352</v>
      </c>
      <c r="B9" s="158" t="n">
        <v>28</v>
      </c>
      <c r="C9" s="159" t="n">
        <v>41.35</v>
      </c>
      <c r="D9" s="150" t="n">
        <v>1</v>
      </c>
      <c r="E9" s="136" t="s">
        <v>353</v>
      </c>
      <c r="F9" s="136" t="s">
        <v>341</v>
      </c>
      <c r="G9" s="71" t="n">
        <v>1.5</v>
      </c>
      <c r="H9" s="71" t="n">
        <f aca="false">3*9</f>
        <v>27</v>
      </c>
      <c r="I9" s="71"/>
    </row>
    <row r="10" s="69" customFormat="true" ht="32.25" hidden="false" customHeight="true" outlineLevel="0" collapsed="false">
      <c r="A10" s="151" t="s">
        <v>354</v>
      </c>
      <c r="B10" s="152"/>
      <c r="C10" s="153" t="n">
        <v>116.6</v>
      </c>
      <c r="D10" s="150" t="n">
        <v>1</v>
      </c>
      <c r="E10" s="136" t="s">
        <v>355</v>
      </c>
      <c r="F10" s="136" t="s">
        <v>341</v>
      </c>
      <c r="G10" s="71" t="n">
        <v>1.85</v>
      </c>
      <c r="H10" s="71" t="n">
        <v>4</v>
      </c>
      <c r="I10" s="71"/>
    </row>
    <row r="11" s="69" customFormat="true" ht="32.25" hidden="false" customHeight="true" outlineLevel="0" collapsed="false">
      <c r="A11" s="147" t="s">
        <v>356</v>
      </c>
      <c r="B11" s="148" t="n">
        <v>28</v>
      </c>
      <c r="C11" s="149" t="n">
        <v>53.4</v>
      </c>
      <c r="D11" s="150" t="n">
        <v>2</v>
      </c>
      <c r="E11" s="136" t="s">
        <v>357</v>
      </c>
      <c r="F11" s="136" t="s">
        <v>341</v>
      </c>
      <c r="G11" s="71" t="n">
        <f aca="false">0.41*4</f>
        <v>1.64</v>
      </c>
      <c r="H11" s="71" t="n">
        <f aca="false">4*3</f>
        <v>12</v>
      </c>
      <c r="I11" s="71"/>
    </row>
    <row r="12" s="69" customFormat="true" ht="32.25" hidden="false" customHeight="true" outlineLevel="0" collapsed="false">
      <c r="A12" s="151" t="s">
        <v>358</v>
      </c>
      <c r="B12" s="152" t="n">
        <v>46</v>
      </c>
      <c r="C12" s="153" t="n">
        <v>69.2</v>
      </c>
      <c r="D12" s="150" t="n">
        <v>2</v>
      </c>
      <c r="E12" s="136" t="s">
        <v>246</v>
      </c>
      <c r="F12" s="136" t="s">
        <v>341</v>
      </c>
      <c r="G12" s="71" t="n">
        <v>1.4</v>
      </c>
      <c r="H12" s="71" t="n">
        <f aca="false">2*3</f>
        <v>6</v>
      </c>
      <c r="I12" s="71"/>
    </row>
    <row r="13" s="69" customFormat="true" ht="32.25" hidden="false" customHeight="true" outlineLevel="0" collapsed="false">
      <c r="A13" s="151" t="s">
        <v>359</v>
      </c>
      <c r="B13" s="152" t="n">
        <v>19</v>
      </c>
      <c r="C13" s="153" t="n">
        <v>41</v>
      </c>
      <c r="D13" s="150" t="n">
        <v>1</v>
      </c>
      <c r="E13" s="136" t="s">
        <v>353</v>
      </c>
      <c r="F13" s="136" t="s">
        <v>341</v>
      </c>
      <c r="G13" s="71" t="n">
        <v>1.5</v>
      </c>
      <c r="H13" s="71" t="n">
        <f aca="false">3*9</f>
        <v>27</v>
      </c>
      <c r="I13" s="71"/>
    </row>
    <row r="14" s="69" customFormat="true" ht="32.25" hidden="false" customHeight="true" outlineLevel="0" collapsed="false">
      <c r="A14" s="151" t="s">
        <v>360</v>
      </c>
      <c r="B14" s="152" t="n">
        <v>46</v>
      </c>
      <c r="C14" s="153" t="n">
        <v>69.2</v>
      </c>
      <c r="D14" s="150" t="n">
        <v>2</v>
      </c>
      <c r="E14" s="136" t="s">
        <v>246</v>
      </c>
      <c r="F14" s="136" t="s">
        <v>341</v>
      </c>
      <c r="G14" s="71" t="n">
        <v>1.4</v>
      </c>
      <c r="H14" s="71" t="n">
        <f aca="false">2*3</f>
        <v>6</v>
      </c>
      <c r="I14" s="71"/>
    </row>
    <row r="15" s="69" customFormat="true" ht="15.75" hidden="false" customHeight="false" outlineLevel="0" collapsed="false">
      <c r="A15" s="160"/>
      <c r="B15" s="160"/>
      <c r="C15" s="160"/>
      <c r="D15" s="71"/>
      <c r="G15" s="71"/>
      <c r="H15" s="71"/>
      <c r="I15" s="71"/>
    </row>
    <row r="16" s="69" customFormat="true" ht="15.75" hidden="false" customHeight="false" outlineLevel="0" collapsed="false">
      <c r="A16" s="160"/>
      <c r="B16" s="160"/>
      <c r="C16" s="160"/>
      <c r="D16" s="71"/>
      <c r="G16" s="71"/>
      <c r="H16" s="71"/>
      <c r="I16" s="71"/>
    </row>
    <row r="17" s="69" customFormat="true" ht="15.75" hidden="false" customHeight="false" outlineLevel="0" collapsed="false">
      <c r="A17" s="160"/>
      <c r="B17" s="160"/>
      <c r="C17" s="160"/>
      <c r="D17" s="71"/>
      <c r="E17" s="69" t="s">
        <v>361</v>
      </c>
      <c r="F17" s="69" t="n">
        <f aca="false">465*3</f>
        <v>1395</v>
      </c>
      <c r="G17" s="71"/>
      <c r="H17" s="71"/>
      <c r="I17" s="71"/>
    </row>
    <row r="18" s="69" customFormat="true" ht="15.75" hidden="false" customHeight="false" outlineLevel="0" collapsed="false">
      <c r="A18" s="160"/>
      <c r="B18" s="160"/>
      <c r="C18" s="160"/>
      <c r="D18" s="71"/>
      <c r="G18" s="71"/>
      <c r="H18" s="71"/>
      <c r="I18" s="71"/>
    </row>
    <row r="19" s="69" customFormat="true" ht="15.75" hidden="false" customHeight="false" outlineLevel="0" collapsed="false">
      <c r="A19" s="160"/>
      <c r="B19" s="160"/>
      <c r="C19" s="160"/>
      <c r="D19" s="71"/>
      <c r="G19" s="71"/>
      <c r="H19" s="71"/>
      <c r="I19" s="71"/>
    </row>
    <row r="20" s="69" customFormat="true" ht="15.75" hidden="false" customHeight="false" outlineLevel="0" collapsed="false">
      <c r="A20" s="160"/>
      <c r="B20" s="160"/>
      <c r="C20" s="160"/>
      <c r="D20" s="71"/>
      <c r="G20" s="71"/>
      <c r="H20" s="71"/>
      <c r="I20" s="71"/>
    </row>
    <row r="21" s="69" customFormat="true" ht="15.75" hidden="false" customHeight="false" outlineLevel="0" collapsed="false">
      <c r="A21" s="160"/>
      <c r="B21" s="160"/>
      <c r="C21" s="160"/>
      <c r="D21" s="71"/>
      <c r="G21" s="71"/>
      <c r="H21" s="71"/>
      <c r="I21" s="71"/>
    </row>
    <row r="22" s="69" customFormat="true" ht="15.75" hidden="false" customHeight="false" outlineLevel="0" collapsed="false">
      <c r="A22" s="160"/>
      <c r="B22" s="160"/>
      <c r="C22" s="160"/>
      <c r="D22" s="71"/>
      <c r="G22" s="71"/>
      <c r="H22" s="71"/>
      <c r="I22" s="71"/>
    </row>
    <row r="23" s="69" customFormat="true" ht="15.75" hidden="false" customHeight="false" outlineLevel="0" collapsed="false">
      <c r="A23" s="160"/>
      <c r="B23" s="160"/>
      <c r="C23" s="160"/>
      <c r="D23" s="71"/>
      <c r="G23" s="71"/>
      <c r="H23" s="71"/>
      <c r="I23" s="71"/>
    </row>
    <row r="24" s="69" customFormat="true" ht="15.75" hidden="false" customHeight="false" outlineLevel="0" collapsed="false">
      <c r="A24" s="160"/>
      <c r="B24" s="160"/>
      <c r="C24" s="160"/>
      <c r="D24" s="71"/>
      <c r="G24" s="71"/>
      <c r="H24" s="71"/>
      <c r="I24" s="71"/>
    </row>
    <row r="25" s="69" customFormat="true" ht="15.75" hidden="false" customHeight="false" outlineLevel="0" collapsed="false">
      <c r="A25" s="160"/>
      <c r="B25" s="160"/>
      <c r="C25" s="160"/>
      <c r="D25" s="71"/>
      <c r="G25" s="71"/>
      <c r="H25" s="71"/>
      <c r="I25" s="71"/>
    </row>
    <row r="26" s="69" customFormat="true" ht="15.75" hidden="false" customHeight="false" outlineLevel="0" collapsed="false">
      <c r="D26" s="71"/>
      <c r="G26" s="71"/>
      <c r="H26" s="71"/>
      <c r="I26" s="71"/>
    </row>
    <row r="27" s="69" customFormat="true" ht="15.75" hidden="false" customHeight="false" outlineLevel="0" collapsed="false">
      <c r="D27" s="71"/>
      <c r="F27" s="69" t="s">
        <v>362</v>
      </c>
      <c r="G27" s="71"/>
      <c r="H27" s="71"/>
      <c r="I27" s="71"/>
    </row>
    <row r="28" s="69" customFormat="true" ht="15.75" hidden="false" customHeight="false" outlineLevel="0" collapsed="false">
      <c r="D28" s="71"/>
      <c r="E28" s="161" t="s">
        <v>353</v>
      </c>
      <c r="F28" s="162" t="n">
        <f aca="false">5*8</f>
        <v>40</v>
      </c>
      <c r="G28" s="71"/>
      <c r="H28" s="71"/>
      <c r="I28" s="71"/>
    </row>
    <row r="29" s="69" customFormat="true" ht="15.75" hidden="false" customHeight="false" outlineLevel="0" collapsed="false">
      <c r="D29" s="71"/>
      <c r="E29" s="161" t="s">
        <v>357</v>
      </c>
      <c r="F29" s="162" t="n">
        <v>16</v>
      </c>
      <c r="G29" s="71"/>
      <c r="H29" s="71"/>
      <c r="I29" s="71"/>
    </row>
    <row r="30" s="69" customFormat="true" ht="15.75" hidden="false" customHeight="false" outlineLevel="0" collapsed="false">
      <c r="D30" s="71"/>
      <c r="E30" s="161" t="s">
        <v>246</v>
      </c>
      <c r="F30" s="162" t="n">
        <f aca="false">2*5</f>
        <v>10</v>
      </c>
      <c r="G30" s="71"/>
      <c r="H30" s="71"/>
      <c r="I30" s="71"/>
    </row>
    <row r="31" s="69" customFormat="true" ht="15.75" hidden="false" customHeight="false" outlineLevel="0" collapsed="false">
      <c r="D31" s="71"/>
      <c r="E31" s="161" t="s">
        <v>340</v>
      </c>
      <c r="F31" s="162" t="n">
        <f aca="false">2*3</f>
        <v>6</v>
      </c>
      <c r="G31" s="71"/>
      <c r="H31" s="71"/>
      <c r="I31" s="71"/>
    </row>
    <row r="32" s="69" customFormat="true" ht="15.75" hidden="false" customHeight="false" outlineLevel="0" collapsed="false">
      <c r="D32" s="71"/>
      <c r="E32" s="161" t="s">
        <v>350</v>
      </c>
      <c r="F32" s="162" t="n">
        <v>3</v>
      </c>
      <c r="G32" s="71"/>
      <c r="H32" s="71"/>
      <c r="I32" s="71"/>
    </row>
    <row r="33" s="69" customFormat="true" ht="15.75" hidden="false" customHeight="false" outlineLevel="0" collapsed="false">
      <c r="D33" s="71"/>
      <c r="E33" s="161" t="s">
        <v>345</v>
      </c>
      <c r="F33" s="162" t="n">
        <v>4</v>
      </c>
      <c r="G33" s="71"/>
      <c r="H33" s="71"/>
      <c r="I33" s="71"/>
    </row>
    <row r="34" s="69" customFormat="true" ht="15.75" hidden="false" customHeight="false" outlineLevel="0" collapsed="false">
      <c r="D34" s="71"/>
      <c r="E34" s="161" t="s">
        <v>348</v>
      </c>
      <c r="F34" s="162"/>
      <c r="G34" s="71"/>
      <c r="H34" s="71"/>
      <c r="I34" s="71"/>
    </row>
    <row r="35" s="69" customFormat="true" ht="15.75" hidden="false" customHeight="false" outlineLevel="0" collapsed="false">
      <c r="D35" s="71"/>
      <c r="E35" s="163" t="s">
        <v>247</v>
      </c>
      <c r="F35" s="162" t="n">
        <v>25</v>
      </c>
      <c r="G35" s="71"/>
      <c r="H35" s="71"/>
      <c r="I35" s="71"/>
    </row>
    <row r="36" s="69" customFormat="true" ht="15.75" hidden="false" customHeight="false" outlineLevel="0" collapsed="false">
      <c r="D36" s="71"/>
      <c r="G36" s="71"/>
      <c r="H36" s="71"/>
      <c r="I36" s="71"/>
    </row>
    <row r="37" s="69" customFormat="true" ht="15.75" hidden="false" customHeight="false" outlineLevel="0" collapsed="false">
      <c r="D37" s="71"/>
      <c r="G37" s="71"/>
      <c r="H37" s="71"/>
      <c r="I37" s="71"/>
    </row>
    <row r="38" s="69" customFormat="true" ht="15.75" hidden="false" customHeight="false" outlineLevel="0" collapsed="false">
      <c r="D38" s="71"/>
      <c r="G38" s="71"/>
      <c r="H38" s="71"/>
      <c r="I38" s="71"/>
    </row>
    <row r="39" s="69" customFormat="true" ht="15.75" hidden="false" customHeight="false" outlineLevel="0" collapsed="false">
      <c r="D39" s="71"/>
      <c r="G39" s="71"/>
      <c r="H39" s="71"/>
      <c r="I39" s="71"/>
    </row>
    <row r="40" s="69" customFormat="true" ht="15.75" hidden="false" customHeight="false" outlineLevel="0" collapsed="false">
      <c r="D40" s="71"/>
      <c r="E40" s="69" t="n">
        <v>1220</v>
      </c>
      <c r="G40" s="71" t="n">
        <v>2440</v>
      </c>
      <c r="H40" s="71"/>
      <c r="I40" s="71"/>
    </row>
    <row r="41" s="69" customFormat="true" ht="15.75" hidden="false" customHeight="false" outlineLevel="0" collapsed="false">
      <c r="D41" s="69" t="n">
        <v>1220</v>
      </c>
      <c r="E41" s="136" t="n">
        <v>450</v>
      </c>
      <c r="F41" s="136" t="n">
        <f aca="false">D41/E41</f>
        <v>2.71111111111111</v>
      </c>
      <c r="G41" s="71"/>
      <c r="H41" s="71" t="n">
        <v>2440</v>
      </c>
      <c r="I41" s="71" t="n">
        <f aca="false">H41/E41</f>
        <v>5.42222222222222</v>
      </c>
      <c r="K41" s="69" t="n">
        <f aca="false">5*8</f>
        <v>40</v>
      </c>
    </row>
    <row r="42" customFormat="false" ht="15.75" hidden="false" customHeight="false" outlineLevel="0" collapsed="false">
      <c r="D42" s="69" t="n">
        <v>1220</v>
      </c>
      <c r="E42" s="136" t="n">
        <v>300</v>
      </c>
      <c r="F42" s="136" t="n">
        <f aca="false">D42/E42</f>
        <v>4.06666666666667</v>
      </c>
      <c r="H42" s="71" t="n">
        <v>2440</v>
      </c>
      <c r="I42" s="71" t="n">
        <f aca="false">H42/E42</f>
        <v>8.13333333333333</v>
      </c>
    </row>
    <row r="43" customFormat="false" ht="15.75" hidden="false" customHeight="false" outlineLevel="0" collapsed="false">
      <c r="D43" s="69" t="n">
        <v>1220</v>
      </c>
      <c r="E43" s="136" t="n">
        <v>450</v>
      </c>
      <c r="F43" s="136" t="n">
        <f aca="false">D43/E43</f>
        <v>2.71111111111111</v>
      </c>
      <c r="H43" s="71" t="n">
        <v>2440</v>
      </c>
      <c r="I43" s="71" t="n">
        <f aca="false">H43/E43</f>
        <v>5.42222222222222</v>
      </c>
    </row>
    <row r="44" customFormat="false" ht="15.75" hidden="false" customHeight="false" outlineLevel="0" collapsed="false">
      <c r="D44" s="69" t="n">
        <v>1220</v>
      </c>
      <c r="E44" s="136" t="n">
        <v>600</v>
      </c>
      <c r="F44" s="136" t="n">
        <f aca="false">D44/E44</f>
        <v>2.03333333333333</v>
      </c>
      <c r="H44" s="71" t="n">
        <v>2440</v>
      </c>
      <c r="I44" s="71" t="n">
        <f aca="false">H44/E44</f>
        <v>4.06666666666667</v>
      </c>
    </row>
    <row r="45" customFormat="false" ht="15.75" hidden="false" customHeight="false" outlineLevel="0" collapsed="false">
      <c r="D45" s="69" t="n">
        <v>1220</v>
      </c>
      <c r="E45" s="136" t="n">
        <v>750</v>
      </c>
      <c r="F45" s="136" t="n">
        <f aca="false">D45/E45</f>
        <v>1.62666666666667</v>
      </c>
      <c r="H45" s="71" t="n">
        <v>2440</v>
      </c>
      <c r="I45" s="71" t="n">
        <f aca="false">H45/E45</f>
        <v>3.25333333333333</v>
      </c>
    </row>
    <row r="46" customFormat="false" ht="15.75" hidden="false" customHeight="false" outlineLevel="0" collapsed="false">
      <c r="D46" s="69" t="n">
        <v>1220</v>
      </c>
      <c r="E46" s="136" t="n">
        <v>2285</v>
      </c>
      <c r="F46" s="136" t="n">
        <f aca="false">D46/E46</f>
        <v>0.533916849015317</v>
      </c>
      <c r="H46" s="71" t="n">
        <v>2440</v>
      </c>
      <c r="I46" s="71" t="n">
        <f aca="false">H46/E46</f>
        <v>1.06783369803063</v>
      </c>
    </row>
    <row r="47" customFormat="false" ht="15.75" hidden="false" customHeight="false" outlineLevel="0" collapsed="false">
      <c r="D47" s="69" t="n">
        <v>1220</v>
      </c>
      <c r="E47" s="136" t="n">
        <v>2997</v>
      </c>
      <c r="F47" s="136" t="n">
        <f aca="false">D47/E47</f>
        <v>0.407073740407074</v>
      </c>
      <c r="H47" s="71" t="n">
        <v>2440</v>
      </c>
      <c r="I47" s="71" t="n">
        <f aca="false">H47/E47</f>
        <v>0.814147480814148</v>
      </c>
    </row>
    <row r="48" customFormat="false" ht="15.75" hidden="false" customHeight="false" outlineLevel="0" collapsed="false">
      <c r="D48" s="69" t="n">
        <v>1220</v>
      </c>
      <c r="E48" s="155" t="n">
        <v>225</v>
      </c>
      <c r="F48" s="136" t="n">
        <f aca="false">D48/E48</f>
        <v>5.42222222222222</v>
      </c>
      <c r="H48" s="71" t="n">
        <v>2440</v>
      </c>
      <c r="I48" s="71" t="n">
        <f aca="false">H48/E48</f>
        <v>10.8444444444444</v>
      </c>
    </row>
    <row r="49" customFormat="false" ht="15.75" hidden="false" customHeight="false" outlineLevel="0" collapsed="false">
      <c r="D49" s="69" t="n">
        <v>1220</v>
      </c>
      <c r="E49" s="164" t="n">
        <v>150</v>
      </c>
      <c r="F49" s="136" t="n">
        <f aca="false">D49/E49</f>
        <v>8.13333333333333</v>
      </c>
      <c r="H49" s="71" t="n">
        <v>2440</v>
      </c>
      <c r="I49" s="71" t="n">
        <f aca="false">H49/E49</f>
        <v>16.2666666666667</v>
      </c>
    </row>
    <row r="50" customFormat="false" ht="15.75" hidden="false" customHeight="false" outlineLevel="0" collapsed="false">
      <c r="D50" s="69" t="n">
        <v>1220</v>
      </c>
      <c r="E50" s="164" t="n">
        <v>400</v>
      </c>
      <c r="F50" s="136" t="n">
        <f aca="false">D50/E50</f>
        <v>3.05</v>
      </c>
      <c r="H50" s="71" t="n">
        <v>2440</v>
      </c>
      <c r="I50" s="71" t="n">
        <f aca="false">H50/E50</f>
        <v>6.1</v>
      </c>
    </row>
    <row r="51" customFormat="false" ht="15.75" hidden="false" customHeight="false" outlineLevel="0" collapsed="false">
      <c r="D51" s="69" t="n">
        <v>1220</v>
      </c>
      <c r="E51" s="164" t="n">
        <v>600</v>
      </c>
      <c r="F51" s="136" t="n">
        <f aca="false">D51/E51</f>
        <v>2.03333333333333</v>
      </c>
      <c r="H51" s="71" t="n">
        <v>2440</v>
      </c>
      <c r="I51" s="71" t="n">
        <f aca="false">H51/E51</f>
        <v>4.06666666666667</v>
      </c>
    </row>
    <row r="52" customFormat="false" ht="15.75" hidden="false" customHeight="false" outlineLevel="0" collapsed="false">
      <c r="D52" s="69" t="n">
        <v>1220</v>
      </c>
      <c r="E52" s="164" t="n">
        <v>800</v>
      </c>
      <c r="F52" s="136" t="n">
        <f aca="false">D52/E52</f>
        <v>1.525</v>
      </c>
      <c r="H52" s="71" t="n">
        <v>2440</v>
      </c>
      <c r="I52" s="71" t="n">
        <f aca="false">H52/E52</f>
        <v>3.05</v>
      </c>
    </row>
    <row r="53" customFormat="false" ht="15.75" hidden="false" customHeight="false" outlineLevel="0" collapsed="false">
      <c r="D53" s="69" t="n">
        <v>1220</v>
      </c>
      <c r="E53" s="164" t="n">
        <v>750</v>
      </c>
      <c r="F53" s="136" t="n">
        <f aca="false">D53/E53</f>
        <v>1.62666666666667</v>
      </c>
      <c r="H53" s="71" t="n">
        <v>2440</v>
      </c>
      <c r="I53" s="71" t="n">
        <f aca="false">H53/E53</f>
        <v>3.25333333333333</v>
      </c>
    </row>
    <row r="54" customFormat="false" ht="15.75" hidden="false" customHeight="false" outlineLevel="0" collapsed="false">
      <c r="D54" s="69" t="n">
        <v>1220</v>
      </c>
      <c r="E54" s="164" t="n">
        <v>270</v>
      </c>
      <c r="F54" s="136" t="n">
        <f aca="false">D54/E54</f>
        <v>4.51851851851852</v>
      </c>
      <c r="H54" s="71" t="n">
        <v>2440</v>
      </c>
      <c r="I54" s="71" t="n">
        <f aca="false">H54/E54</f>
        <v>9.03703703703704</v>
      </c>
    </row>
    <row r="55" customFormat="false" ht="15.75" hidden="false" customHeight="false" outlineLevel="0" collapsed="false">
      <c r="D55" s="69" t="n">
        <v>1220</v>
      </c>
      <c r="E55" s="164" t="n">
        <v>400</v>
      </c>
      <c r="F55" s="136" t="n">
        <f aca="false">D55/E55</f>
        <v>3.05</v>
      </c>
      <c r="H55" s="71" t="n">
        <v>2440</v>
      </c>
      <c r="I55" s="71" t="n">
        <f aca="false">H55/E55</f>
        <v>6.1</v>
      </c>
    </row>
    <row r="56" customFormat="false" ht="15.75" hidden="false" customHeight="false" outlineLevel="0" collapsed="false">
      <c r="D56" s="69" t="n">
        <v>1220</v>
      </c>
      <c r="E56" s="164" t="n">
        <v>450</v>
      </c>
      <c r="F56" s="136" t="n">
        <f aca="false">D56/E56</f>
        <v>2.71111111111111</v>
      </c>
      <c r="H56" s="71" t="n">
        <v>2440</v>
      </c>
      <c r="I56" s="71" t="n">
        <f aca="false">H56/E56</f>
        <v>5.42222222222222</v>
      </c>
    </row>
    <row r="74" customFormat="false" ht="16.5" hidden="false" customHeight="true" outlineLevel="0" collapsed="false">
      <c r="A74" s="165" t="s">
        <v>363</v>
      </c>
      <c r="B74" s="165"/>
      <c r="C74" s="165"/>
    </row>
    <row r="76" customFormat="false" ht="15.75" hidden="false" customHeight="false" outlineLevel="0" collapsed="false">
      <c r="A76" s="165"/>
      <c r="B76" s="165"/>
      <c r="C76" s="165"/>
    </row>
    <row r="78" customFormat="false" ht="16.5" hidden="false" customHeight="true" outlineLevel="0" collapsed="false">
      <c r="A78" s="165" t="s">
        <v>364</v>
      </c>
      <c r="B78" s="165"/>
      <c r="C78" s="165"/>
      <c r="D78" s="166" t="s">
        <v>365</v>
      </c>
      <c r="H78" s="144" t="n">
        <v>4</v>
      </c>
      <c r="I78" s="144" t="s">
        <v>341</v>
      </c>
      <c r="J78" s="92" t="s">
        <v>366</v>
      </c>
    </row>
    <row r="79" customFormat="false" ht="16.5" hidden="false" customHeight="true" outlineLevel="0" collapsed="false">
      <c r="A79" s="165" t="s">
        <v>367</v>
      </c>
      <c r="B79" s="165"/>
      <c r="C79" s="165"/>
      <c r="D79" s="166" t="s">
        <v>368</v>
      </c>
      <c r="H79" s="144" t="n">
        <v>4</v>
      </c>
      <c r="I79" s="144" t="s">
        <v>341</v>
      </c>
      <c r="J79" s="92" t="s">
        <v>369</v>
      </c>
    </row>
    <row r="80" customFormat="false" ht="16.5" hidden="false" customHeight="true" outlineLevel="0" collapsed="false">
      <c r="A80" s="165" t="s">
        <v>370</v>
      </c>
      <c r="B80" s="165"/>
      <c r="C80" s="165"/>
      <c r="D80" s="166" t="s">
        <v>371</v>
      </c>
      <c r="H80" s="144" t="n">
        <v>3</v>
      </c>
      <c r="I80" s="144" t="s">
        <v>341</v>
      </c>
      <c r="J80" s="92" t="s">
        <v>372</v>
      </c>
    </row>
    <row r="81" customFormat="false" ht="16.5" hidden="false" customHeight="true" outlineLevel="0" collapsed="false">
      <c r="A81" s="165" t="s">
        <v>373</v>
      </c>
      <c r="B81" s="165"/>
      <c r="C81" s="165"/>
      <c r="D81" s="167" t="s">
        <v>374</v>
      </c>
      <c r="H81" s="144" t="n">
        <v>2</v>
      </c>
      <c r="I81" s="144" t="s">
        <v>375</v>
      </c>
      <c r="J81" s="92" t="s">
        <v>376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G10" activeCellId="0" sqref="G10"/>
    </sheetView>
  </sheetViews>
  <sheetFormatPr defaultColWidth="24.375" defaultRowHeight="15.75" zeroHeight="false" outlineLevelRow="0" outlineLevelCol="0"/>
  <cols>
    <col collapsed="false" customWidth="true" hidden="false" outlineLevel="0" max="1" min="1" style="71" width="13.37"/>
    <col collapsed="false" customWidth="true" hidden="false" outlineLevel="0" max="2" min="2" style="69" width="12.37"/>
    <col collapsed="false" customWidth="true" hidden="false" outlineLevel="0" max="3" min="3" style="69" width="49.88"/>
    <col collapsed="false" customWidth="true" hidden="false" outlineLevel="0" max="4" min="4" style="69" width="25.63"/>
    <col collapsed="false" customWidth="true" hidden="false" outlineLevel="0" max="5" min="5" style="69" width="41.5"/>
    <col collapsed="false" customWidth="true" hidden="false" outlineLevel="0" max="6" min="6" style="69" width="13.63"/>
    <col collapsed="false" customWidth="true" hidden="false" outlineLevel="0" max="7" min="7" style="69" width="14.51"/>
    <col collapsed="false" customWidth="true" hidden="false" outlineLevel="0" max="8" min="8" style="68" width="52.12"/>
    <col collapsed="false" customWidth="false" hidden="false" outlineLevel="0" max="16384" min="9" style="69" width="24.37"/>
  </cols>
  <sheetData>
    <row r="1" s="171" customFormat="true" ht="16.5" hidden="false" customHeight="true" outlineLevel="0" collapsed="false">
      <c r="A1" s="168" t="s">
        <v>377</v>
      </c>
      <c r="B1" s="169" t="s">
        <v>378</v>
      </c>
      <c r="C1" s="169" t="s">
        <v>25</v>
      </c>
      <c r="D1" s="169" t="s">
        <v>379</v>
      </c>
      <c r="E1" s="169" t="s">
        <v>380</v>
      </c>
      <c r="F1" s="169" t="s">
        <v>381</v>
      </c>
      <c r="G1" s="169" t="s">
        <v>382</v>
      </c>
      <c r="H1" s="170" t="s">
        <v>383</v>
      </c>
    </row>
    <row r="2" customFormat="false" ht="16.5" hidden="false" customHeight="true" outlineLevel="0" collapsed="false">
      <c r="B2" s="136" t="s">
        <v>384</v>
      </c>
      <c r="C2" s="136" t="s">
        <v>25</v>
      </c>
      <c r="D2" s="136" t="s">
        <v>379</v>
      </c>
      <c r="E2" s="136" t="s">
        <v>380</v>
      </c>
      <c r="F2" s="136" t="s">
        <v>381</v>
      </c>
      <c r="G2" s="136" t="s">
        <v>382</v>
      </c>
      <c r="H2" s="126" t="s">
        <v>383</v>
      </c>
    </row>
    <row r="3" customFormat="false" ht="51" hidden="false" customHeight="true" outlineLevel="0" collapsed="false">
      <c r="A3" s="172" t="s">
        <v>385</v>
      </c>
      <c r="B3" s="173" t="s">
        <v>386</v>
      </c>
      <c r="C3" s="173" t="s">
        <v>387</v>
      </c>
      <c r="D3" s="136" t="s">
        <v>388</v>
      </c>
      <c r="E3" s="136" t="s">
        <v>389</v>
      </c>
      <c r="F3" s="174" t="n">
        <v>155.23</v>
      </c>
      <c r="G3" s="175" t="n">
        <v>121</v>
      </c>
      <c r="H3" s="176" t="s">
        <v>390</v>
      </c>
    </row>
    <row r="4" customFormat="false" ht="33.75" hidden="false" customHeight="true" outlineLevel="0" collapsed="false">
      <c r="A4" s="172" t="s">
        <v>391</v>
      </c>
      <c r="B4" s="136" t="s">
        <v>392</v>
      </c>
      <c r="C4" s="136" t="s">
        <v>393</v>
      </c>
      <c r="D4" s="136" t="s">
        <v>394</v>
      </c>
      <c r="E4" s="136" t="s">
        <v>395</v>
      </c>
      <c r="F4" s="174" t="n">
        <v>90.9</v>
      </c>
      <c r="G4" s="175" t="n">
        <v>61</v>
      </c>
      <c r="H4" s="176" t="s">
        <v>396</v>
      </c>
    </row>
    <row r="5" customFormat="false" ht="51" hidden="false" customHeight="true" outlineLevel="0" collapsed="false">
      <c r="A5" s="172" t="s">
        <v>397</v>
      </c>
      <c r="B5" s="173" t="s">
        <v>386</v>
      </c>
      <c r="C5" s="136" t="s">
        <v>398</v>
      </c>
      <c r="D5" s="136" t="s">
        <v>248</v>
      </c>
      <c r="E5" s="136" t="s">
        <v>399</v>
      </c>
      <c r="F5" s="174" t="n">
        <v>162.63</v>
      </c>
      <c r="G5" s="175" t="n">
        <v>121</v>
      </c>
      <c r="H5" s="176" t="s">
        <v>400</v>
      </c>
      <c r="L5" s="68" t="s">
        <v>401</v>
      </c>
    </row>
    <row r="6" customFormat="false" ht="51" hidden="false" customHeight="true" outlineLevel="0" collapsed="false">
      <c r="A6" s="172" t="s">
        <v>402</v>
      </c>
      <c r="B6" s="136" t="s">
        <v>392</v>
      </c>
      <c r="C6" s="136" t="s">
        <v>403</v>
      </c>
      <c r="D6" s="136" t="s">
        <v>404</v>
      </c>
      <c r="E6" s="136" t="s">
        <v>389</v>
      </c>
      <c r="F6" s="174" t="n">
        <v>122.93</v>
      </c>
      <c r="G6" s="175" t="n">
        <v>118</v>
      </c>
      <c r="H6" s="176" t="s">
        <v>405</v>
      </c>
    </row>
    <row r="7" customFormat="false" ht="33.75" hidden="false" customHeight="true" outlineLevel="0" collapsed="false">
      <c r="A7" s="172" t="s">
        <v>406</v>
      </c>
      <c r="B7" s="136" t="s">
        <v>392</v>
      </c>
      <c r="C7" s="136" t="s">
        <v>407</v>
      </c>
      <c r="D7" s="136" t="s">
        <v>408</v>
      </c>
      <c r="E7" s="136" t="s">
        <v>389</v>
      </c>
      <c r="F7" s="174" t="n">
        <v>284.15</v>
      </c>
      <c r="G7" s="175" t="n">
        <v>134</v>
      </c>
      <c r="H7" s="176" t="s">
        <v>409</v>
      </c>
    </row>
    <row r="8" customFormat="false" ht="51" hidden="false" customHeight="true" outlineLevel="0" collapsed="false">
      <c r="A8" s="172" t="s">
        <v>240</v>
      </c>
      <c r="B8" s="173" t="s">
        <v>410</v>
      </c>
      <c r="C8" s="173" t="s">
        <v>411</v>
      </c>
      <c r="D8" s="136" t="s">
        <v>412</v>
      </c>
      <c r="E8" s="136" t="s">
        <v>399</v>
      </c>
      <c r="F8" s="174" t="n">
        <v>197.77</v>
      </c>
      <c r="G8" s="175" t="n">
        <v>145</v>
      </c>
      <c r="H8" s="176" t="s">
        <v>413</v>
      </c>
    </row>
    <row r="9" customFormat="false" ht="51" hidden="false" customHeight="true" outlineLevel="0" collapsed="false">
      <c r="A9" s="172" t="s">
        <v>241</v>
      </c>
      <c r="B9" s="173" t="s">
        <v>410</v>
      </c>
      <c r="C9" s="136" t="s">
        <v>414</v>
      </c>
      <c r="D9" s="136" t="s">
        <v>415</v>
      </c>
      <c r="E9" s="136" t="s">
        <v>389</v>
      </c>
      <c r="F9" s="174" t="n">
        <v>182.09</v>
      </c>
      <c r="G9" s="175" t="n">
        <v>117</v>
      </c>
      <c r="H9" s="176" t="s">
        <v>416</v>
      </c>
    </row>
    <row r="10" customFormat="false" ht="51" hidden="false" customHeight="true" outlineLevel="0" collapsed="false">
      <c r="A10" s="172" t="s">
        <v>242</v>
      </c>
      <c r="B10" s="173" t="s">
        <v>410</v>
      </c>
      <c r="C10" s="136" t="s">
        <v>417</v>
      </c>
      <c r="D10" s="136" t="s">
        <v>418</v>
      </c>
      <c r="E10" s="136" t="s">
        <v>389</v>
      </c>
      <c r="F10" s="174" t="n">
        <v>131.67</v>
      </c>
      <c r="G10" s="175" t="n">
        <v>123</v>
      </c>
      <c r="H10" s="176" t="s">
        <v>419</v>
      </c>
    </row>
    <row r="11" customFormat="false" ht="30.75" hidden="false" customHeight="true" outlineLevel="0" collapsed="false">
      <c r="A11" s="172" t="s">
        <v>243</v>
      </c>
      <c r="B11" s="173" t="s">
        <v>410</v>
      </c>
      <c r="C11" s="136" t="s">
        <v>420</v>
      </c>
      <c r="D11" s="136" t="s">
        <v>248</v>
      </c>
      <c r="E11" s="136" t="s">
        <v>389</v>
      </c>
      <c r="F11" s="174" t="n">
        <v>90.58</v>
      </c>
      <c r="G11" s="175" t="n">
        <v>121</v>
      </c>
      <c r="H11" s="176" t="s">
        <v>421</v>
      </c>
    </row>
    <row r="13" customFormat="false" ht="15.75" hidden="false" customHeight="false" outlineLevel="0" collapsed="false">
      <c r="G13" s="177"/>
    </row>
    <row r="14" customFormat="false" ht="15.75" hidden="false" customHeight="false" outlineLevel="0" collapsed="false">
      <c r="G14" s="177"/>
    </row>
    <row r="15" customFormat="false" ht="15.75" hidden="false" customHeight="false" outlineLevel="0" collapsed="false">
      <c r="G15" s="177"/>
    </row>
    <row r="16" customFormat="false" ht="15.75" hidden="false" customHeight="false" outlineLevel="0" collapsed="false">
      <c r="G16" s="177"/>
    </row>
    <row r="17" customFormat="false" ht="15.75" hidden="false" customHeight="false" outlineLevel="0" collapsed="false">
      <c r="G17" s="177"/>
    </row>
    <row r="18" customFormat="false" ht="15.75" hidden="false" customHeight="false" outlineLevel="0" collapsed="false">
      <c r="G18" s="177"/>
    </row>
    <row r="19" customFormat="false" ht="15.75" hidden="false" customHeight="false" outlineLevel="0" collapsed="false">
      <c r="G19" s="177"/>
    </row>
    <row r="20" customFormat="false" ht="15.75" hidden="false" customHeight="false" outlineLevel="0" collapsed="false">
      <c r="G20" s="177"/>
    </row>
    <row r="21" customFormat="false" ht="15.75" hidden="false" customHeight="false" outlineLevel="0" collapsed="false">
      <c r="G21" s="177"/>
    </row>
  </sheetData>
  <hyperlinks>
    <hyperlink ref="H3" r:id="rId1" display="https://www.seton.net.au/regulatory-road-signs-r3-1-pedestrian-crossing-picto-600mm-dia-aluminium-class-1-400-reflective-a35089.html"/>
    <hyperlink ref="H4" r:id="rId2" location="product.attributes" display="https://www.seton.net.au/bicycle-path-sign-crossing-arrows-a46100.html#product.attributes"/>
    <hyperlink ref="H5" r:id="rId3" display="https://www.seton.net.au/mms-both-lanes-open-600mm-w-x-600mm-h-aluminium-class-1-400-reflective-tm10-5a-a51321.html"/>
    <hyperlink ref="H6" r:id="rId4" display="https://www.seton.net.au/signs-labels/rear-marker-plate-category-161-1600mm-w-x-100mm-h-aluminium-class-1-400-reflective.html"/>
    <hyperlink ref="H7" r:id="rId5" location="A51119" display="https://www.seton.net.au/mms-wa-worker-dig-picto-mms-adv-52b.html#A51119"/>
    <hyperlink ref="H8" r:id="rId6" display="https://www.seton.net.au/regulatory-road-signs-r2-4-no-entry-750mm-w-x-750mm-h-class-1-400-aluminium-a8027.html"/>
    <hyperlink ref="H9" r:id="rId7" display="https://www.seton.net.au/regulatory-signs-stop-here-on-red-signal-r6-6-450-x-750mm-class-1-aluminium-z0031.html"/>
    <hyperlink ref="H10" r:id="rId8" display="https://www.seton.net.au/signs-labels/road-signs/regulatory-signs-no-bikes-picto-r6-10-3-450-x-450mm-class-1-aluminium.html"/>
    <hyperlink ref="H11" r:id="rId9" display="https://www.seton.net.au/mms-no-left-turn-rm2-6a-l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2014-08-29T05:26:57Z</dcterms:created>
  <dc:creator>Samantha Kirkham</dc:creator>
  <dc:description/>
  <dc:language>en-US</dc:language>
  <cp:lastModifiedBy/>
  <dcterms:modified xsi:type="dcterms:W3CDTF">2026-10-14T22:27:21Z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0x0101003FE630DE6F497643B2E4444171902CC8</vt:lpwstr>
  </property>
  <property fmtid="{D5CDD505-2E9C-101B-9397-08002B2CF9AE}" pid="3" name="MediaServiceImageTags">
    <vt:lpwstr/>
  </property>
</Properties>
</file>